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Données" sheetId="2" r:id="rId1"/>
    <sheet name="Gr Macro" sheetId="5" r:id="rId2"/>
    <sheet name="Gr inflation" sheetId="6" r:id="rId3"/>
    <sheet name="Gr émissions" sheetId="7" r:id="rId4"/>
    <sheet name="Employment" sheetId="16" r:id="rId5"/>
    <sheet name="Capital intensity" sheetId="17" r:id="rId6"/>
    <sheet name="Energy intensity" sheetId="18" r:id="rId7"/>
    <sheet name="Gr VA secteurs (% dev)" sheetId="12" r:id="rId8"/>
    <sheet name="Gr VA secteurs (% share)" sheetId="13" r:id="rId9"/>
    <sheet name="Gr Y secteurs (% dev)" sheetId="14" r:id="rId10"/>
    <sheet name="Gr Y secteurs (% share)" sheetId="15" r:id="rId11"/>
  </sheets>
  <externalReferences>
    <externalReference r:id="rId1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84" i="2" l="1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AL183" i="2"/>
  <c r="AK183" i="2"/>
  <c r="AJ183" i="2"/>
  <c r="AI183" i="2"/>
  <c r="AH183" i="2"/>
  <c r="AG183" i="2"/>
  <c r="AF183" i="2"/>
  <c r="AE183" i="2"/>
  <c r="AD183" i="2"/>
  <c r="AC183" i="2"/>
  <c r="AB183" i="2"/>
  <c r="AA183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AL182" i="2"/>
  <c r="AK182" i="2"/>
  <c r="AJ182" i="2"/>
  <c r="AI182" i="2"/>
  <c r="AH182" i="2"/>
  <c r="AG182" i="2"/>
  <c r="AF182" i="2"/>
  <c r="AE182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AL173" i="2"/>
  <c r="AK173" i="2"/>
  <c r="AJ173" i="2"/>
  <c r="AI173" i="2"/>
  <c r="AH173" i="2"/>
  <c r="AG173" i="2"/>
  <c r="AF173" i="2"/>
  <c r="AE173" i="2"/>
  <c r="AD173" i="2"/>
  <c r="AC173" i="2"/>
  <c r="AB173" i="2"/>
  <c r="AA173" i="2"/>
  <c r="Z173" i="2"/>
  <c r="Y173" i="2"/>
  <c r="X173" i="2"/>
  <c r="W173" i="2"/>
  <c r="V173" i="2"/>
  <c r="U173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H173" i="2"/>
  <c r="G173" i="2"/>
  <c r="F173" i="2"/>
  <c r="E173" i="2"/>
  <c r="D173" i="2"/>
  <c r="C173" i="2"/>
  <c r="AL172" i="2"/>
  <c r="AK172" i="2"/>
  <c r="AJ172" i="2"/>
  <c r="AI172" i="2"/>
  <c r="AH172" i="2"/>
  <c r="AG172" i="2"/>
  <c r="AF172" i="2"/>
  <c r="AE172" i="2"/>
  <c r="AD172" i="2"/>
  <c r="AC172" i="2"/>
  <c r="AB172" i="2"/>
  <c r="AA172" i="2"/>
  <c r="Z172" i="2"/>
  <c r="Y172" i="2"/>
  <c r="X172" i="2"/>
  <c r="W172" i="2"/>
  <c r="V172" i="2"/>
  <c r="U172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H172" i="2"/>
  <c r="G172" i="2"/>
  <c r="F172" i="2"/>
  <c r="E172" i="2"/>
  <c r="D172" i="2"/>
  <c r="C172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L124" i="2"/>
  <c r="AK124" i="2"/>
  <c r="AJ124" i="2"/>
  <c r="AI124" i="2"/>
  <c r="AH124" i="2"/>
  <c r="AG124" i="2"/>
  <c r="AF124" i="2"/>
  <c r="AE124" i="2"/>
  <c r="AD124" i="2"/>
  <c r="AC124" i="2"/>
  <c r="AB124" i="2"/>
  <c r="AA124" i="2"/>
  <c r="Z124" i="2"/>
  <c r="Y124" i="2"/>
  <c r="X124" i="2"/>
  <c r="W124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AL122" i="2"/>
  <c r="AK122" i="2"/>
  <c r="AJ122" i="2"/>
  <c r="AI122" i="2"/>
  <c r="AH122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C273" i="2"/>
  <c r="C272" i="2"/>
  <c r="C271" i="2"/>
  <c r="C270" i="2"/>
  <c r="C269" i="2"/>
  <c r="C268" i="2"/>
  <c r="C267" i="2"/>
  <c r="AL254" i="2"/>
  <c r="AK254" i="2"/>
  <c r="AJ254" i="2"/>
  <c r="AI254" i="2"/>
  <c r="AH254" i="2"/>
  <c r="AG254" i="2"/>
  <c r="AF254" i="2"/>
  <c r="AE254" i="2"/>
  <c r="AD254" i="2"/>
  <c r="AC254" i="2"/>
  <c r="AB254" i="2"/>
  <c r="AA254" i="2"/>
  <c r="Z254" i="2"/>
  <c r="Y254" i="2"/>
  <c r="X254" i="2"/>
  <c r="W254" i="2"/>
  <c r="V254" i="2"/>
  <c r="U254" i="2"/>
  <c r="T254" i="2"/>
  <c r="S254" i="2"/>
  <c r="R254" i="2"/>
  <c r="Q254" i="2"/>
  <c r="P254" i="2"/>
  <c r="O254" i="2"/>
  <c r="N254" i="2"/>
  <c r="M254" i="2"/>
  <c r="L254" i="2"/>
  <c r="K254" i="2"/>
  <c r="J254" i="2"/>
  <c r="I254" i="2"/>
  <c r="H254" i="2"/>
  <c r="G254" i="2"/>
  <c r="F254" i="2"/>
  <c r="E254" i="2"/>
  <c r="D254" i="2"/>
  <c r="C254" i="2"/>
  <c r="AL253" i="2"/>
  <c r="AK253" i="2"/>
  <c r="AJ253" i="2"/>
  <c r="AI253" i="2"/>
  <c r="AH253" i="2"/>
  <c r="AG253" i="2"/>
  <c r="AF253" i="2"/>
  <c r="AE253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AL252" i="2"/>
  <c r="AK252" i="2"/>
  <c r="AJ252" i="2"/>
  <c r="AI252" i="2"/>
  <c r="AH252" i="2"/>
  <c r="AG252" i="2"/>
  <c r="AF252" i="2"/>
  <c r="AE252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AL244" i="2"/>
  <c r="AK244" i="2"/>
  <c r="AJ244" i="2"/>
  <c r="AI244" i="2"/>
  <c r="AH244" i="2"/>
  <c r="AG244" i="2"/>
  <c r="AF244" i="2"/>
  <c r="AE244" i="2"/>
  <c r="AD244" i="2"/>
  <c r="AC244" i="2"/>
  <c r="AB244" i="2"/>
  <c r="AA244" i="2"/>
  <c r="Z244" i="2"/>
  <c r="Y244" i="2"/>
  <c r="X244" i="2"/>
  <c r="W244" i="2"/>
  <c r="V244" i="2"/>
  <c r="U244" i="2"/>
  <c r="T244" i="2"/>
  <c r="S244" i="2"/>
  <c r="R244" i="2"/>
  <c r="Q244" i="2"/>
  <c r="P244" i="2"/>
  <c r="O244" i="2"/>
  <c r="N244" i="2"/>
  <c r="M244" i="2"/>
  <c r="L244" i="2"/>
  <c r="K244" i="2"/>
  <c r="J244" i="2"/>
  <c r="I244" i="2"/>
  <c r="H244" i="2"/>
  <c r="G244" i="2"/>
  <c r="F244" i="2"/>
  <c r="E244" i="2"/>
  <c r="D244" i="2"/>
  <c r="C244" i="2"/>
  <c r="AL243" i="2"/>
  <c r="AK243" i="2"/>
  <c r="AJ243" i="2"/>
  <c r="AI243" i="2"/>
  <c r="AH243" i="2"/>
  <c r="AG243" i="2"/>
  <c r="AF243" i="2"/>
  <c r="AE243" i="2"/>
  <c r="AD243" i="2"/>
  <c r="AC243" i="2"/>
  <c r="AB243" i="2"/>
  <c r="AA243" i="2"/>
  <c r="Z243" i="2"/>
  <c r="Y243" i="2"/>
  <c r="X243" i="2"/>
  <c r="W243" i="2"/>
  <c r="V243" i="2"/>
  <c r="U243" i="2"/>
  <c r="T243" i="2"/>
  <c r="S243" i="2"/>
  <c r="R243" i="2"/>
  <c r="Q243" i="2"/>
  <c r="P243" i="2"/>
  <c r="O243" i="2"/>
  <c r="N243" i="2"/>
  <c r="M243" i="2"/>
  <c r="L243" i="2"/>
  <c r="K243" i="2"/>
  <c r="J243" i="2"/>
  <c r="I243" i="2"/>
  <c r="H243" i="2"/>
  <c r="G243" i="2"/>
  <c r="F243" i="2"/>
  <c r="E243" i="2"/>
  <c r="D243" i="2"/>
  <c r="C243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AL217" i="2"/>
  <c r="AK217" i="2"/>
  <c r="AJ217" i="2"/>
  <c r="AI217" i="2"/>
  <c r="AH217" i="2"/>
  <c r="AG217" i="2"/>
  <c r="AF217" i="2"/>
  <c r="AE217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AL216" i="2"/>
  <c r="AK216" i="2"/>
  <c r="AJ216" i="2"/>
  <c r="AI216" i="2"/>
  <c r="AH216" i="2"/>
  <c r="AG216" i="2"/>
  <c r="AF216" i="2"/>
  <c r="AE216" i="2"/>
  <c r="AD216" i="2"/>
  <c r="AC216" i="2"/>
  <c r="AB216" i="2"/>
  <c r="AA216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AL215" i="2"/>
  <c r="AK215" i="2"/>
  <c r="AJ215" i="2"/>
  <c r="AI215" i="2"/>
  <c r="AH215" i="2"/>
  <c r="AG215" i="2"/>
  <c r="AF215" i="2"/>
  <c r="AE215" i="2"/>
  <c r="AD215" i="2"/>
  <c r="AC215" i="2"/>
  <c r="AB215" i="2"/>
  <c r="AA215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10" i="2"/>
  <c r="AK210" i="2"/>
  <c r="AJ210" i="2"/>
  <c r="AI210" i="2"/>
  <c r="AH210" i="2"/>
  <c r="AG210" i="2"/>
  <c r="AF210" i="2"/>
  <c r="AE210" i="2"/>
  <c r="AD210" i="2"/>
  <c r="AC210" i="2"/>
  <c r="AB210" i="2"/>
  <c r="AA210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AL209" i="2"/>
  <c r="AK209" i="2"/>
  <c r="AJ209" i="2"/>
  <c r="AI209" i="2"/>
  <c r="AH209" i="2"/>
  <c r="AG209" i="2"/>
  <c r="AF209" i="2"/>
  <c r="AE209" i="2"/>
  <c r="AD209" i="2"/>
  <c r="AC209" i="2"/>
  <c r="AB209" i="2"/>
  <c r="AA209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AL203" i="2"/>
  <c r="AK203" i="2"/>
  <c r="AJ203" i="2"/>
  <c r="AI203" i="2"/>
  <c r="AH203" i="2"/>
  <c r="AG203" i="2"/>
  <c r="AF203" i="2"/>
  <c r="AE203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AL198" i="2"/>
  <c r="AK198" i="2"/>
  <c r="AJ198" i="2"/>
  <c r="AI198" i="2"/>
  <c r="AH198" i="2"/>
  <c r="AG198" i="2"/>
  <c r="AF198" i="2"/>
  <c r="AE198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AL197" i="2"/>
  <c r="AK197" i="2"/>
  <c r="AJ197" i="2"/>
  <c r="AI197" i="2"/>
  <c r="AH197" i="2"/>
  <c r="AG197" i="2"/>
  <c r="AF197" i="2"/>
  <c r="AE197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4" i="2"/>
  <c r="AL264" i="2" l="1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AL262" i="2"/>
  <c r="AK262" i="2"/>
  <c r="AJ262" i="2"/>
  <c r="AI262" i="2"/>
  <c r="AH262" i="2"/>
  <c r="AG262" i="2"/>
  <c r="AF262" i="2"/>
  <c r="AE262" i="2"/>
  <c r="AD262" i="2"/>
  <c r="AC262" i="2"/>
  <c r="AB262" i="2"/>
  <c r="AA262" i="2"/>
  <c r="Z262" i="2"/>
  <c r="Y262" i="2"/>
  <c r="X262" i="2"/>
  <c r="W262" i="2"/>
  <c r="V262" i="2"/>
  <c r="U262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G262" i="2"/>
  <c r="F262" i="2"/>
  <c r="E262" i="2"/>
  <c r="D262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64" i="2"/>
  <c r="C263" i="2"/>
  <c r="C262" i="2"/>
  <c r="C261" i="2"/>
  <c r="C260" i="2"/>
  <c r="C259" i="2"/>
  <c r="C258" i="2"/>
  <c r="U59" i="2" l="1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F68" i="2" l="1"/>
  <c r="J68" i="2"/>
  <c r="N68" i="2"/>
  <c r="R68" i="2"/>
  <c r="V68" i="2"/>
  <c r="Z68" i="2"/>
  <c r="AD68" i="2"/>
  <c r="AH68" i="2"/>
  <c r="AL68" i="2"/>
  <c r="G68" i="2"/>
  <c r="K68" i="2"/>
  <c r="O68" i="2"/>
  <c r="S68" i="2"/>
  <c r="W68" i="2"/>
  <c r="AA68" i="2"/>
  <c r="AE68" i="2"/>
  <c r="AI68" i="2"/>
  <c r="D68" i="2"/>
  <c r="H68" i="2"/>
  <c r="L68" i="2"/>
  <c r="P68" i="2"/>
  <c r="T68" i="2"/>
  <c r="X68" i="2"/>
  <c r="AB68" i="2"/>
  <c r="AF68" i="2"/>
  <c r="AJ68" i="2"/>
  <c r="E68" i="2"/>
  <c r="I68" i="2"/>
  <c r="M68" i="2"/>
  <c r="Q68" i="2"/>
  <c r="U68" i="2"/>
  <c r="Y68" i="2"/>
  <c r="AC68" i="2"/>
  <c r="AG68" i="2"/>
  <c r="AK68" i="2"/>
  <c r="C68" i="2"/>
  <c r="AJ238" i="2" l="1"/>
  <c r="AB238" i="2"/>
  <c r="T238" i="2"/>
  <c r="L238" i="2"/>
  <c r="D238" i="2"/>
  <c r="AF247" i="2"/>
  <c r="X247" i="2"/>
  <c r="P247" i="2"/>
  <c r="H247" i="2"/>
  <c r="AL247" i="2"/>
  <c r="AD247" i="2"/>
  <c r="V247" i="2"/>
  <c r="F247" i="2"/>
  <c r="T247" i="2"/>
  <c r="AB247" i="2"/>
  <c r="N247" i="2"/>
  <c r="V238" i="2"/>
  <c r="AH247" i="2"/>
  <c r="Z247" i="2"/>
  <c r="R247" i="2"/>
  <c r="J247" i="2"/>
  <c r="AG247" i="2"/>
  <c r="Y247" i="2"/>
  <c r="Q247" i="2"/>
  <c r="I247" i="2"/>
  <c r="AL238" i="2"/>
  <c r="AL257" i="2" s="1"/>
  <c r="N238" i="2"/>
  <c r="C247" i="2"/>
  <c r="AE247" i="2"/>
  <c r="W247" i="2"/>
  <c r="O247" i="2"/>
  <c r="G247" i="2"/>
  <c r="AD238" i="2"/>
  <c r="AK247" i="2"/>
  <c r="AC247" i="2"/>
  <c r="U247" i="2"/>
  <c r="M247" i="2"/>
  <c r="E247" i="2"/>
  <c r="AC238" i="2"/>
  <c r="M238" i="2"/>
  <c r="AF238" i="2"/>
  <c r="H238" i="2"/>
  <c r="AK238" i="2"/>
  <c r="U238" i="2"/>
  <c r="U257" i="2" s="1"/>
  <c r="X238" i="2"/>
  <c r="P238" i="2"/>
  <c r="AJ247" i="2"/>
  <c r="L247" i="2"/>
  <c r="D247" i="2"/>
  <c r="AI247" i="2"/>
  <c r="AA247" i="2"/>
  <c r="S247" i="2"/>
  <c r="K247" i="2"/>
  <c r="AH238" i="2"/>
  <c r="Z238" i="2"/>
  <c r="R238" i="2"/>
  <c r="J238" i="2"/>
  <c r="C238" i="2"/>
  <c r="AG238" i="2"/>
  <c r="Y238" i="2"/>
  <c r="Q238" i="2"/>
  <c r="I238" i="2"/>
  <c r="G238" i="2"/>
  <c r="W238" i="2"/>
  <c r="F238" i="2"/>
  <c r="AE238" i="2"/>
  <c r="O238" i="2"/>
  <c r="E238" i="2"/>
  <c r="AI238" i="2"/>
  <c r="AA238" i="2"/>
  <c r="S238" i="2"/>
  <c r="K238" i="2"/>
  <c r="K257" i="2" l="1"/>
  <c r="R257" i="2"/>
  <c r="C257" i="2"/>
  <c r="S257" i="2"/>
  <c r="AG257" i="2"/>
  <c r="F257" i="2"/>
  <c r="J257" i="2"/>
  <c r="AK257" i="2"/>
  <c r="AF257" i="2"/>
  <c r="V257" i="2"/>
  <c r="M257" i="2"/>
  <c r="AD257" i="2"/>
  <c r="W257" i="2"/>
  <c r="Z257" i="2"/>
  <c r="AI257" i="2"/>
  <c r="AC257" i="2"/>
  <c r="AH257" i="2"/>
  <c r="E257" i="2"/>
  <c r="X257" i="2"/>
  <c r="T257" i="2"/>
  <c r="O257" i="2"/>
  <c r="AJ257" i="2"/>
  <c r="G257" i="2"/>
  <c r="AA257" i="2"/>
  <c r="I257" i="2"/>
  <c r="P257" i="2"/>
  <c r="Q257" i="2"/>
  <c r="D257" i="2"/>
  <c r="Y257" i="2"/>
  <c r="L257" i="2"/>
  <c r="N257" i="2"/>
  <c r="AE257" i="2"/>
  <c r="H257" i="2"/>
  <c r="AB257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93" i="2"/>
  <c r="C192" i="2"/>
  <c r="C191" i="2"/>
  <c r="C190" i="2"/>
  <c r="C189" i="2"/>
  <c r="C188" i="2"/>
  <c r="C187" i="2"/>
  <c r="D146" i="2"/>
  <c r="C151" i="2"/>
  <c r="C226" i="2"/>
  <c r="D147" i="2" l="1"/>
  <c r="D152" i="2"/>
  <c r="C152" i="2"/>
  <c r="E151" i="2"/>
  <c r="D153" i="2"/>
  <c r="E152" i="2"/>
  <c r="C146" i="2"/>
  <c r="E146" i="2"/>
  <c r="AB96" i="2"/>
  <c r="AB95" i="2" s="1"/>
  <c r="D84" i="2"/>
  <c r="D83" i="2" s="1"/>
  <c r="L84" i="2"/>
  <c r="L83" i="2" s="1"/>
  <c r="T84" i="2"/>
  <c r="T83" i="2" s="1"/>
  <c r="AB84" i="2"/>
  <c r="AB83" i="2" s="1"/>
  <c r="AJ84" i="2"/>
  <c r="AJ83" i="2" s="1"/>
  <c r="AE96" i="2"/>
  <c r="AE95" i="2" s="1"/>
  <c r="G96" i="2"/>
  <c r="G95" i="2" s="1"/>
  <c r="AF96" i="2"/>
  <c r="AF95" i="2" s="1"/>
  <c r="X96" i="2"/>
  <c r="X95" i="2" s="1"/>
  <c r="P96" i="2"/>
  <c r="P95" i="2" s="1"/>
  <c r="H96" i="2"/>
  <c r="H95" i="2" s="1"/>
  <c r="W96" i="2"/>
  <c r="W95" i="2" s="1"/>
  <c r="O96" i="2"/>
  <c r="O95" i="2" s="1"/>
  <c r="AI96" i="2"/>
  <c r="AI95" i="2" s="1"/>
  <c r="AA96" i="2"/>
  <c r="AA95" i="2" s="1"/>
  <c r="S96" i="2"/>
  <c r="S95" i="2" s="1"/>
  <c r="K96" i="2"/>
  <c r="K95" i="2" s="1"/>
  <c r="C96" i="2"/>
  <c r="C95" i="2" s="1"/>
  <c r="AJ96" i="2"/>
  <c r="AJ95" i="2" s="1"/>
  <c r="T96" i="2"/>
  <c r="T95" i="2" s="1"/>
  <c r="L96" i="2"/>
  <c r="L95" i="2" s="1"/>
  <c r="D96" i="2"/>
  <c r="D95" i="2" s="1"/>
  <c r="AG96" i="2"/>
  <c r="AG95" i="2" s="1"/>
  <c r="Y96" i="2"/>
  <c r="Y95" i="2" s="1"/>
  <c r="Q96" i="2"/>
  <c r="Q95" i="2" s="1"/>
  <c r="I96" i="2"/>
  <c r="I95" i="2" s="1"/>
  <c r="AL96" i="2"/>
  <c r="AD96" i="2"/>
  <c r="AD95" i="2" s="1"/>
  <c r="V96" i="2"/>
  <c r="V95" i="2" s="1"/>
  <c r="N96" i="2"/>
  <c r="N95" i="2" s="1"/>
  <c r="F96" i="2"/>
  <c r="F95" i="2" s="1"/>
  <c r="AK96" i="2"/>
  <c r="AK95" i="2" s="1"/>
  <c r="AC96" i="2"/>
  <c r="AC95" i="2" s="1"/>
  <c r="U96" i="2"/>
  <c r="U95" i="2" s="1"/>
  <c r="M96" i="2"/>
  <c r="M95" i="2" s="1"/>
  <c r="E96" i="2"/>
  <c r="E95" i="2" s="1"/>
  <c r="AH96" i="2"/>
  <c r="AH95" i="2" s="1"/>
  <c r="Z96" i="2"/>
  <c r="Z95" i="2" s="1"/>
  <c r="R96" i="2"/>
  <c r="J96" i="2"/>
  <c r="J95" i="2" s="1"/>
  <c r="D219" i="2"/>
  <c r="L219" i="2"/>
  <c r="T219" i="2"/>
  <c r="AB219" i="2"/>
  <c r="D229" i="2" s="1"/>
  <c r="AJ219" i="2"/>
  <c r="I220" i="2"/>
  <c r="Q220" i="2"/>
  <c r="AF213" i="2"/>
  <c r="AF212" i="2" s="1"/>
  <c r="X213" i="2"/>
  <c r="X212" i="2" s="1"/>
  <c r="P213" i="2"/>
  <c r="P212" i="2" s="1"/>
  <c r="H213" i="2"/>
  <c r="H212" i="2" s="1"/>
  <c r="E84" i="2"/>
  <c r="E83" i="2" s="1"/>
  <c r="M84" i="2"/>
  <c r="M83" i="2" s="1"/>
  <c r="U84" i="2"/>
  <c r="U83" i="2" s="1"/>
  <c r="AC84" i="2"/>
  <c r="AC83" i="2" s="1"/>
  <c r="AK84" i="2"/>
  <c r="AK83" i="2" s="1"/>
  <c r="C84" i="2"/>
  <c r="C83" i="2" s="1"/>
  <c r="I84" i="2"/>
  <c r="I83" i="2" s="1"/>
  <c r="Y84" i="2"/>
  <c r="Y83" i="2" s="1"/>
  <c r="G84" i="2"/>
  <c r="G83" i="2" s="1"/>
  <c r="O84" i="2"/>
  <c r="O83" i="2" s="1"/>
  <c r="W84" i="2"/>
  <c r="W83" i="2" s="1"/>
  <c r="AE84" i="2"/>
  <c r="AE83" i="2" s="1"/>
  <c r="F84" i="2"/>
  <c r="F83" i="2" s="1"/>
  <c r="N84" i="2"/>
  <c r="N83" i="2" s="1"/>
  <c r="V84" i="2"/>
  <c r="V83" i="2" s="1"/>
  <c r="AD84" i="2"/>
  <c r="AD83" i="2" s="1"/>
  <c r="AL84" i="2"/>
  <c r="AL83" i="2" s="1"/>
  <c r="H84" i="2"/>
  <c r="H83" i="2" s="1"/>
  <c r="P84" i="2"/>
  <c r="P83" i="2" s="1"/>
  <c r="X84" i="2"/>
  <c r="X83" i="2" s="1"/>
  <c r="AF84" i="2"/>
  <c r="AF83" i="2" s="1"/>
  <c r="Q84" i="2"/>
  <c r="Q83" i="2" s="1"/>
  <c r="AG84" i="2"/>
  <c r="AG83" i="2" s="1"/>
  <c r="AL213" i="2"/>
  <c r="AL212" i="2" s="1"/>
  <c r="AD213" i="2"/>
  <c r="AD212" i="2" s="1"/>
  <c r="V213" i="2"/>
  <c r="V212" i="2" s="1"/>
  <c r="N213" i="2"/>
  <c r="N212" i="2" s="1"/>
  <c r="F213" i="2"/>
  <c r="F212" i="2" s="1"/>
  <c r="J84" i="2"/>
  <c r="J83" i="2" s="1"/>
  <c r="R84" i="2"/>
  <c r="R83" i="2" s="1"/>
  <c r="Z84" i="2"/>
  <c r="Z83" i="2" s="1"/>
  <c r="AH84" i="2"/>
  <c r="AH83" i="2" s="1"/>
  <c r="K84" i="2"/>
  <c r="K83" i="2" s="1"/>
  <c r="S84" i="2"/>
  <c r="S83" i="2" s="1"/>
  <c r="AA84" i="2"/>
  <c r="AA83" i="2" s="1"/>
  <c r="AI84" i="2"/>
  <c r="AI83" i="2" s="1"/>
  <c r="AJ213" i="2"/>
  <c r="AJ212" i="2" s="1"/>
  <c r="AB213" i="2"/>
  <c r="AB212" i="2" s="1"/>
  <c r="T213" i="2"/>
  <c r="T212" i="2" s="1"/>
  <c r="L213" i="2"/>
  <c r="L212" i="2" s="1"/>
  <c r="D213" i="2"/>
  <c r="D212" i="2" s="1"/>
  <c r="Y220" i="2"/>
  <c r="AG220" i="2"/>
  <c r="F226" i="2"/>
  <c r="N226" i="2"/>
  <c r="V226" i="2"/>
  <c r="AD226" i="2"/>
  <c r="AL226" i="2"/>
  <c r="E236" i="2" s="1"/>
  <c r="AI213" i="2"/>
  <c r="AI212" i="2" s="1"/>
  <c r="AA213" i="2"/>
  <c r="AA212" i="2" s="1"/>
  <c r="S213" i="2"/>
  <c r="S212" i="2" s="1"/>
  <c r="K213" i="2"/>
  <c r="K212" i="2" s="1"/>
  <c r="AH213" i="2"/>
  <c r="AH212" i="2" s="1"/>
  <c r="Z213" i="2"/>
  <c r="Z212" i="2" s="1"/>
  <c r="R213" i="2"/>
  <c r="R212" i="2" s="1"/>
  <c r="J213" i="2"/>
  <c r="J212" i="2" s="1"/>
  <c r="AG213" i="2"/>
  <c r="AG212" i="2" s="1"/>
  <c r="Y213" i="2"/>
  <c r="Y212" i="2" s="1"/>
  <c r="Q213" i="2"/>
  <c r="Q212" i="2" s="1"/>
  <c r="I213" i="2"/>
  <c r="I212" i="2" s="1"/>
  <c r="AK213" i="2"/>
  <c r="AK212" i="2" s="1"/>
  <c r="AC213" i="2"/>
  <c r="AC212" i="2" s="1"/>
  <c r="U213" i="2"/>
  <c r="U212" i="2" s="1"/>
  <c r="M213" i="2"/>
  <c r="M212" i="2" s="1"/>
  <c r="E213" i="2"/>
  <c r="E212" i="2" s="1"/>
  <c r="C213" i="2"/>
  <c r="C212" i="2" s="1"/>
  <c r="AE213" i="2"/>
  <c r="AE212" i="2" s="1"/>
  <c r="W213" i="2"/>
  <c r="W212" i="2" s="1"/>
  <c r="O213" i="2"/>
  <c r="O212" i="2" s="1"/>
  <c r="G213" i="2"/>
  <c r="G212" i="2" s="1"/>
  <c r="R226" i="2"/>
  <c r="C236" i="2" s="1"/>
  <c r="J226" i="2"/>
  <c r="F201" i="2"/>
  <c r="N201" i="2"/>
  <c r="V201" i="2"/>
  <c r="AD201" i="2"/>
  <c r="AL201" i="2"/>
  <c r="AI201" i="2"/>
  <c r="Z226" i="2"/>
  <c r="AH226" i="2"/>
  <c r="F221" i="2"/>
  <c r="N221" i="2"/>
  <c r="V221" i="2"/>
  <c r="AD221" i="2"/>
  <c r="AL221" i="2"/>
  <c r="E231" i="2" s="1"/>
  <c r="K222" i="2"/>
  <c r="S222" i="2"/>
  <c r="AA222" i="2"/>
  <c r="AI222" i="2"/>
  <c r="H223" i="2"/>
  <c r="P223" i="2"/>
  <c r="X223" i="2"/>
  <c r="AF223" i="2"/>
  <c r="H201" i="2"/>
  <c r="P201" i="2"/>
  <c r="X201" i="2"/>
  <c r="AF201" i="2"/>
  <c r="I201" i="2"/>
  <c r="Q201" i="2"/>
  <c r="Y201" i="2"/>
  <c r="AG201" i="2"/>
  <c r="C201" i="2"/>
  <c r="K201" i="2"/>
  <c r="S201" i="2"/>
  <c r="AA201" i="2"/>
  <c r="D201" i="2"/>
  <c r="L201" i="2"/>
  <c r="T201" i="2"/>
  <c r="AB201" i="2"/>
  <c r="AJ201" i="2"/>
  <c r="AJ200" i="2" s="1"/>
  <c r="H219" i="2"/>
  <c r="AF219" i="2"/>
  <c r="AK220" i="2"/>
  <c r="G222" i="2"/>
  <c r="D223" i="2"/>
  <c r="E220" i="2"/>
  <c r="Z221" i="2"/>
  <c r="L223" i="2"/>
  <c r="E201" i="2"/>
  <c r="M201" i="2"/>
  <c r="U201" i="2"/>
  <c r="AC201" i="2"/>
  <c r="AK201" i="2"/>
  <c r="AC220" i="2"/>
  <c r="W222" i="2"/>
  <c r="AB223" i="2"/>
  <c r="D233" i="2" s="1"/>
  <c r="X219" i="2"/>
  <c r="J221" i="2"/>
  <c r="O222" i="2"/>
  <c r="T223" i="2"/>
  <c r="J201" i="2"/>
  <c r="R201" i="2"/>
  <c r="Z201" i="2"/>
  <c r="AH201" i="2"/>
  <c r="G201" i="2"/>
  <c r="O201" i="2"/>
  <c r="W201" i="2"/>
  <c r="AE201" i="2"/>
  <c r="M220" i="2"/>
  <c r="AH221" i="2"/>
  <c r="AJ223" i="2"/>
  <c r="P219" i="2"/>
  <c r="U220" i="2"/>
  <c r="R221" i="2"/>
  <c r="C231" i="2" s="1"/>
  <c r="AE222" i="2"/>
  <c r="E221" i="2"/>
  <c r="M221" i="2"/>
  <c r="C219" i="2"/>
  <c r="N219" i="2"/>
  <c r="V219" i="2"/>
  <c r="AD219" i="2"/>
  <c r="AL219" i="2"/>
  <c r="E229" i="2" s="1"/>
  <c r="F219" i="2"/>
  <c r="I221" i="2"/>
  <c r="Q221" i="2"/>
  <c r="C222" i="2"/>
  <c r="E219" i="2"/>
  <c r="M219" i="2"/>
  <c r="U219" i="2"/>
  <c r="AC219" i="2"/>
  <c r="AK219" i="2"/>
  <c r="J220" i="2"/>
  <c r="R220" i="2"/>
  <c r="C230" i="2" s="1"/>
  <c r="Z220" i="2"/>
  <c r="AH220" i="2"/>
  <c r="G221" i="2"/>
  <c r="O221" i="2"/>
  <c r="I219" i="2"/>
  <c r="Q219" i="2"/>
  <c r="Y219" i="2"/>
  <c r="AG219" i="2"/>
  <c r="F220" i="2"/>
  <c r="N220" i="2"/>
  <c r="V220" i="2"/>
  <c r="AD220" i="2"/>
  <c r="AL220" i="2"/>
  <c r="E230" i="2" s="1"/>
  <c r="K221" i="2"/>
  <c r="S221" i="2"/>
  <c r="AA221" i="2"/>
  <c r="AI221" i="2"/>
  <c r="H222" i="2"/>
  <c r="P222" i="2"/>
  <c r="W221" i="2"/>
  <c r="AE221" i="2"/>
  <c r="D222" i="2"/>
  <c r="L222" i="2"/>
  <c r="T222" i="2"/>
  <c r="AB222" i="2"/>
  <c r="D232" i="2" s="1"/>
  <c r="AJ222" i="2"/>
  <c r="I223" i="2"/>
  <c r="Q223" i="2"/>
  <c r="Y223" i="2"/>
  <c r="AG223" i="2"/>
  <c r="K226" i="2"/>
  <c r="S226" i="2"/>
  <c r="AA226" i="2"/>
  <c r="AI226" i="2"/>
  <c r="Y221" i="2"/>
  <c r="AG221" i="2"/>
  <c r="F222" i="2"/>
  <c r="N222" i="2"/>
  <c r="V222" i="2"/>
  <c r="AD222" i="2"/>
  <c r="AL222" i="2"/>
  <c r="E232" i="2" s="1"/>
  <c r="K223" i="2"/>
  <c r="S223" i="2"/>
  <c r="AA223" i="2"/>
  <c r="AI223" i="2"/>
  <c r="J219" i="2"/>
  <c r="R219" i="2"/>
  <c r="C229" i="2" s="1"/>
  <c r="Z219" i="2"/>
  <c r="AH219" i="2"/>
  <c r="G220" i="2"/>
  <c r="O220" i="2"/>
  <c r="W220" i="2"/>
  <c r="AE220" i="2"/>
  <c r="F223" i="2"/>
  <c r="N223" i="2"/>
  <c r="V223" i="2"/>
  <c r="AD223" i="2"/>
  <c r="AL223" i="2"/>
  <c r="E233" i="2" s="1"/>
  <c r="W223" i="2"/>
  <c r="G223" i="2"/>
  <c r="K220" i="2"/>
  <c r="S220" i="2"/>
  <c r="AA220" i="2"/>
  <c r="AI220" i="2"/>
  <c r="H221" i="2"/>
  <c r="P221" i="2"/>
  <c r="X221" i="2"/>
  <c r="AF221" i="2"/>
  <c r="E222" i="2"/>
  <c r="M222" i="2"/>
  <c r="U222" i="2"/>
  <c r="AC222" i="2"/>
  <c r="AK222" i="2"/>
  <c r="J223" i="2"/>
  <c r="R223" i="2"/>
  <c r="C233" i="2" s="1"/>
  <c r="Z223" i="2"/>
  <c r="AH223" i="2"/>
  <c r="D226" i="2"/>
  <c r="L226" i="2"/>
  <c r="T226" i="2"/>
  <c r="AB226" i="2"/>
  <c r="D236" i="2" s="1"/>
  <c r="AJ226" i="2"/>
  <c r="AF226" i="2"/>
  <c r="X226" i="2"/>
  <c r="AE223" i="2"/>
  <c r="O223" i="2"/>
  <c r="C220" i="2"/>
  <c r="C221" i="2"/>
  <c r="C223" i="2"/>
  <c r="X222" i="2"/>
  <c r="AF222" i="2"/>
  <c r="E223" i="2"/>
  <c r="M223" i="2"/>
  <c r="U223" i="2"/>
  <c r="AC223" i="2"/>
  <c r="AK223" i="2"/>
  <c r="G226" i="2"/>
  <c r="O226" i="2"/>
  <c r="W226" i="2"/>
  <c r="AE226" i="2"/>
  <c r="AK226" i="2"/>
  <c r="AC226" i="2"/>
  <c r="U226" i="2"/>
  <c r="M226" i="2"/>
  <c r="E226" i="2"/>
  <c r="AJ220" i="2"/>
  <c r="AB220" i="2"/>
  <c r="D230" i="2" s="1"/>
  <c r="T220" i="2"/>
  <c r="L220" i="2"/>
  <c r="D220" i="2"/>
  <c r="AE219" i="2"/>
  <c r="W219" i="2"/>
  <c r="O219" i="2"/>
  <c r="G219" i="2"/>
  <c r="J222" i="2"/>
  <c r="R222" i="2"/>
  <c r="C232" i="2" s="1"/>
  <c r="Z222" i="2"/>
  <c r="AH222" i="2"/>
  <c r="I226" i="2"/>
  <c r="Q226" i="2"/>
  <c r="Y226" i="2"/>
  <c r="AG226" i="2"/>
  <c r="AK221" i="2"/>
  <c r="AC221" i="2"/>
  <c r="U221" i="2"/>
  <c r="AF220" i="2"/>
  <c r="X220" i="2"/>
  <c r="P220" i="2"/>
  <c r="H220" i="2"/>
  <c r="AI219" i="2"/>
  <c r="AA219" i="2"/>
  <c r="S219" i="2"/>
  <c r="K219" i="2"/>
  <c r="P226" i="2"/>
  <c r="H226" i="2"/>
  <c r="AG222" i="2"/>
  <c r="Y222" i="2"/>
  <c r="Q222" i="2"/>
  <c r="I222" i="2"/>
  <c r="AJ221" i="2"/>
  <c r="AB221" i="2"/>
  <c r="D231" i="2" s="1"/>
  <c r="T221" i="2"/>
  <c r="L221" i="2"/>
  <c r="D221" i="2"/>
  <c r="D110" i="2" l="1"/>
  <c r="C110" i="2"/>
  <c r="D109" i="2"/>
  <c r="AL95" i="2"/>
  <c r="E109" i="2" s="1"/>
  <c r="E110" i="2"/>
  <c r="R95" i="2"/>
  <c r="C109" i="2" s="1"/>
  <c r="AJ224" i="2"/>
  <c r="F225" i="2"/>
  <c r="AJ225" i="2"/>
  <c r="V225" i="2"/>
  <c r="F200" i="2"/>
  <c r="F224" i="2" s="1"/>
  <c r="AK225" i="2"/>
  <c r="AK200" i="2"/>
  <c r="AK224" i="2" s="1"/>
  <c r="V200" i="2"/>
  <c r="V224" i="2" s="1"/>
  <c r="AI225" i="2"/>
  <c r="Q225" i="2"/>
  <c r="Z200" i="2"/>
  <c r="Z224" i="2" s="1"/>
  <c r="Z225" i="2"/>
  <c r="AA200" i="2"/>
  <c r="AA224" i="2" s="1"/>
  <c r="AA225" i="2"/>
  <c r="R200" i="2"/>
  <c r="R224" i="2" s="1"/>
  <c r="C234" i="2" s="1"/>
  <c r="R225" i="2"/>
  <c r="C235" i="2" s="1"/>
  <c r="S200" i="2"/>
  <c r="S224" i="2" s="1"/>
  <c r="S225" i="2"/>
  <c r="Q200" i="2"/>
  <c r="Q224" i="2" s="1"/>
  <c r="N200" i="2"/>
  <c r="N224" i="2" s="1"/>
  <c r="N225" i="2"/>
  <c r="J200" i="2"/>
  <c r="J224" i="2" s="1"/>
  <c r="J225" i="2"/>
  <c r="K200" i="2"/>
  <c r="K224" i="2" s="1"/>
  <c r="K225" i="2"/>
  <c r="AF200" i="2"/>
  <c r="AF224" i="2" s="1"/>
  <c r="AF225" i="2"/>
  <c r="AH200" i="2"/>
  <c r="AH224" i="2" s="1"/>
  <c r="AH225" i="2"/>
  <c r="AD200" i="2"/>
  <c r="AD224" i="2" s="1"/>
  <c r="AD225" i="2"/>
  <c r="AE200" i="2"/>
  <c r="AE224" i="2" s="1"/>
  <c r="AE225" i="2"/>
  <c r="AC200" i="2"/>
  <c r="AC224" i="2" s="1"/>
  <c r="AC225" i="2"/>
  <c r="AB200" i="2"/>
  <c r="AB224" i="2" s="1"/>
  <c r="D234" i="2" s="1"/>
  <c r="AB225" i="2"/>
  <c r="D235" i="2" s="1"/>
  <c r="AI200" i="2"/>
  <c r="AI224" i="2" s="1"/>
  <c r="X200" i="2"/>
  <c r="X224" i="2" s="1"/>
  <c r="X225" i="2"/>
  <c r="I200" i="2"/>
  <c r="I224" i="2" s="1"/>
  <c r="I225" i="2"/>
  <c r="W200" i="2"/>
  <c r="W224" i="2" s="1"/>
  <c r="W225" i="2"/>
  <c r="U200" i="2"/>
  <c r="U224" i="2" s="1"/>
  <c r="U225" i="2"/>
  <c r="T200" i="2"/>
  <c r="T224" i="2" s="1"/>
  <c r="T225" i="2"/>
  <c r="C200" i="2"/>
  <c r="C224" i="2" s="1"/>
  <c r="C225" i="2"/>
  <c r="P200" i="2"/>
  <c r="P224" i="2" s="1"/>
  <c r="P225" i="2"/>
  <c r="O200" i="2"/>
  <c r="O224" i="2" s="1"/>
  <c r="O225" i="2"/>
  <c r="M200" i="2"/>
  <c r="M224" i="2" s="1"/>
  <c r="M225" i="2"/>
  <c r="L200" i="2"/>
  <c r="L224" i="2" s="1"/>
  <c r="L225" i="2"/>
  <c r="AG200" i="2"/>
  <c r="AG224" i="2" s="1"/>
  <c r="AG225" i="2"/>
  <c r="H200" i="2"/>
  <c r="H224" i="2" s="1"/>
  <c r="H225" i="2"/>
  <c r="G200" i="2"/>
  <c r="G224" i="2" s="1"/>
  <c r="G225" i="2"/>
  <c r="E200" i="2"/>
  <c r="E224" i="2" s="1"/>
  <c r="E225" i="2"/>
  <c r="D200" i="2"/>
  <c r="D224" i="2" s="1"/>
  <c r="D225" i="2"/>
  <c r="Y200" i="2"/>
  <c r="Y224" i="2" s="1"/>
  <c r="Y225" i="2"/>
  <c r="AL200" i="2"/>
  <c r="AL224" i="2" s="1"/>
  <c r="E234" i="2" s="1"/>
  <c r="AL225" i="2"/>
  <c r="E235" i="2" s="1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D104" i="2"/>
  <c r="D106" i="2"/>
  <c r="D108" i="2"/>
  <c r="E104" i="2"/>
  <c r="C105" i="2"/>
  <c r="E106" i="2"/>
  <c r="C107" i="2"/>
  <c r="E108" i="2"/>
  <c r="C111" i="2"/>
  <c r="D105" i="2"/>
  <c r="D107" i="2"/>
  <c r="D111" i="2"/>
  <c r="C104" i="2"/>
  <c r="E105" i="2"/>
  <c r="C106" i="2"/>
  <c r="E107" i="2"/>
  <c r="C108" i="2"/>
  <c r="E111" i="2"/>
  <c r="AL74" i="2"/>
  <c r="R74" i="2"/>
  <c r="F74" i="2" l="1"/>
  <c r="AJ74" i="2"/>
  <c r="AB74" i="2"/>
  <c r="V74" i="2"/>
  <c r="AH74" i="2"/>
  <c r="T74" i="2"/>
  <c r="Z74" i="2"/>
  <c r="J74" i="2"/>
  <c r="AK74" i="2"/>
  <c r="M74" i="2"/>
  <c r="AF74" i="2"/>
  <c r="X74" i="2"/>
  <c r="P74" i="2"/>
  <c r="H74" i="2"/>
  <c r="C74" i="2"/>
  <c r="L74" i="2"/>
  <c r="D74" i="2"/>
  <c r="AE74" i="2"/>
  <c r="W74" i="2"/>
  <c r="O74" i="2"/>
  <c r="G74" i="2"/>
  <c r="AD74" i="2"/>
  <c r="N74" i="2"/>
  <c r="K74" i="2"/>
  <c r="AI74" i="2"/>
  <c r="S74" i="2"/>
  <c r="AG74" i="2"/>
  <c r="Y74" i="2"/>
  <c r="Q74" i="2"/>
  <c r="I74" i="2"/>
  <c r="AA74" i="2"/>
  <c r="AC74" i="2"/>
  <c r="U74" i="2"/>
  <c r="E74" i="2"/>
  <c r="D63" i="2" l="1"/>
  <c r="E162" i="2"/>
  <c r="C160" i="2"/>
  <c r="E164" i="2"/>
  <c r="D164" i="2"/>
  <c r="C164" i="2"/>
  <c r="E163" i="2"/>
  <c r="C163" i="2"/>
  <c r="C162" i="2"/>
  <c r="E161" i="2"/>
  <c r="D161" i="2"/>
  <c r="C161" i="2"/>
  <c r="E160" i="2"/>
  <c r="D160" i="2"/>
  <c r="C159" i="2"/>
  <c r="D163" i="2"/>
  <c r="D159" i="2"/>
  <c r="E159" i="2" l="1"/>
  <c r="D162" i="2"/>
  <c r="D119" i="2" l="1"/>
  <c r="C118" i="2"/>
  <c r="C117" i="2"/>
  <c r="C116" i="2"/>
  <c r="D115" i="2"/>
  <c r="C115" i="2"/>
  <c r="C114" i="2"/>
  <c r="B64" i="2"/>
  <c r="B72" i="2" s="1"/>
  <c r="B63" i="2"/>
  <c r="B66" i="2" s="1"/>
  <c r="E63" i="2"/>
  <c r="F63" i="2"/>
  <c r="N63" i="2"/>
  <c r="U63" i="2"/>
  <c r="V63" i="2"/>
  <c r="AD63" i="2"/>
  <c r="AK63" i="2"/>
  <c r="AL63" i="2"/>
  <c r="K64" i="2"/>
  <c r="R64" i="2"/>
  <c r="S64" i="2"/>
  <c r="AA64" i="2"/>
  <c r="AH64" i="2"/>
  <c r="AI64" i="2"/>
  <c r="D117" i="2" l="1"/>
  <c r="E119" i="2"/>
  <c r="C119" i="2"/>
  <c r="D118" i="2"/>
  <c r="D116" i="2"/>
  <c r="D114" i="2"/>
  <c r="E114" i="2"/>
  <c r="E117" i="2"/>
  <c r="E115" i="2"/>
  <c r="E118" i="2"/>
  <c r="E116" i="2"/>
  <c r="AL64" i="2"/>
  <c r="AD64" i="2"/>
  <c r="V64" i="2"/>
  <c r="N64" i="2"/>
  <c r="F64" i="2"/>
  <c r="AG63" i="2"/>
  <c r="Y63" i="2"/>
  <c r="Q63" i="2"/>
  <c r="I63" i="2"/>
  <c r="AF64" i="2"/>
  <c r="X64" i="2"/>
  <c r="P64" i="2"/>
  <c r="H64" i="2"/>
  <c r="AI63" i="2"/>
  <c r="AA63" i="2"/>
  <c r="S63" i="2"/>
  <c r="K63" i="2"/>
  <c r="AK64" i="2"/>
  <c r="X63" i="2"/>
  <c r="AE64" i="2"/>
  <c r="W64" i="2"/>
  <c r="O64" i="2"/>
  <c r="G64" i="2"/>
  <c r="AH63" i="2"/>
  <c r="Z63" i="2"/>
  <c r="R63" i="2"/>
  <c r="J63" i="2"/>
  <c r="AB64" i="2"/>
  <c r="T64" i="2"/>
  <c r="L64" i="2"/>
  <c r="D64" i="2"/>
  <c r="AE63" i="2"/>
  <c r="O63" i="2"/>
  <c r="G63" i="2"/>
  <c r="Y64" i="2"/>
  <c r="I64" i="2"/>
  <c r="AB63" i="2"/>
  <c r="L63" i="2"/>
  <c r="H63" i="2"/>
  <c r="P63" i="2"/>
  <c r="AF63" i="2"/>
  <c r="E64" i="2"/>
  <c r="M64" i="2"/>
  <c r="U64" i="2"/>
  <c r="AC64" i="2"/>
  <c r="AG64" i="2"/>
  <c r="T63" i="2"/>
  <c r="AJ63" i="2"/>
  <c r="Q64" i="2"/>
  <c r="M63" i="2"/>
  <c r="AC63" i="2"/>
  <c r="J64" i="2"/>
  <c r="Z64" i="2"/>
  <c r="W63" i="2"/>
  <c r="AJ64" i="2"/>
</calcChain>
</file>

<file path=xl/sharedStrings.xml><?xml version="1.0" encoding="utf-8"?>
<sst xmlns="http://schemas.openxmlformats.org/spreadsheetml/2006/main" count="233" uniqueCount="59">
  <si>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</si>
  <si>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</si>
  <si>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</si>
  <si>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</si>
  <si>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</si>
  <si>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</si>
  <si>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</si>
  <si>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</si>
  <si>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</si>
  <si>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</si>
  <si>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</si>
  <si>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</si>
  <si>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</si>
  <si>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Valeur ajoutée sectorielle baseline</t>
  </si>
  <si>
    <t>Valeur ajoutée sectorielle shock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</si>
  <si>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</si>
  <si>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</si>
  <si>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</si>
  <si>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</si>
  <si>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</si>
  <si>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</si>
  <si>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</si>
  <si>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</si>
  <si>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</si>
  <si>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</si>
  <si>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</si>
  <si>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</si>
  <si>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</si>
  <si>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</si>
  <si>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Emploi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</si>
  <si>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</si>
  <si>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</si>
  <si>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</si>
  <si>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</si>
  <si>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</si>
  <si>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</si>
  <si>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</si>
  <si>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</si>
  <si>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</si>
  <si>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</si>
  <si>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</si>
  <si>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Shock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</si>
  <si>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</si>
  <si>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</si>
  <si>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</si>
  <si>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</si>
  <si>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</si>
  <si>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</si>
  <si>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</si>
  <si>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</si>
  <si>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</si>
  <si>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Entreprises</t>
  </si>
  <si>
    <t>Households (housing)</t>
  </si>
  <si>
    <t>Households (transport)</t>
  </si>
  <si>
    <t>Consommation</t>
  </si>
  <si>
    <t>Investissement</t>
  </si>
  <si>
    <t>CI</t>
  </si>
  <si>
    <t>Y</t>
  </si>
  <si>
    <t>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</si>
</sst>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applyAlignmen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theme" Target="theme/theme1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12" Type="http://schemas.openxmlformats.org/officeDocument/2006/relationships/externalLink" Target="externalLinks/externalLink1.xml"/><Relationship Id="rId2" Type="http://schemas.openxmlformats.org/officeDocument/2006/relationships/chartsheet" Target="chartsheets/sheet1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5" Type="http://schemas.openxmlformats.org/officeDocument/2006/relationships/chartsheet" Target="chartsheets/sheet4.xml"/><Relationship Id="rId15" Type="http://schemas.openxmlformats.org/officeDocument/2006/relationships/sharedStrings" Target="sharedStrings.xml"/><Relationship Id="rId10" Type="http://schemas.openxmlformats.org/officeDocument/2006/relationships/chartsheet" Target="chartsheets/sheet9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Données!$B$6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Données!$C$6:$AL$6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2.7948041856367394E-2</c:v>
                </c:pt>
                <c:pt idx="7">
                  <c:v>4.614300712859519E-2</c:v>
                </c:pt>
                <c:pt idx="8">
                  <c:v>5.367761843911821E-2</c:v>
                </c:pt>
                <c:pt idx="9">
                  <c:v>0.13847348660738812</c:v>
                </c:pt>
                <c:pt idx="10">
                  <c:v>0.33106465661917162</c:v>
                </c:pt>
                <c:pt idx="11">
                  <c:v>0.55233764021112175</c:v>
                </c:pt>
                <c:pt idx="12">
                  <c:v>0.78994343438607306</c:v>
                </c:pt>
                <c:pt idx="13">
                  <c:v>1.0184127548953112</c:v>
                </c:pt>
                <c:pt idx="14">
                  <c:v>1.2294827560729855</c:v>
                </c:pt>
                <c:pt idx="15">
                  <c:v>1.4260496889928242</c:v>
                </c:pt>
                <c:pt idx="16">
                  <c:v>1.5926786649855726</c:v>
                </c:pt>
                <c:pt idx="17">
                  <c:v>1.7344287875537461</c:v>
                </c:pt>
                <c:pt idx="18">
                  <c:v>1.8603756107069394</c:v>
                </c:pt>
                <c:pt idx="19">
                  <c:v>1.9762771162734363</c:v>
                </c:pt>
                <c:pt idx="20">
                  <c:v>2.0830150391380466</c:v>
                </c:pt>
                <c:pt idx="21">
                  <c:v>2.1713152163776588</c:v>
                </c:pt>
                <c:pt idx="22">
                  <c:v>2.241337094576052</c:v>
                </c:pt>
                <c:pt idx="23">
                  <c:v>2.2927329145794877</c:v>
                </c:pt>
                <c:pt idx="24">
                  <c:v>2.3272011217460435</c:v>
                </c:pt>
                <c:pt idx="25">
                  <c:v>2.3475699185920731</c:v>
                </c:pt>
                <c:pt idx="26">
                  <c:v>2.342137049937334</c:v>
                </c:pt>
                <c:pt idx="27">
                  <c:v>2.3146946518984781</c:v>
                </c:pt>
                <c:pt idx="28">
                  <c:v>2.2706544347074105</c:v>
                </c:pt>
                <c:pt idx="29">
                  <c:v>2.2155649881172867</c:v>
                </c:pt>
                <c:pt idx="30">
                  <c:v>2.1543543410926724</c:v>
                </c:pt>
                <c:pt idx="31">
                  <c:v>2.0858737845935118</c:v>
                </c:pt>
                <c:pt idx="32">
                  <c:v>2.015453933401318</c:v>
                </c:pt>
                <c:pt idx="33">
                  <c:v>1.9466570066757771</c:v>
                </c:pt>
                <c:pt idx="34">
                  <c:v>1.8826172386531597</c:v>
                </c:pt>
                <c:pt idx="35">
                  <c:v>1.8261019500238962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Données!$B$9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Données!$C$9:$AL$9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4.2951914819828759E-9</c:v>
                </c:pt>
                <c:pt idx="4">
                  <c:v>0</c:v>
                </c:pt>
                <c:pt idx="5">
                  <c:v>4.1071719583555708E-9</c:v>
                </c:pt>
                <c:pt idx="6">
                  <c:v>4.6025894887990401E-3</c:v>
                </c:pt>
                <c:pt idx="7">
                  <c:v>-3.1797023095116277E-2</c:v>
                </c:pt>
                <c:pt idx="8">
                  <c:v>-8.362437193389774E-2</c:v>
                </c:pt>
                <c:pt idx="9">
                  <c:v>-8.3307959343825011E-2</c:v>
                </c:pt>
                <c:pt idx="10">
                  <c:v>-5.7743532807315152E-2</c:v>
                </c:pt>
                <c:pt idx="11">
                  <c:v>-1.7828466396575187E-2</c:v>
                </c:pt>
                <c:pt idx="12">
                  <c:v>2.4066241955915176E-2</c:v>
                </c:pt>
                <c:pt idx="13">
                  <c:v>6.5305224972798712E-2</c:v>
                </c:pt>
                <c:pt idx="14">
                  <c:v>0.10917510768316881</c:v>
                </c:pt>
                <c:pt idx="15">
                  <c:v>0.1577517801263579</c:v>
                </c:pt>
                <c:pt idx="16">
                  <c:v>0.20180199012557781</c:v>
                </c:pt>
                <c:pt idx="17">
                  <c:v>0.24046281298033628</c:v>
                </c:pt>
                <c:pt idx="18">
                  <c:v>0.27490559089893368</c:v>
                </c:pt>
                <c:pt idx="19">
                  <c:v>0.30757348335545476</c:v>
                </c:pt>
                <c:pt idx="20">
                  <c:v>0.33950795660244576</c:v>
                </c:pt>
                <c:pt idx="21">
                  <c:v>0.37280186358901496</c:v>
                </c:pt>
                <c:pt idx="22">
                  <c:v>0.40745603760187754</c:v>
                </c:pt>
                <c:pt idx="23">
                  <c:v>0.44360034046612568</c:v>
                </c:pt>
                <c:pt idx="24">
                  <c:v>0.48166462167685209</c:v>
                </c:pt>
                <c:pt idx="25">
                  <c:v>0.52219822839165664</c:v>
                </c:pt>
                <c:pt idx="26">
                  <c:v>0.56636967907201996</c:v>
                </c:pt>
                <c:pt idx="27">
                  <c:v>0.61283747543864631</c:v>
                </c:pt>
                <c:pt idx="28">
                  <c:v>0.66098388932221286</c:v>
                </c:pt>
                <c:pt idx="29">
                  <c:v>0.71068225114951422</c:v>
                </c:pt>
                <c:pt idx="30">
                  <c:v>0.76192382571154449</c:v>
                </c:pt>
                <c:pt idx="31">
                  <c:v>0.81467642460021605</c:v>
                </c:pt>
                <c:pt idx="32">
                  <c:v>0.86839458317861351</c:v>
                </c:pt>
                <c:pt idx="33">
                  <c:v>0.92252264934945016</c:v>
                </c:pt>
                <c:pt idx="34">
                  <c:v>0.97648955687093075</c:v>
                </c:pt>
                <c:pt idx="35">
                  <c:v>1.0297310923867189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Données!$B$11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Données!$C$11:$AL$11</c:f>
              <c:numCache>
                <c:formatCode>#\ ##0.0</c:formatCode>
                <c:ptCount val="36"/>
                <c:pt idx="0">
                  <c:v>-4.5515840316693176E-9</c:v>
                </c:pt>
                <c:pt idx="1">
                  <c:v>-4.4712260499697865E-9</c:v>
                </c:pt>
                <c:pt idx="2">
                  <c:v>0</c:v>
                </c:pt>
                <c:pt idx="3">
                  <c:v>-8.5903829639657518E-9</c:v>
                </c:pt>
                <c:pt idx="4">
                  <c:v>-8.4040359910089622E-9</c:v>
                </c:pt>
                <c:pt idx="5">
                  <c:v>-8.2143391353366997E-9</c:v>
                </c:pt>
                <c:pt idx="6">
                  <c:v>-7.5070325592047253E-3</c:v>
                </c:pt>
                <c:pt idx="7">
                  <c:v>-0.2218152984636893</c:v>
                </c:pt>
                <c:pt idx="8">
                  <c:v>-0.38119379610085957</c:v>
                </c:pt>
                <c:pt idx="9">
                  <c:v>-0.28394863747826676</c:v>
                </c:pt>
                <c:pt idx="10">
                  <c:v>-0.28559544151630906</c:v>
                </c:pt>
                <c:pt idx="11">
                  <c:v>-0.39452725721079362</c:v>
                </c:pt>
                <c:pt idx="12">
                  <c:v>-0.56827541487828159</c:v>
                </c:pt>
                <c:pt idx="13">
                  <c:v>-0.75466523974280963</c:v>
                </c:pt>
                <c:pt idx="14">
                  <c:v>-0.92104762829838271</c:v>
                </c:pt>
                <c:pt idx="15">
                  <c:v>-1.0684061103675171</c:v>
                </c:pt>
                <c:pt idx="16">
                  <c:v>-1.2184459562123529</c:v>
                </c:pt>
                <c:pt idx="17">
                  <c:v>-1.3663075296410061</c:v>
                </c:pt>
                <c:pt idx="18">
                  <c:v>-1.5165324314953199</c:v>
                </c:pt>
                <c:pt idx="19">
                  <c:v>-1.6698214343343354</c:v>
                </c:pt>
                <c:pt idx="20">
                  <c:v>-1.8278480549888596</c:v>
                </c:pt>
                <c:pt idx="21">
                  <c:v>-1.9873125747704938</c:v>
                </c:pt>
                <c:pt idx="22">
                  <c:v>-2.1415899446295845</c:v>
                </c:pt>
                <c:pt idx="23">
                  <c:v>-2.286738331969147</c:v>
                </c:pt>
                <c:pt idx="24">
                  <c:v>-2.4207334419006812</c:v>
                </c:pt>
                <c:pt idx="25">
                  <c:v>-2.5432766914332929</c:v>
                </c:pt>
                <c:pt idx="26">
                  <c:v>-2.6480917677722502</c:v>
                </c:pt>
                <c:pt idx="27">
                  <c:v>-2.736180032455767</c:v>
                </c:pt>
                <c:pt idx="28">
                  <c:v>-2.8076347302147506</c:v>
                </c:pt>
                <c:pt idx="29">
                  <c:v>-2.8632814829128916</c:v>
                </c:pt>
                <c:pt idx="30">
                  <c:v>-2.9046388812916168</c:v>
                </c:pt>
                <c:pt idx="31">
                  <c:v>-2.9325256259651145</c:v>
                </c:pt>
                <c:pt idx="32">
                  <c:v>-2.9488175019024809</c:v>
                </c:pt>
                <c:pt idx="33">
                  <c:v>-2.9561795239327608</c:v>
                </c:pt>
                <c:pt idx="34">
                  <c:v>-2.9577176071657205</c:v>
                </c:pt>
                <c:pt idx="35">
                  <c:v>-2.9565812948431924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Données!$B$5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Données!$C$5:$AL$5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-6.107991890047515E-9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-5.6873061815565507E-9</c:v>
                      </c:pt>
                      <c:pt idx="6">
                        <c:v>2.6181726458007759E-2</c:v>
                      </c:pt>
                      <c:pt idx="7">
                        <c:v>-0.27273372688301212</c:v>
                      </c:pt>
                      <c:pt idx="8">
                        <c:v>-0.52438280473445786</c:v>
                      </c:pt>
                      <c:pt idx="9">
                        <c:v>-0.29317226153491305</c:v>
                      </c:pt>
                      <c:pt idx="10">
                        <c:v>-3.907667570748341E-2</c:v>
                      </c:pt>
                      <c:pt idx="11">
                        <c:v>0.12269694133071329</c:v>
                      </c:pt>
                      <c:pt idx="12">
                        <c:v>0.21961228666520505</c:v>
                      </c:pt>
                      <c:pt idx="13">
                        <c:v>0.28820104359181808</c:v>
                      </c:pt>
                      <c:pt idx="14">
                        <c:v>0.3654636232437225</c:v>
                      </c:pt>
                      <c:pt idx="15">
                        <c:v>0.45591013287902271</c:v>
                      </c:pt>
                      <c:pt idx="16">
                        <c:v>0.50582787900359527</c:v>
                      </c:pt>
                      <c:pt idx="17">
                        <c:v>0.52530802135843935</c:v>
                      </c:pt>
                      <c:pt idx="18">
                        <c:v>0.51825441720050325</c:v>
                      </c:pt>
                      <c:pt idx="19">
                        <c:v>0.48964237140540767</c:v>
                      </c:pt>
                      <c:pt idx="20">
                        <c:v>0.44296238207330862</c:v>
                      </c:pt>
                      <c:pt idx="21">
                        <c:v>0.3750881839819975</c:v>
                      </c:pt>
                      <c:pt idx="22">
                        <c:v>0.29478986166517895</c:v>
                      </c:pt>
                      <c:pt idx="23">
                        <c:v>0.2069018606067452</c:v>
                      </c:pt>
                      <c:pt idx="24">
                        <c:v>0.11643137569077311</c:v>
                      </c:pt>
                      <c:pt idx="25">
                        <c:v>2.7627373084571083E-2</c:v>
                      </c:pt>
                      <c:pt idx="26">
                        <c:v>-6.3334849800644744E-2</c:v>
                      </c:pt>
                      <c:pt idx="27">
                        <c:v>-0.15503470194435653</c:v>
                      </c:pt>
                      <c:pt idx="28">
                        <c:v>-0.24223327263235284</c:v>
                      </c:pt>
                      <c:pt idx="29">
                        <c:v>-0.31991208504291713</c:v>
                      </c:pt>
                      <c:pt idx="30">
                        <c:v>-0.38452899512385619</c:v>
                      </c:pt>
                      <c:pt idx="31">
                        <c:v>-0.43835263991494067</c:v>
                      </c:pt>
                      <c:pt idx="32">
                        <c:v>-0.47861107120218405</c:v>
                      </c:pt>
                      <c:pt idx="33">
                        <c:v>-0.50544912339782755</c:v>
                      </c:pt>
                      <c:pt idx="34">
                        <c:v>-0.52002959589112496</c:v>
                      </c:pt>
                      <c:pt idx="35">
                        <c:v>-0.52395048932621924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Données!$B$7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Données!$C$7:$AL$7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4.471223447372298E-10</c:v>
                      </c:pt>
                      <c:pt idx="2">
                        <c:v>8.7713285687708979E-10</c:v>
                      </c:pt>
                      <c:pt idx="3">
                        <c:v>1.7180764677866315E-9</c:v>
                      </c:pt>
                      <c:pt idx="4">
                        <c:v>1.6808070759069787E-9</c:v>
                      </c:pt>
                      <c:pt idx="5">
                        <c:v>2.0535847838341749E-9</c:v>
                      </c:pt>
                      <c:pt idx="6">
                        <c:v>7.0143507478588633E-3</c:v>
                      </c:pt>
                      <c:pt idx="7">
                        <c:v>-8.9928800839668248E-3</c:v>
                      </c:pt>
                      <c:pt idx="8">
                        <c:v>-4.1872596776079629E-2</c:v>
                      </c:pt>
                      <c:pt idx="9">
                        <c:v>-8.1079358758032724E-2</c:v>
                      </c:pt>
                      <c:pt idx="10">
                        <c:v>-0.13287209578130066</c:v>
                      </c:pt>
                      <c:pt idx="11">
                        <c:v>-0.11993768453639903</c:v>
                      </c:pt>
                      <c:pt idx="12">
                        <c:v>-8.8827772462859278E-2</c:v>
                      </c:pt>
                      <c:pt idx="13">
                        <c:v>-6.4415249454295748E-2</c:v>
                      </c:pt>
                      <c:pt idx="14">
                        <c:v>-5.1245181589697229E-2</c:v>
                      </c:pt>
                      <c:pt idx="15">
                        <c:v>-4.7036881441023921E-2</c:v>
                      </c:pt>
                      <c:pt idx="16">
                        <c:v>-6.0958000963954456E-2</c:v>
                      </c:pt>
                      <c:pt idx="17">
                        <c:v>-8.3657133289046573E-2</c:v>
                      </c:pt>
                      <c:pt idx="18">
                        <c:v>-0.1062726422541445</c:v>
                      </c:pt>
                      <c:pt idx="19">
                        <c:v>-0.12087367123534674</c:v>
                      </c:pt>
                      <c:pt idx="20">
                        <c:v>-0.13217155262613675</c:v>
                      </c:pt>
                      <c:pt idx="21">
                        <c:v>-0.13254989087810781</c:v>
                      </c:pt>
                      <c:pt idx="22">
                        <c:v>-0.13041360065626298</c:v>
                      </c:pt>
                      <c:pt idx="23">
                        <c:v>-0.12896963209499548</c:v>
                      </c:pt>
                      <c:pt idx="24">
                        <c:v>-0.12845475679287016</c:v>
                      </c:pt>
                      <c:pt idx="25">
                        <c:v>-0.12843522295692009</c:v>
                      </c:pt>
                      <c:pt idx="26">
                        <c:v>-0.12422524524010276</c:v>
                      </c:pt>
                      <c:pt idx="27">
                        <c:v>-0.11987408912494572</c:v>
                      </c:pt>
                      <c:pt idx="28">
                        <c:v>-0.11680494650458811</c:v>
                      </c:pt>
                      <c:pt idx="29">
                        <c:v>-0.11512682741823461</c:v>
                      </c:pt>
                      <c:pt idx="30">
                        <c:v>-0.11469650552786795</c:v>
                      </c:pt>
                      <c:pt idx="31">
                        <c:v>-0.11366082549884605</c:v>
                      </c:pt>
                      <c:pt idx="32">
                        <c:v>-0.11376797193140471</c:v>
                      </c:pt>
                      <c:pt idx="33">
                        <c:v>-0.11568620667369085</c:v>
                      </c:pt>
                      <c:pt idx="34">
                        <c:v>-0.11938816908401551</c:v>
                      </c:pt>
                      <c:pt idx="35">
                        <c:v>-0.12464289808777981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Données!$B$10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Données!$C$10:$AL$10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Données!$B$4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Données!$C$4:$AL$4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4.1071679390825011E-8</c:v>
                </c:pt>
                <c:pt idx="6">
                  <c:v>2.5043590758500045E-2</c:v>
                </c:pt>
                <c:pt idx="7">
                  <c:v>-0.20746925559940177</c:v>
                </c:pt>
                <c:pt idx="8">
                  <c:v>-0.41114053426568598</c:v>
                </c:pt>
                <c:pt idx="9">
                  <c:v>-0.22878309148918197</c:v>
                </c:pt>
                <c:pt idx="10">
                  <c:v>-1.2274325027983313E-2</c:v>
                </c:pt>
                <c:pt idx="11">
                  <c:v>0.13998192378448238</c:v>
                </c:pt>
                <c:pt idx="12">
                  <c:v>0.2457342861577283</c:v>
                </c:pt>
                <c:pt idx="13">
                  <c:v>0.32905277137398325</c:v>
                </c:pt>
                <c:pt idx="14">
                  <c:v>0.41761024914368505</c:v>
                </c:pt>
                <c:pt idx="15">
                  <c:v>0.51539535875166909</c:v>
                </c:pt>
                <c:pt idx="16">
                  <c:v>0.57603472219254215</c:v>
                </c:pt>
                <c:pt idx="17">
                  <c:v>0.6085840741736348</c:v>
                </c:pt>
                <c:pt idx="18">
                  <c:v>0.61874876687861846</c:v>
                </c:pt>
                <c:pt idx="19">
                  <c:v>0.61402915575039518</c:v>
                </c:pt>
                <c:pt idx="20">
                  <c:v>0.59467492823535029</c:v>
                </c:pt>
                <c:pt idx="21">
                  <c:v>0.55680448982464714</c:v>
                </c:pt>
                <c:pt idx="22">
                  <c:v>0.50720322073565249</c:v>
                </c:pt>
                <c:pt idx="23">
                  <c:v>0.44959490828970772</c:v>
                </c:pt>
                <c:pt idx="24">
                  <c:v>0.38813231600065556</c:v>
                </c:pt>
                <c:pt idx="25">
                  <c:v>0.32649143005005765</c:v>
                </c:pt>
                <c:pt idx="26">
                  <c:v>0.26041493076909283</c:v>
                </c:pt>
                <c:pt idx="27">
                  <c:v>0.19135208676472892</c:v>
                </c:pt>
                <c:pt idx="28">
                  <c:v>0.12400362550486488</c:v>
                </c:pt>
                <c:pt idx="29">
                  <c:v>6.2965748625010143E-2</c:v>
                </c:pt>
                <c:pt idx="30">
                  <c:v>1.1639285512599074E-2</c:v>
                </c:pt>
                <c:pt idx="31">
                  <c:v>-3.1975392267202807E-2</c:v>
                </c:pt>
                <c:pt idx="32">
                  <c:v>-6.4968961422839921E-2</c:v>
                </c:pt>
                <c:pt idx="33">
                  <c:v>-8.6999891223460413E-2</c:v>
                </c:pt>
                <c:pt idx="34">
                  <c:v>-9.8610857151837372E-2</c:v>
                </c:pt>
                <c:pt idx="35">
                  <c:v>-0.1007482524325698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Données!$B$63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Données!$C$63:$AL$63</c:f>
              <c:numCache>
                <c:formatCode>#\ ##0.0</c:formatCode>
                <c:ptCount val="36"/>
                <c:pt idx="1">
                  <c:v>2.1852706827970358</c:v>
                </c:pt>
                <c:pt idx="2">
                  <c:v>2.3089073197589016</c:v>
                </c:pt>
                <c:pt idx="3">
                  <c:v>2.5184765823866639</c:v>
                </c:pt>
                <c:pt idx="4">
                  <c:v>2.4719411562933669</c:v>
                </c:pt>
                <c:pt idx="5">
                  <c:v>2.5693403049328767</c:v>
                </c:pt>
                <c:pt idx="6">
                  <c:v>2.7686401075045497</c:v>
                </c:pt>
                <c:pt idx="7">
                  <c:v>2.9547204589964293</c:v>
                </c:pt>
                <c:pt idx="8">
                  <c:v>3.0793507210202131</c:v>
                </c:pt>
                <c:pt idx="9">
                  <c:v>3.1829732451523984</c:v>
                </c:pt>
                <c:pt idx="10">
                  <c:v>3.2443409528005729</c:v>
                </c:pt>
                <c:pt idx="11">
                  <c:v>3.2411306565347076</c:v>
                </c:pt>
                <c:pt idx="12">
                  <c:v>3.1872505713514965</c:v>
                </c:pt>
                <c:pt idx="13">
                  <c:v>3.0961703783577654</c:v>
                </c:pt>
                <c:pt idx="14">
                  <c:v>2.9826730562344084</c:v>
                </c:pt>
                <c:pt idx="15">
                  <c:v>2.8589142798014278</c:v>
                </c:pt>
                <c:pt idx="16">
                  <c:v>2.667763037716675</c:v>
                </c:pt>
                <c:pt idx="17">
                  <c:v>2.5052027838535773</c:v>
                </c:pt>
                <c:pt idx="18">
                  <c:v>2.369178610527789</c:v>
                </c:pt>
                <c:pt idx="19">
                  <c:v>2.260614441287756</c:v>
                </c:pt>
                <c:pt idx="20">
                  <c:v>2.1841765033049354</c:v>
                </c:pt>
                <c:pt idx="21">
                  <c:v>2.1297542045067619</c:v>
                </c:pt>
                <c:pt idx="22">
                  <c:v>2.0991535945376505</c:v>
                </c:pt>
                <c:pt idx="23">
                  <c:v>2.0924906354065964</c:v>
                </c:pt>
                <c:pt idx="24">
                  <c:v>2.1080931688929549</c:v>
                </c:pt>
                <c:pt idx="25">
                  <c:v>2.1587268091894707</c:v>
                </c:pt>
                <c:pt idx="26">
                  <c:v>2.2028358354246436</c:v>
                </c:pt>
                <c:pt idx="27">
                  <c:v>2.2558680217417582</c:v>
                </c:pt>
                <c:pt idx="28">
                  <c:v>2.3170118775468707</c:v>
                </c:pt>
                <c:pt idx="29">
                  <c:v>2.3833527315588743</c:v>
                </c:pt>
                <c:pt idx="30">
                  <c:v>2.4493423651380741</c:v>
                </c:pt>
                <c:pt idx="31">
                  <c:v>2.509622371696052</c:v>
                </c:pt>
                <c:pt idx="32">
                  <c:v>2.5603179883398441</c:v>
                </c:pt>
                <c:pt idx="33">
                  <c:v>2.5986925166612052</c:v>
                </c:pt>
                <c:pt idx="34">
                  <c:v>2.6227675636644854</c:v>
                </c:pt>
                <c:pt idx="35">
                  <c:v>2.6311621149033737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Données!$B$64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2.1852705808032891</c:v>
                </c:pt>
                <c:pt idx="2">
                  <c:v>2.3089073197589016</c:v>
                </c:pt>
                <c:pt idx="3">
                  <c:v>2.5184765823866639</c:v>
                </c:pt>
                <c:pt idx="4">
                  <c:v>2.4719412494215831</c:v>
                </c:pt>
                <c:pt idx="5">
                  <c:v>2.5693403025978334</c:v>
                </c:pt>
                <c:pt idx="6">
                  <c:v>2.6864505143298967</c:v>
                </c:pt>
                <c:pt idx="7">
                  <c:v>3.0633550039524282</c:v>
                </c:pt>
                <c:pt idx="8">
                  <c:v>3.3051671021015139</c:v>
                </c:pt>
                <c:pt idx="9">
                  <c:v>3.6672053084240153</c:v>
                </c:pt>
                <c:pt idx="10">
                  <c:v>4.1135680316358947</c:v>
                </c:pt>
                <c:pt idx="11">
                  <c:v>3.6676752911184884</c:v>
                </c:pt>
                <c:pt idx="12">
                  <c:v>3.6064160610994822</c:v>
                </c:pt>
                <c:pt idx="13">
                  <c:v>3.5234908712781676</c:v>
                </c:pt>
                <c:pt idx="14">
                  <c:v>3.4203100305691514</c:v>
                </c:pt>
                <c:pt idx="15">
                  <c:v>3.3057071248627334</c:v>
                </c:pt>
                <c:pt idx="16">
                  <c:v>3.2149064993265641</c:v>
                </c:pt>
                <c:pt idx="17">
                  <c:v>3.0983891975222777</c:v>
                </c:pt>
                <c:pt idx="18">
                  <c:v>2.9832261234738588</c:v>
                </c:pt>
                <c:pt idx="19">
                  <c:v>2.8563520411492904</c:v>
                </c:pt>
                <c:pt idx="20">
                  <c:v>2.7701626658211298</c:v>
                </c:pt>
                <c:pt idx="21">
                  <c:v>2.6158555578279508</c:v>
                </c:pt>
                <c:pt idx="22">
                  <c:v>2.5291716886588045</c:v>
                </c:pt>
                <c:pt idx="23">
                  <c:v>2.4647379607822817</c:v>
                </c:pt>
                <c:pt idx="24">
                  <c:v>2.4205809229272068</c:v>
                </c:pt>
                <c:pt idx="25">
                  <c:v>2.4118895203957491</c:v>
                </c:pt>
                <c:pt idx="26">
                  <c:v>2.3461464639982665</c:v>
                </c:pt>
                <c:pt idx="27">
                  <c:v>2.333636277697626</c:v>
                </c:pt>
                <c:pt idx="28">
                  <c:v>2.339428118979292</c:v>
                </c:pt>
                <c:pt idx="29">
                  <c:v>2.3600192644148699</c:v>
                </c:pt>
                <c:pt idx="30">
                  <c:v>2.3908624551066016</c:v>
                </c:pt>
                <c:pt idx="31">
                  <c:v>2.4030416785970843</c:v>
                </c:pt>
                <c:pt idx="32">
                  <c:v>2.432628081288124</c:v>
                </c:pt>
                <c:pt idx="33">
                  <c:v>2.4617837509256946</c:v>
                </c:pt>
                <c:pt idx="34">
                  <c:v>2.4870081502730734</c:v>
                </c:pt>
                <c:pt idx="35">
                  <c:v>2.5058066084245434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Données!$B$66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Données!$C$66:$AL$66</c:f>
              <c:numCache>
                <c:formatCode>#,##0</c:formatCode>
                <c:ptCount val="36"/>
                <c:pt idx="0">
                  <c:v>347.96453320000001</c:v>
                </c:pt>
                <c:pt idx="1">
                  <c:v>348.33814860000001</c:v>
                </c:pt>
                <c:pt idx="2">
                  <c:v>348.92544700000002</c:v>
                </c:pt>
                <c:pt idx="3">
                  <c:v>349.38157419999999</c:v>
                </c:pt>
                <c:pt idx="4">
                  <c:v>351.90915319999999</c:v>
                </c:pt>
                <c:pt idx="5">
                  <c:v>356.04349239999999</c:v>
                </c:pt>
                <c:pt idx="6">
                  <c:v>360.83220080000001</c:v>
                </c:pt>
                <c:pt idx="7">
                  <c:v>365.8492847</c:v>
                </c:pt>
                <c:pt idx="8">
                  <c:v>371.09210209999998</c:v>
                </c:pt>
                <c:pt idx="9">
                  <c:v>376.50630940000002</c:v>
                </c:pt>
                <c:pt idx="10">
                  <c:v>381.9158966</c:v>
                </c:pt>
                <c:pt idx="11">
                  <c:v>387.55952109999998</c:v>
                </c:pt>
                <c:pt idx="12">
                  <c:v>392.53897899999998</c:v>
                </c:pt>
                <c:pt idx="13">
                  <c:v>397.0634369</c:v>
                </c:pt>
                <c:pt idx="14">
                  <c:v>401.34464179999998</c:v>
                </c:pt>
                <c:pt idx="15">
                  <c:v>405.57688289999999</c:v>
                </c:pt>
                <c:pt idx="16">
                  <c:v>410.51298450000002</c:v>
                </c:pt>
                <c:pt idx="17">
                  <c:v>416.35380350000003</c:v>
                </c:pt>
                <c:pt idx="18">
                  <c:v>423.12096889999998</c:v>
                </c:pt>
                <c:pt idx="19">
                  <c:v>430.80970600000001</c:v>
                </c:pt>
                <c:pt idx="20">
                  <c:v>439.37975770000003</c:v>
                </c:pt>
                <c:pt idx="21">
                  <c:v>448.93522000000002</c:v>
                </c:pt>
                <c:pt idx="22">
                  <c:v>459.53585889999999</c:v>
                </c:pt>
                <c:pt idx="23">
                  <c:v>471.24503989999999</c:v>
                </c:pt>
                <c:pt idx="24">
                  <c:v>484.1077252</c:v>
                </c:pt>
                <c:pt idx="25">
                  <c:v>498.03644709999998</c:v>
                </c:pt>
                <c:pt idx="26">
                  <c:v>509.19697989999997</c:v>
                </c:pt>
                <c:pt idx="27">
                  <c:v>519.81974579999996</c:v>
                </c:pt>
                <c:pt idx="28">
                  <c:v>530.88146500000005</c:v>
                </c:pt>
                <c:pt idx="29">
                  <c:v>542.59647910000001</c:v>
                </c:pt>
                <c:pt idx="30">
                  <c:v>554.88892169999997</c:v>
                </c:pt>
                <c:pt idx="31">
                  <c:v>567.61817189999999</c:v>
                </c:pt>
                <c:pt idx="32">
                  <c:v>580.65045459999999</c:v>
                </c:pt>
                <c:pt idx="33">
                  <c:v>593.86071819999995</c:v>
                </c:pt>
                <c:pt idx="34">
                  <c:v>607.13039200000003</c:v>
                </c:pt>
                <c:pt idx="35">
                  <c:v>620.34477660000005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Données!$B$72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Données!$C$72:$AL$72</c:f>
              <c:numCache>
                <c:formatCode>#,##0</c:formatCode>
                <c:ptCount val="36"/>
                <c:pt idx="0">
                  <c:v>347.96455589999999</c:v>
                </c:pt>
                <c:pt idx="1">
                  <c:v>348.33817060000001</c:v>
                </c:pt>
                <c:pt idx="2">
                  <c:v>348.92546859999999</c:v>
                </c:pt>
                <c:pt idx="3">
                  <c:v>349.38159530000001</c:v>
                </c:pt>
                <c:pt idx="4">
                  <c:v>351.90917400000001</c:v>
                </c:pt>
                <c:pt idx="5">
                  <c:v>356.04351329999997</c:v>
                </c:pt>
                <c:pt idx="6">
                  <c:v>361.61399030000001</c:v>
                </c:pt>
                <c:pt idx="7">
                  <c:v>364.17928590000002</c:v>
                </c:pt>
                <c:pt idx="8">
                  <c:v>363.84600469999998</c:v>
                </c:pt>
                <c:pt idx="9">
                  <c:v>362.11428389999998</c:v>
                </c:pt>
                <c:pt idx="10">
                  <c:v>356.90350919999997</c:v>
                </c:pt>
                <c:pt idx="11">
                  <c:v>354.31403419999998</c:v>
                </c:pt>
                <c:pt idx="12">
                  <c:v>352.69193630000001</c:v>
                </c:pt>
                <c:pt idx="13">
                  <c:v>351.72633980000001</c:v>
                </c:pt>
                <c:pt idx="14">
                  <c:v>351.29867330000002</c:v>
                </c:pt>
                <c:pt idx="15">
                  <c:v>351.31684689999997</c:v>
                </c:pt>
                <c:pt idx="16">
                  <c:v>349.25025979999998</c:v>
                </c:pt>
                <c:pt idx="17">
                  <c:v>347.18624219999998</c:v>
                </c:pt>
                <c:pt idx="18">
                  <c:v>344.33975429999998</c:v>
                </c:pt>
                <c:pt idx="19">
                  <c:v>339.03035899999998</c:v>
                </c:pt>
                <c:pt idx="20">
                  <c:v>333.49951299999998</c:v>
                </c:pt>
                <c:pt idx="21">
                  <c:v>328.09119920000001</c:v>
                </c:pt>
                <c:pt idx="22">
                  <c:v>322.89490009999997</c:v>
                </c:pt>
                <c:pt idx="23">
                  <c:v>318.04318009999997</c:v>
                </c:pt>
                <c:pt idx="24">
                  <c:v>313.69455859999999</c:v>
                </c:pt>
                <c:pt idx="25">
                  <c:v>309.94583940000001</c:v>
                </c:pt>
                <c:pt idx="26">
                  <c:v>304.47614629999998</c:v>
                </c:pt>
                <c:pt idx="27">
                  <c:v>299.06500729999999</c:v>
                </c:pt>
                <c:pt idx="28">
                  <c:v>294.40081730000003</c:v>
                </c:pt>
                <c:pt idx="29">
                  <c:v>290.60376300000001</c:v>
                </c:pt>
                <c:pt idx="30">
                  <c:v>287.58965910000001</c:v>
                </c:pt>
                <c:pt idx="31">
                  <c:v>285.30553809999998</c:v>
                </c:pt>
                <c:pt idx="32">
                  <c:v>283.62546839999999</c:v>
                </c:pt>
                <c:pt idx="33">
                  <c:v>282.43901</c:v>
                </c:pt>
                <c:pt idx="34">
                  <c:v>281.65498789999998</c:v>
                </c:pt>
                <c:pt idx="35">
                  <c:v>281.20055170000001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Données!$C$67:$AL$67</c:f>
              <c:numCache>
                <c:formatCode>#,##0</c:formatCode>
                <c:ptCount val="36"/>
                <c:pt idx="0">
                  <c:v>119.490486</c:v>
                </c:pt>
                <c:pt idx="1">
                  <c:v>118.37914960000001</c:v>
                </c:pt>
                <c:pt idx="2">
                  <c:v>117.14360859999999</c:v>
                </c:pt>
                <c:pt idx="3">
                  <c:v>115.9595157</c:v>
                </c:pt>
                <c:pt idx="4">
                  <c:v>115.42480949999999</c:v>
                </c:pt>
                <c:pt idx="5">
                  <c:v>115.30187890000001</c:v>
                </c:pt>
                <c:pt idx="6">
                  <c:v>115.1873416</c:v>
                </c:pt>
                <c:pt idx="7">
                  <c:v>115.06907339999999</c:v>
                </c:pt>
                <c:pt idx="8">
                  <c:v>115.02081</c:v>
                </c:pt>
                <c:pt idx="9">
                  <c:v>115.0451707</c:v>
                </c:pt>
                <c:pt idx="10">
                  <c:v>115.1744837</c:v>
                </c:pt>
                <c:pt idx="11">
                  <c:v>115.327769</c:v>
                </c:pt>
                <c:pt idx="12">
                  <c:v>115.49158250000001</c:v>
                </c:pt>
                <c:pt idx="13">
                  <c:v>115.6477884</c:v>
                </c:pt>
                <c:pt idx="14">
                  <c:v>115.7798404</c:v>
                </c:pt>
                <c:pt idx="15">
                  <c:v>115.8765928</c:v>
                </c:pt>
                <c:pt idx="16">
                  <c:v>116.0731938</c:v>
                </c:pt>
                <c:pt idx="17">
                  <c:v>116.30768209999999</c:v>
                </c:pt>
                <c:pt idx="18">
                  <c:v>116.5503508</c:v>
                </c:pt>
                <c:pt idx="19">
                  <c:v>116.78722500000001</c:v>
                </c:pt>
                <c:pt idx="20">
                  <c:v>116.9871914</c:v>
                </c:pt>
                <c:pt idx="21">
                  <c:v>117.1906066</c:v>
                </c:pt>
                <c:pt idx="22">
                  <c:v>117.3944104</c:v>
                </c:pt>
                <c:pt idx="23">
                  <c:v>117.60086320000001</c:v>
                </c:pt>
                <c:pt idx="24">
                  <c:v>117.81400960000001</c:v>
                </c:pt>
                <c:pt idx="25">
                  <c:v>117.9669663</c:v>
                </c:pt>
                <c:pt idx="26">
                  <c:v>118.1363403</c:v>
                </c:pt>
                <c:pt idx="27">
                  <c:v>118.32139669999999</c:v>
                </c:pt>
                <c:pt idx="28">
                  <c:v>118.5239766</c:v>
                </c:pt>
                <c:pt idx="29">
                  <c:v>118.746156</c:v>
                </c:pt>
                <c:pt idx="30">
                  <c:v>118.9876969</c:v>
                </c:pt>
                <c:pt idx="31">
                  <c:v>119.24442790000001</c:v>
                </c:pt>
                <c:pt idx="32">
                  <c:v>119.5106826</c:v>
                </c:pt>
                <c:pt idx="33">
                  <c:v>119.779465</c:v>
                </c:pt>
                <c:pt idx="34">
                  <c:v>120.0427701</c:v>
                </c:pt>
                <c:pt idx="35">
                  <c:v>120.29190010000001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118.3791564</c:v>
                </c:pt>
                <c:pt idx="2">
                  <c:v>117.1436152</c:v>
                </c:pt>
                <c:pt idx="3">
                  <c:v>115.9595221</c:v>
                </c:pt>
                <c:pt idx="4">
                  <c:v>115.4248157</c:v>
                </c:pt>
                <c:pt idx="5">
                  <c:v>115.30188510000001</c:v>
                </c:pt>
                <c:pt idx="6">
                  <c:v>115.4221881</c:v>
                </c:pt>
                <c:pt idx="7">
                  <c:v>115.00401050000001</c:v>
                </c:pt>
                <c:pt idx="8">
                  <c:v>113.9834144</c:v>
                </c:pt>
                <c:pt idx="9">
                  <c:v>112.5809057</c:v>
                </c:pt>
                <c:pt idx="10">
                  <c:v>110.59106130000001</c:v>
                </c:pt>
                <c:pt idx="11">
                  <c:v>109.5492644</c:v>
                </c:pt>
                <c:pt idx="12">
                  <c:v>108.93490660000001</c:v>
                </c:pt>
                <c:pt idx="13">
                  <c:v>108.4690895</c:v>
                </c:pt>
                <c:pt idx="14">
                  <c:v>108.010132</c:v>
                </c:pt>
                <c:pt idx="15">
                  <c:v>107.4908768</c:v>
                </c:pt>
                <c:pt idx="16">
                  <c:v>106.3583165</c:v>
                </c:pt>
                <c:pt idx="17">
                  <c:v>105.0746472</c:v>
                </c:pt>
                <c:pt idx="18">
                  <c:v>103.2497436</c:v>
                </c:pt>
                <c:pt idx="19">
                  <c:v>100.0439813</c:v>
                </c:pt>
                <c:pt idx="20">
                  <c:v>96.528634690000004</c:v>
                </c:pt>
                <c:pt idx="21">
                  <c:v>92.829315940000001</c:v>
                </c:pt>
                <c:pt idx="22">
                  <c:v>88.951490789999994</c:v>
                </c:pt>
                <c:pt idx="23">
                  <c:v>84.929914190000005</c:v>
                </c:pt>
                <c:pt idx="24">
                  <c:v>80.816974979999998</c:v>
                </c:pt>
                <c:pt idx="25">
                  <c:v>76.628853000000007</c:v>
                </c:pt>
                <c:pt idx="26">
                  <c:v>72.497057409999996</c:v>
                </c:pt>
                <c:pt idx="27">
                  <c:v>68.456045470000007</c:v>
                </c:pt>
                <c:pt idx="28">
                  <c:v>64.544584560000004</c:v>
                </c:pt>
                <c:pt idx="29">
                  <c:v>60.798974459999997</c:v>
                </c:pt>
                <c:pt idx="30">
                  <c:v>57.249134589999997</c:v>
                </c:pt>
                <c:pt idx="31">
                  <c:v>53.937882260000002</c:v>
                </c:pt>
                <c:pt idx="32">
                  <c:v>50.871431260000001</c:v>
                </c:pt>
                <c:pt idx="33">
                  <c:v>48.054863419999997</c:v>
                </c:pt>
                <c:pt idx="34">
                  <c:v>45.490465759999999</c:v>
                </c:pt>
                <c:pt idx="35">
                  <c:v>43.17644584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Données!$B$74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Données!$C$74:$AL$74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228.47406275590001</c:v>
                      </c:pt>
                      <c:pt idx="1">
                        <c:v>229.95901430039999</c:v>
                      </c:pt>
                      <c:pt idx="2">
                        <c:v>231.78185346889998</c:v>
                      </c:pt>
                      <c:pt idx="3">
                        <c:v>233.42207316460002</c:v>
                      </c:pt>
                      <c:pt idx="4">
                        <c:v>236.48435828980001</c:v>
                      </c:pt>
                      <c:pt idx="5">
                        <c:v>240.74162820909999</c:v>
                      </c:pt>
                      <c:pt idx="6">
                        <c:v>246.1918021923</c:v>
                      </c:pt>
                      <c:pt idx="7">
                        <c:v>249.17527540360001</c:v>
                      </c:pt>
                      <c:pt idx="8">
                        <c:v>249.86259027789998</c:v>
                      </c:pt>
                      <c:pt idx="9">
                        <c:v>249.53337817120001</c:v>
                      </c:pt>
                      <c:pt idx="10">
                        <c:v>246.31244787</c:v>
                      </c:pt>
                      <c:pt idx="11">
                        <c:v>244.76476975610001</c:v>
                      </c:pt>
                      <c:pt idx="12">
                        <c:v>243.75702961830001</c:v>
                      </c:pt>
                      <c:pt idx="13">
                        <c:v>243.25725024559998</c:v>
                      </c:pt>
                      <c:pt idx="14">
                        <c:v>243.28854127220001</c:v>
                      </c:pt>
                      <c:pt idx="15">
                        <c:v>243.82597001210002</c:v>
                      </c:pt>
                      <c:pt idx="16">
                        <c:v>242.89194337959998</c:v>
                      </c:pt>
                      <c:pt idx="17">
                        <c:v>242.11159492740001</c:v>
                      </c:pt>
                      <c:pt idx="18">
                        <c:v>241.09001073339996</c:v>
                      </c:pt>
                      <c:pt idx="19">
                        <c:v>238.98637772929999</c:v>
                      </c:pt>
                      <c:pt idx="20">
                        <c:v>236.9708783282</c:v>
                      </c:pt>
                      <c:pt idx="21">
                        <c:v>235.26188329510001</c:v>
                      </c:pt>
                      <c:pt idx="22">
                        <c:v>233.94340930939998</c:v>
                      </c:pt>
                      <c:pt idx="23">
                        <c:v>233.11326592009999</c:v>
                      </c:pt>
                      <c:pt idx="24">
                        <c:v>232.87758363200001</c:v>
                      </c:pt>
                      <c:pt idx="25">
                        <c:v>233.31698645660001</c:v>
                      </c:pt>
                      <c:pt idx="26">
                        <c:v>231.97908889289999</c:v>
                      </c:pt>
                      <c:pt idx="27">
                        <c:v>230.6089618112</c:v>
                      </c:pt>
                      <c:pt idx="28">
                        <c:v>229.8562326935</c:v>
                      </c:pt>
                      <c:pt idx="29">
                        <c:v>229.80478848679996</c:v>
                      </c:pt>
                      <c:pt idx="30">
                        <c:v>230.34052450990001</c:v>
                      </c:pt>
                      <c:pt idx="31">
                        <c:v>231.36765576900001</c:v>
                      </c:pt>
                      <c:pt idx="32">
                        <c:v>232.75403708600001</c:v>
                      </c:pt>
                      <c:pt idx="33">
                        <c:v>234.38414657640001</c:v>
                      </c:pt>
                      <c:pt idx="34">
                        <c:v>236.1645221636</c:v>
                      </c:pt>
                      <c:pt idx="35">
                        <c:v>238.02410589160002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Données!$B$68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Données!$C$68:$AL$68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228.47404725589999</c:v>
                      </c:pt>
                      <c:pt idx="1">
                        <c:v>229.95899900040001</c:v>
                      </c:pt>
                      <c:pt idx="2">
                        <c:v>231.7818383689</c:v>
                      </c:pt>
                      <c:pt idx="3">
                        <c:v>233.42205846460001</c:v>
                      </c:pt>
                      <c:pt idx="4">
                        <c:v>236.48434369980001</c:v>
                      </c:pt>
                      <c:pt idx="5">
                        <c:v>240.74161350910001</c:v>
                      </c:pt>
                      <c:pt idx="6">
                        <c:v>245.64485915009999</c:v>
                      </c:pt>
                      <c:pt idx="7">
                        <c:v>250.78021127790001</c:v>
                      </c:pt>
                      <c:pt idx="8">
                        <c:v>256.0712920643</c:v>
                      </c:pt>
                      <c:pt idx="9">
                        <c:v>261.46113873659999</c:v>
                      </c:pt>
                      <c:pt idx="10">
                        <c:v>266.74141293279996</c:v>
                      </c:pt>
                      <c:pt idx="11">
                        <c:v>272.23175211009999</c:v>
                      </c:pt>
                      <c:pt idx="12">
                        <c:v>277.0473965251</c:v>
                      </c:pt>
                      <c:pt idx="13">
                        <c:v>281.41564845250002</c:v>
                      </c:pt>
                      <c:pt idx="14">
                        <c:v>285.56480146730001</c:v>
                      </c:pt>
                      <c:pt idx="15">
                        <c:v>289.70029012829997</c:v>
                      </c:pt>
                      <c:pt idx="16">
                        <c:v>294.43979061620001</c:v>
                      </c:pt>
                      <c:pt idx="17">
                        <c:v>300.04612132189999</c:v>
                      </c:pt>
                      <c:pt idx="18">
                        <c:v>306.5706180473</c:v>
                      </c:pt>
                      <c:pt idx="19">
                        <c:v>314.02248101369997</c:v>
                      </c:pt>
                      <c:pt idx="20">
                        <c:v>322.39256639640001</c:v>
                      </c:pt>
                      <c:pt idx="21">
                        <c:v>331.7446134324</c:v>
                      </c:pt>
                      <c:pt idx="22">
                        <c:v>342.14144849849998</c:v>
                      </c:pt>
                      <c:pt idx="23">
                        <c:v>353.64417672320002</c:v>
                      </c:pt>
                      <c:pt idx="24">
                        <c:v>366.29371549170003</c:v>
                      </c:pt>
                      <c:pt idx="25">
                        <c:v>380.06948073089995</c:v>
                      </c:pt>
                      <c:pt idx="26">
                        <c:v>391.06063958899995</c:v>
                      </c:pt>
                      <c:pt idx="27">
                        <c:v>401.49834916050003</c:v>
                      </c:pt>
                      <c:pt idx="28">
                        <c:v>412.3574884061</c:v>
                      </c:pt>
                      <c:pt idx="29">
                        <c:v>423.85032307110004</c:v>
                      </c:pt>
                      <c:pt idx="30">
                        <c:v>435.90122486909996</c:v>
                      </c:pt>
                      <c:pt idx="31">
                        <c:v>448.37374394350002</c:v>
                      </c:pt>
                      <c:pt idx="32">
                        <c:v>461.13977200459999</c:v>
                      </c:pt>
                      <c:pt idx="33">
                        <c:v>474.0812532425</c:v>
                      </c:pt>
                      <c:pt idx="34">
                        <c:v>487.08762182050003</c:v>
                      </c:pt>
                      <c:pt idx="35">
                        <c:v>500.05287645640004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Données!$B$230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-1.0426502000000255</c:v>
                </c:pt>
                <c:pt idx="1">
                  <c:v>-9.8529531000000361</c:v>
                </c:pt>
                <c:pt idx="2">
                  <c:v>-26.387197999999898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Données!$B$231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#,##0</c:formatCode>
                <c:ptCount val="3"/>
                <c:pt idx="0">
                  <c:v>11.098381999999219</c:v>
                </c:pt>
                <c:pt idx="1">
                  <c:v>9.7270000000207801E-2</c:v>
                </c:pt>
                <c:pt idx="2">
                  <c:v>-7.1054720000001907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Données!$B$232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#,##0</c:formatCode>
                <c:ptCount val="3"/>
                <c:pt idx="0">
                  <c:v>-20.361110699999927</c:v>
                </c:pt>
                <c:pt idx="1">
                  <c:v>-49.060731400000009</c:v>
                </c:pt>
                <c:pt idx="2">
                  <c:v>-56.398975999999948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#,##0</c:formatCode>
                <c:ptCount val="3"/>
                <c:pt idx="0">
                  <c:v>173.43342999999732</c:v>
                </c:pt>
                <c:pt idx="1">
                  <c:v>112.81328999999823</c:v>
                </c:pt>
                <c:pt idx="2">
                  <c:v>-96.820860000003449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Données!$B$234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Données!$C$234:$E$234</c:f>
              <c:numCache>
                <c:formatCode>#\ ##0.0</c:formatCode>
                <c:ptCount val="3"/>
                <c:pt idx="0">
                  <c:v>-0.71942217610000014</c:v>
                </c:pt>
                <c:pt idx="1">
                  <c:v>-3.3405039461999948</c:v>
                </c:pt>
                <c:pt idx="2">
                  <c:v>-5.7636952840000042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Données!$B$235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Données!$C$235:$E$235</c:f>
              <c:numCache>
                <c:formatCode>#\ ##0.0</c:formatCode>
                <c:ptCount val="3"/>
                <c:pt idx="0">
                  <c:v>-0.11069859390000047</c:v>
                </c:pt>
                <c:pt idx="1">
                  <c:v>12.691793566199998</c:v>
                </c:pt>
                <c:pt idx="2">
                  <c:v>40.158917084000002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Données!$C$236:$E$236</c:f>
              <c:numCache>
                <c:formatCode>#\ ##0.0</c:formatCode>
                <c:ptCount val="3"/>
                <c:pt idx="0">
                  <c:v>3.4986229000000009</c:v>
                </c:pt>
                <c:pt idx="1">
                  <c:v>1.534478699999994</c:v>
                </c:pt>
                <c:pt idx="2">
                  <c:v>-7.1036794999999984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165.79654999999912</c:v>
                </c:pt>
                <c:pt idx="1">
                  <c:v>64.88263999999981</c:v>
                </c:pt>
                <c:pt idx="2">
                  <c:v>-159.42094999999972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Données!$B$188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1.8545187607799107E-10</c:v>
                </c:pt>
                <c:pt idx="4">
                  <c:v>0</c:v>
                </c:pt>
                <c:pt idx="5">
                  <c:v>-1.0272227513041798E-11</c:v>
                </c:pt>
                <c:pt idx="6">
                  <c:v>-2.9883328444046953E-4</c:v>
                </c:pt>
                <c:pt idx="7">
                  <c:v>3.4198516381165334E-3</c:v>
                </c:pt>
                <c:pt idx="8">
                  <c:v>7.4647903863183096E-3</c:v>
                </c:pt>
                <c:pt idx="9">
                  <c:v>7.7485528599252618E-3</c:v>
                </c:pt>
                <c:pt idx="10">
                  <c:v>8.8793915106819554E-3</c:v>
                </c:pt>
                <c:pt idx="11">
                  <c:v>1.1387740855377748E-2</c:v>
                </c:pt>
                <c:pt idx="12">
                  <c:v>1.4906258824783025E-2</c:v>
                </c:pt>
                <c:pt idx="13">
                  <c:v>1.8895337692809377E-2</c:v>
                </c:pt>
                <c:pt idx="14">
                  <c:v>2.2930113469378899E-2</c:v>
                </c:pt>
                <c:pt idx="15">
                  <c:v>2.6974291317593435E-2</c:v>
                </c:pt>
                <c:pt idx="16">
                  <c:v>3.1525213382394668E-2</c:v>
                </c:pt>
                <c:pt idx="17">
                  <c:v>3.6829908745634521E-2</c:v>
                </c:pt>
                <c:pt idx="18">
                  <c:v>4.293301124668969E-2</c:v>
                </c:pt>
                <c:pt idx="19">
                  <c:v>4.9769668129956646E-2</c:v>
                </c:pt>
                <c:pt idx="20">
                  <c:v>5.7227364602760789E-2</c:v>
                </c:pt>
                <c:pt idx="21">
                  <c:v>6.5217004173434789E-2</c:v>
                </c:pt>
                <c:pt idx="22">
                  <c:v>7.3505354654405552E-2</c:v>
                </c:pt>
                <c:pt idx="23">
                  <c:v>8.1922106885429669E-2</c:v>
                </c:pt>
                <c:pt idx="24">
                  <c:v>9.0326059862154473E-2</c:v>
                </c:pt>
                <c:pt idx="25">
                  <c:v>9.8596227476022369E-2</c:v>
                </c:pt>
                <c:pt idx="26">
                  <c:v>0.10702276034093905</c:v>
                </c:pt>
                <c:pt idx="27">
                  <c:v>0.11514992811386993</c:v>
                </c:pt>
                <c:pt idx="28">
                  <c:v>0.12277239703361786</c:v>
                </c:pt>
                <c:pt idx="29">
                  <c:v>0.12976012272051984</c:v>
                </c:pt>
                <c:pt idx="30">
                  <c:v>0.13603225539238983</c:v>
                </c:pt>
                <c:pt idx="31">
                  <c:v>0.14156790961088062</c:v>
                </c:pt>
                <c:pt idx="32">
                  <c:v>0.14629698643633171</c:v>
                </c:pt>
                <c:pt idx="33">
                  <c:v>0.15020121986289059</c:v>
                </c:pt>
                <c:pt idx="34">
                  <c:v>0.15329648884893343</c:v>
                </c:pt>
                <c:pt idx="35">
                  <c:v>0.15561916879159954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Données!$B$189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-1.021627227260069E-12</c:v>
                </c:pt>
                <c:pt idx="1">
                  <c:v>3.1887825713283746E-12</c:v>
                </c:pt>
                <c:pt idx="2">
                  <c:v>-6.5447536279350516E-11</c:v>
                </c:pt>
                <c:pt idx="3">
                  <c:v>1.3576695323536114E-10</c:v>
                </c:pt>
                <c:pt idx="4">
                  <c:v>8.4975582126389781E-11</c:v>
                </c:pt>
                <c:pt idx="5">
                  <c:v>-1.0820677687206626E-11</c:v>
                </c:pt>
                <c:pt idx="6">
                  <c:v>-2.7846061880765216E-4</c:v>
                </c:pt>
                <c:pt idx="7">
                  <c:v>4.1045747958405876E-3</c:v>
                </c:pt>
                <c:pt idx="8">
                  <c:v>8.2475899360014981E-3</c:v>
                </c:pt>
                <c:pt idx="9">
                  <c:v>6.7541191213944529E-3</c:v>
                </c:pt>
                <c:pt idx="10">
                  <c:v>5.7569061845337277E-3</c:v>
                </c:pt>
                <c:pt idx="11">
                  <c:v>5.5074781717361354E-3</c:v>
                </c:pt>
                <c:pt idx="12">
                  <c:v>6.0389914344460838E-3</c:v>
                </c:pt>
                <c:pt idx="13">
                  <c:v>6.9221197856763617E-3</c:v>
                </c:pt>
                <c:pt idx="14">
                  <c:v>7.6635730837322225E-3</c:v>
                </c:pt>
                <c:pt idx="15">
                  <c:v>8.2240985476680351E-3</c:v>
                </c:pt>
                <c:pt idx="16">
                  <c:v>9.3217817652537782E-3</c:v>
                </c:pt>
                <c:pt idx="17">
                  <c:v>1.0873774531049873E-2</c:v>
                </c:pt>
                <c:pt idx="18">
                  <c:v>1.27992276454445E-2</c:v>
                </c:pt>
                <c:pt idx="19">
                  <c:v>1.4983913155622641E-2</c:v>
                </c:pt>
                <c:pt idx="20">
                  <c:v>1.7381776713401909E-2</c:v>
                </c:pt>
                <c:pt idx="21">
                  <c:v>1.988172840576885E-2</c:v>
                </c:pt>
                <c:pt idx="22">
                  <c:v>2.243707422719643E-2</c:v>
                </c:pt>
                <c:pt idx="23">
                  <c:v>2.5016000462315446E-2</c:v>
                </c:pt>
                <c:pt idx="24">
                  <c:v>2.7583791458961393E-2</c:v>
                </c:pt>
                <c:pt idx="25">
                  <c:v>3.0120284269197217E-2</c:v>
                </c:pt>
                <c:pt idx="26">
                  <c:v>3.2591124628576162E-2</c:v>
                </c:pt>
                <c:pt idx="27">
                  <c:v>3.5034562775478673E-2</c:v>
                </c:pt>
                <c:pt idx="28">
                  <c:v>3.7454818756226027E-2</c:v>
                </c:pt>
                <c:pt idx="29">
                  <c:v>3.984359850670649E-2</c:v>
                </c:pt>
                <c:pt idx="30">
                  <c:v>4.2196008280856789E-2</c:v>
                </c:pt>
                <c:pt idx="31">
                  <c:v>4.4505777149459913E-2</c:v>
                </c:pt>
                <c:pt idx="32">
                  <c:v>4.6775984566667317E-2</c:v>
                </c:pt>
                <c:pt idx="33">
                  <c:v>4.9020087652781541E-2</c:v>
                </c:pt>
                <c:pt idx="34">
                  <c:v>5.1252160480525166E-2</c:v>
                </c:pt>
                <c:pt idx="35">
                  <c:v>5.3483857304525539E-2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Données!$B$190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0</c:v>
                </c:pt>
                <c:pt idx="1">
                  <c:v>-8.0995765650015983E-11</c:v>
                </c:pt>
                <c:pt idx="2">
                  <c:v>-1.1006251465772721E-10</c:v>
                </c:pt>
                <c:pt idx="3">
                  <c:v>0</c:v>
                </c:pt>
                <c:pt idx="4">
                  <c:v>-7.5608408423022411E-11</c:v>
                </c:pt>
                <c:pt idx="5">
                  <c:v>-1.0494027868901412E-10</c:v>
                </c:pt>
                <c:pt idx="6">
                  <c:v>-2.559543727942426E-4</c:v>
                </c:pt>
                <c:pt idx="7">
                  <c:v>4.7666050629044943E-3</c:v>
                </c:pt>
                <c:pt idx="8">
                  <c:v>1.0139557770191931E-2</c:v>
                </c:pt>
                <c:pt idx="9">
                  <c:v>1.1102532852051761E-2</c:v>
                </c:pt>
                <c:pt idx="10">
                  <c:v>1.4141515215229772E-2</c:v>
                </c:pt>
                <c:pt idx="11">
                  <c:v>1.7818227472911508E-2</c:v>
                </c:pt>
                <c:pt idx="12">
                  <c:v>2.1390650214234697E-2</c:v>
                </c:pt>
                <c:pt idx="13">
                  <c:v>2.4366693745107915E-2</c:v>
                </c:pt>
                <c:pt idx="14">
                  <c:v>2.6473337394570695E-2</c:v>
                </c:pt>
                <c:pt idx="15">
                  <c:v>2.7935396109014743E-2</c:v>
                </c:pt>
                <c:pt idx="16">
                  <c:v>2.9614494666438063E-2</c:v>
                </c:pt>
                <c:pt idx="17">
                  <c:v>3.1886641983957409E-2</c:v>
                </c:pt>
                <c:pt idx="18">
                  <c:v>3.4697699152876682E-2</c:v>
                </c:pt>
                <c:pt idx="19">
                  <c:v>3.7755003421692912E-2</c:v>
                </c:pt>
                <c:pt idx="20">
                  <c:v>4.0948747242253614E-2</c:v>
                </c:pt>
                <c:pt idx="21">
                  <c:v>4.3953559757824445E-2</c:v>
                </c:pt>
                <c:pt idx="22">
                  <c:v>4.6634567609513899E-2</c:v>
                </c:pt>
                <c:pt idx="23">
                  <c:v>4.8956912084893389E-2</c:v>
                </c:pt>
                <c:pt idx="24">
                  <c:v>5.0898792725285524E-2</c:v>
                </c:pt>
                <c:pt idx="25">
                  <c:v>5.2441704747783868E-2</c:v>
                </c:pt>
                <c:pt idx="26">
                  <c:v>5.3474252673384237E-2</c:v>
                </c:pt>
                <c:pt idx="27">
                  <c:v>5.3964563151297273E-2</c:v>
                </c:pt>
                <c:pt idx="28">
                  <c:v>5.3918242306248088E-2</c:v>
                </c:pt>
                <c:pt idx="29">
                  <c:v>5.3354597775626678E-2</c:v>
                </c:pt>
                <c:pt idx="30">
                  <c:v>5.2310757322618029E-2</c:v>
                </c:pt>
                <c:pt idx="31">
                  <c:v>5.0780496108804307E-2</c:v>
                </c:pt>
                <c:pt idx="32">
                  <c:v>4.8818171831567669E-2</c:v>
                </c:pt>
                <c:pt idx="33">
                  <c:v>4.6525317308679037E-2</c:v>
                </c:pt>
                <c:pt idx="34">
                  <c:v>4.4013489683570439E-2</c:v>
                </c:pt>
                <c:pt idx="35">
                  <c:v>4.1388693257776277E-2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Données!$B$191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Données!$C$191:$AL$191</c:f>
              <c:numCache>
                <c:formatCode>0%</c:formatCode>
                <c:ptCount val="36"/>
                <c:pt idx="0">
                  <c:v>-3.9113601246754115E-11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-6.2340133055727165E-12</c:v>
                </c:pt>
                <c:pt idx="5">
                  <c:v>0</c:v>
                </c:pt>
                <c:pt idx="6">
                  <c:v>-2.0556790772741085E-4</c:v>
                </c:pt>
                <c:pt idx="7">
                  <c:v>1.5755418169587365E-3</c:v>
                </c:pt>
                <c:pt idx="8">
                  <c:v>3.213330946645554E-3</c:v>
                </c:pt>
                <c:pt idx="9">
                  <c:v>1.5129914343239292E-3</c:v>
                </c:pt>
                <c:pt idx="10">
                  <c:v>-8.7200355074845692E-4</c:v>
                </c:pt>
                <c:pt idx="11">
                  <c:v>-2.4778459609400283E-3</c:v>
                </c:pt>
                <c:pt idx="12">
                  <c:v>-3.374514125704553E-3</c:v>
                </c:pt>
                <c:pt idx="13">
                  <c:v>-3.8101099274360228E-3</c:v>
                </c:pt>
                <c:pt idx="14">
                  <c:v>-4.0783744657089116E-3</c:v>
                </c:pt>
                <c:pt idx="15">
                  <c:v>-4.2695905253627986E-3</c:v>
                </c:pt>
                <c:pt idx="16">
                  <c:v>-4.0402946006238283E-3</c:v>
                </c:pt>
                <c:pt idx="17">
                  <c:v>-3.4843556100245809E-3</c:v>
                </c:pt>
                <c:pt idx="18">
                  <c:v>-2.6706171153845215E-3</c:v>
                </c:pt>
                <c:pt idx="19">
                  <c:v>-1.6583273973604928E-3</c:v>
                </c:pt>
                <c:pt idx="20">
                  <c:v>-4.873335061779116E-4</c:v>
                </c:pt>
                <c:pt idx="21">
                  <c:v>9.14274009813143E-4</c:v>
                </c:pt>
                <c:pt idx="22">
                  <c:v>2.4740190590242239E-3</c:v>
                </c:pt>
                <c:pt idx="23">
                  <c:v>4.1414004075204236E-3</c:v>
                </c:pt>
                <c:pt idx="24">
                  <c:v>5.8677409134653136E-3</c:v>
                </c:pt>
                <c:pt idx="25">
                  <c:v>7.6120814839972795E-3</c:v>
                </c:pt>
                <c:pt idx="26">
                  <c:v>9.4312229514721402E-3</c:v>
                </c:pt>
                <c:pt idx="27">
                  <c:v>1.1290887524034732E-2</c:v>
                </c:pt>
                <c:pt idx="28">
                  <c:v>1.3130851336648375E-2</c:v>
                </c:pt>
                <c:pt idx="29">
                  <c:v>1.4896746723858989E-2</c:v>
                </c:pt>
                <c:pt idx="30">
                  <c:v>1.6549534984192871E-2</c:v>
                </c:pt>
                <c:pt idx="31">
                  <c:v>1.8114538518025913E-2</c:v>
                </c:pt>
                <c:pt idx="32">
                  <c:v>1.9560402035896152E-2</c:v>
                </c:pt>
                <c:pt idx="33">
                  <c:v>2.0877421213980396E-2</c:v>
                </c:pt>
                <c:pt idx="34">
                  <c:v>2.2067117037665618E-2</c:v>
                </c:pt>
                <c:pt idx="35">
                  <c:v>2.3136923859388592E-2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Données!$B$192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Données!$C$192:$AL$192</c:f>
              <c:numCache>
                <c:formatCode>0%</c:formatCode>
                <c:ptCount val="36"/>
                <c:pt idx="0">
                  <c:v>3.1191627059001803E-10</c:v>
                </c:pt>
                <c:pt idx="1">
                  <c:v>2.7380053779779701E-10</c:v>
                </c:pt>
                <c:pt idx="2">
                  <c:v>3.3070901572784805E-10</c:v>
                </c:pt>
                <c:pt idx="3">
                  <c:v>4.6124593033880501E-10</c:v>
                </c:pt>
                <c:pt idx="4">
                  <c:v>3.5951019938806894E-10</c:v>
                </c:pt>
                <c:pt idx="5">
                  <c:v>6.4323169013391635E-10</c:v>
                </c:pt>
                <c:pt idx="6">
                  <c:v>-5.7371212225132417E-4</c:v>
                </c:pt>
                <c:pt idx="7">
                  <c:v>3.0645995383207225E-3</c:v>
                </c:pt>
                <c:pt idx="8">
                  <c:v>9.0911305115088936E-3</c:v>
                </c:pt>
                <c:pt idx="9">
                  <c:v>1.3818939822119347E-2</c:v>
                </c:pt>
                <c:pt idx="10">
                  <c:v>2.1103563724659269E-2</c:v>
                </c:pt>
                <c:pt idx="11">
                  <c:v>2.6164006394548966E-2</c:v>
                </c:pt>
                <c:pt idx="12">
                  <c:v>2.9347665660418576E-2</c:v>
                </c:pt>
                <c:pt idx="13">
                  <c:v>3.0959343131273354E-2</c:v>
                </c:pt>
                <c:pt idx="14">
                  <c:v>3.120220653499084E-2</c:v>
                </c:pt>
                <c:pt idx="15">
                  <c:v>3.0489159480766803E-2</c:v>
                </c:pt>
                <c:pt idx="16">
                  <c:v>3.0855034477790477E-2</c:v>
                </c:pt>
                <c:pt idx="17">
                  <c:v>3.1749919178009067E-2</c:v>
                </c:pt>
                <c:pt idx="18">
                  <c:v>3.1161872067183127E-2</c:v>
                </c:pt>
                <c:pt idx="19">
                  <c:v>2.5078173103720403E-2</c:v>
                </c:pt>
                <c:pt idx="20">
                  <c:v>1.7496939541712608E-2</c:v>
                </c:pt>
                <c:pt idx="21">
                  <c:v>8.5920383227746644E-3</c:v>
                </c:pt>
                <c:pt idx="22">
                  <c:v>-1.486425039386563E-3</c:v>
                </c:pt>
                <c:pt idx="23">
                  <c:v>-1.2564058097794262E-2</c:v>
                </c:pt>
                <c:pt idx="24">
                  <c:v>-2.4418805483752526E-2</c:v>
                </c:pt>
                <c:pt idx="25">
                  <c:v>-3.6779893071151482E-2</c:v>
                </c:pt>
                <c:pt idx="26">
                  <c:v>-4.9743386959383851E-2</c:v>
                </c:pt>
                <c:pt idx="27">
                  <c:v>-6.2812216665465992E-2</c:v>
                </c:pt>
                <c:pt idx="28">
                  <c:v>-7.5617502674705128E-2</c:v>
                </c:pt>
                <c:pt idx="29">
                  <c:v>-8.7808917846108892E-2</c:v>
                </c:pt>
                <c:pt idx="30">
                  <c:v>-9.9090187249143091E-2</c:v>
                </c:pt>
                <c:pt idx="31">
                  <c:v>-0.10931425770090708</c:v>
                </c:pt>
                <c:pt idx="32">
                  <c:v>-0.11830010639826405</c:v>
                </c:pt>
                <c:pt idx="33">
                  <c:v>-0.12591643147343246</c:v>
                </c:pt>
                <c:pt idx="34">
                  <c:v>-0.13209787899155434</c:v>
                </c:pt>
                <c:pt idx="35">
                  <c:v>-0.13684722258618975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Données!$B$193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Données!$C$193:$AL$193</c:f>
              <c:numCache>
                <c:formatCode>0%</c:formatCode>
                <c:ptCount val="36"/>
                <c:pt idx="0">
                  <c:v>-1.7966583776285461E-10</c:v>
                </c:pt>
                <c:pt idx="1">
                  <c:v>-1.4486778443512094E-10</c:v>
                </c:pt>
                <c:pt idx="2">
                  <c:v>-1.0178957676743039E-10</c:v>
                </c:pt>
                <c:pt idx="3">
                  <c:v>-6.022815579598273E-11</c:v>
                </c:pt>
                <c:pt idx="4">
                  <c:v>-1.7246337691290137E-10</c:v>
                </c:pt>
                <c:pt idx="5">
                  <c:v>2.7516100509217267E-10</c:v>
                </c:pt>
                <c:pt idx="6">
                  <c:v>1.469993341083331E-4</c:v>
                </c:pt>
                <c:pt idx="7">
                  <c:v>-7.273384434020036E-4</c:v>
                </c:pt>
                <c:pt idx="8">
                  <c:v>-3.1827403712449964E-3</c:v>
                </c:pt>
                <c:pt idx="9">
                  <c:v>-1.050903440158546E-2</c:v>
                </c:pt>
                <c:pt idx="10">
                  <c:v>-1.9010315680894729E-2</c:v>
                </c:pt>
                <c:pt idx="11">
                  <c:v>-2.013575314588556E-2</c:v>
                </c:pt>
                <c:pt idx="12">
                  <c:v>-1.8064516527462882E-2</c:v>
                </c:pt>
                <c:pt idx="13">
                  <c:v>-1.5234762943480695E-2</c:v>
                </c:pt>
                <c:pt idx="14">
                  <c:v>-1.283372157381335E-2</c:v>
                </c:pt>
                <c:pt idx="15">
                  <c:v>-1.1117542725600171E-2</c:v>
                </c:pt>
                <c:pt idx="16">
                  <c:v>-9.5481037112843392E-3</c:v>
                </c:pt>
                <c:pt idx="17">
                  <c:v>-8.012299742729212E-3</c:v>
                </c:pt>
                <c:pt idx="18">
                  <c:v>-6.1965169799813591E-3</c:v>
                </c:pt>
                <c:pt idx="19">
                  <c:v>-3.897955088342675E-3</c:v>
                </c:pt>
                <c:pt idx="20">
                  <c:v>-1.2236175121387305E-3</c:v>
                </c:pt>
                <c:pt idx="21">
                  <c:v>2.1322175116658126E-3</c:v>
                </c:pt>
                <c:pt idx="22">
                  <c:v>5.5298577842577412E-3</c:v>
                </c:pt>
                <c:pt idx="23">
                  <c:v>8.6415317771761924E-3</c:v>
                </c:pt>
                <c:pt idx="24">
                  <c:v>1.1382589020381806E-2</c:v>
                </c:pt>
                <c:pt idx="25">
                  <c:v>1.3830758537507037E-2</c:v>
                </c:pt>
                <c:pt idx="26">
                  <c:v>1.5485458109441907E-2</c:v>
                </c:pt>
                <c:pt idx="27">
                  <c:v>1.6585549870935967E-2</c:v>
                </c:pt>
                <c:pt idx="28">
                  <c:v>1.7465767002007526E-2</c:v>
                </c:pt>
                <c:pt idx="29">
                  <c:v>1.8441825463872519E-2</c:v>
                </c:pt>
                <c:pt idx="30">
                  <c:v>1.9727656363812685E-2</c:v>
                </c:pt>
                <c:pt idx="31">
                  <c:v>2.1550645307762073E-2</c:v>
                </c:pt>
                <c:pt idx="32">
                  <c:v>2.3715654258816166E-2</c:v>
                </c:pt>
                <c:pt idx="33">
                  <c:v>2.6065785461071744E-2</c:v>
                </c:pt>
                <c:pt idx="34">
                  <c:v>2.8496993977443541E-2</c:v>
                </c:pt>
                <c:pt idx="35">
                  <c:v>3.0935212456847827E-2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Données!$B$187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Données!$C$186:$AL$186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Données!$C$187:$AL$187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1.7890844361545533E-10</c:v>
                      </c:pt>
                      <c:pt idx="6">
                        <c:v>-2.2677395876302686E-4</c:v>
                      </c:pt>
                      <c:pt idx="7">
                        <c:v>2.3354149744629904E-3</c:v>
                      </c:pt>
                      <c:pt idx="8">
                        <c:v>4.7324354180027228E-3</c:v>
                      </c:pt>
                      <c:pt idx="9">
                        <c:v>3.1243533886302632E-3</c:v>
                      </c:pt>
                      <c:pt idx="10">
                        <c:v>1.2505688160524553E-3</c:v>
                      </c:pt>
                      <c:pt idx="11">
                        <c:v>2.4789405815517362E-4</c:v>
                      </c:pt>
                      <c:pt idx="12">
                        <c:v>-1.9234441317239614E-5</c:v>
                      </c:pt>
                      <c:pt idx="13">
                        <c:v>1.0768223671964172E-4</c:v>
                      </c:pt>
                      <c:pt idx="14">
                        <c:v>2.7234163455291949E-4</c:v>
                      </c:pt>
                      <c:pt idx="15">
                        <c:v>4.1292375225521205E-4</c:v>
                      </c:pt>
                      <c:pt idx="16">
                        <c:v>1.006370044064564E-3</c:v>
                      </c:pt>
                      <c:pt idx="17">
                        <c:v>1.9838481591503143E-3</c:v>
                      </c:pt>
                      <c:pt idx="18">
                        <c:v>3.2686729022544103E-3</c:v>
                      </c:pt>
                      <c:pt idx="19">
                        <c:v>4.7548359023341646E-3</c:v>
                      </c:pt>
                      <c:pt idx="20">
                        <c:v>6.4317829873201671E-3</c:v>
                      </c:pt>
                      <c:pt idx="21">
                        <c:v>8.3208471932634254E-3</c:v>
                      </c:pt>
                      <c:pt idx="22">
                        <c:v>1.0343365573952878E-2</c:v>
                      </c:pt>
                      <c:pt idx="23">
                        <c:v>1.2448917787845515E-2</c:v>
                      </c:pt>
                      <c:pt idx="24">
                        <c:v>1.4593857578254932E-2</c:v>
                      </c:pt>
                      <c:pt idx="25">
                        <c:v>1.674949299206463E-2</c:v>
                      </c:pt>
                      <c:pt idx="26">
                        <c:v>1.8944184462113656E-2</c:v>
                      </c:pt>
                      <c:pt idx="27">
                        <c:v>2.1149846177776377E-2</c:v>
                      </c:pt>
                      <c:pt idx="28">
                        <c:v>2.3333716938556792E-2</c:v>
                      </c:pt>
                      <c:pt idx="29">
                        <c:v>2.5467094863782513E-2</c:v>
                      </c:pt>
                      <c:pt idx="30">
                        <c:v>2.7530190692267142E-2</c:v>
                      </c:pt>
                      <c:pt idx="31">
                        <c:v>2.9543808400938065E-2</c:v>
                      </c:pt>
                      <c:pt idx="32">
                        <c:v>3.1482617026563631E-2</c:v>
                      </c:pt>
                      <c:pt idx="33">
                        <c:v>3.3340255490370341E-2</c:v>
                      </c:pt>
                      <c:pt idx="34">
                        <c:v>3.5118993345272909E-2</c:v>
                      </c:pt>
                      <c:pt idx="35">
                        <c:v>3.6824227116246444E-2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Données!$B$257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-7.189083772729532E-10</c:v>
                </c:pt>
                <c:pt idx="1">
                  <c:v>-1.7227084203597087E-9</c:v>
                </c:pt>
                <c:pt idx="2">
                  <c:v>-2.504308094231078E-9</c:v>
                </c:pt>
                <c:pt idx="3">
                  <c:v>-3.5550375976356463E-9</c:v>
                </c:pt>
                <c:pt idx="4">
                  <c:v>-4.3629305723769107E-9</c:v>
                </c:pt>
                <c:pt idx="5">
                  <c:v>-4.8307885469611733E-9</c:v>
                </c:pt>
                <c:pt idx="6">
                  <c:v>1.6489254827047883E-3</c:v>
                </c:pt>
                <c:pt idx="7">
                  <c:v>-1.6836146494952908E-3</c:v>
                </c:pt>
                <c:pt idx="8">
                  <c:v>-9.9007340013793632E-3</c:v>
                </c:pt>
                <c:pt idx="9">
                  <c:v>-2.1972449035264408E-2</c:v>
                </c:pt>
                <c:pt idx="10">
                  <c:v>-3.8351475629507137E-2</c:v>
                </c:pt>
                <c:pt idx="11">
                  <c:v>-5.1717923619827966E-2</c:v>
                </c:pt>
                <c:pt idx="12">
                  <c:v>-6.2301423706076386E-2</c:v>
                </c:pt>
                <c:pt idx="13">
                  <c:v>-7.0647070925465516E-2</c:v>
                </c:pt>
                <c:pt idx="14">
                  <c:v>-7.7251660656720733E-2</c:v>
                </c:pt>
                <c:pt idx="15">
                  <c:v>-8.2610699028654588E-2</c:v>
                </c:pt>
                <c:pt idx="16">
                  <c:v>-8.795154520764481E-2</c:v>
                </c:pt>
                <c:pt idx="17">
                  <c:v>-9.3727843513792153E-2</c:v>
                </c:pt>
                <c:pt idx="18">
                  <c:v>-9.9993571299687556E-2</c:v>
                </c:pt>
                <c:pt idx="19">
                  <c:v>-0.1066555204049715</c:v>
                </c:pt>
                <c:pt idx="20">
                  <c:v>-0.11354195461758909</c:v>
                </c:pt>
                <c:pt idx="21">
                  <c:v>-0.1200800360733828</c:v>
                </c:pt>
                <c:pt idx="22">
                  <c:v>-0.12615581466969372</c:v>
                </c:pt>
                <c:pt idx="23">
                  <c:v>-0.13179635402102041</c:v>
                </c:pt>
                <c:pt idx="24">
                  <c:v>-0.13710993505375302</c:v>
                </c:pt>
                <c:pt idx="25">
                  <c:v>-0.14225984875741493</c:v>
                </c:pt>
                <c:pt idx="26">
                  <c:v>-0.14707072370587337</c:v>
                </c:pt>
                <c:pt idx="27">
                  <c:v>-0.15163662129231925</c:v>
                </c:pt>
                <c:pt idx="28">
                  <c:v>-0.15614434461930726</c:v>
                </c:pt>
                <c:pt idx="29">
                  <c:v>-0.16074920436848772</c:v>
                </c:pt>
                <c:pt idx="30">
                  <c:v>-0.16553347504959748</c:v>
                </c:pt>
                <c:pt idx="31">
                  <c:v>-0.17031817759304813</c:v>
                </c:pt>
                <c:pt idx="32">
                  <c:v>-0.17503385575768493</c:v>
                </c:pt>
                <c:pt idx="33">
                  <c:v>-0.17960748222130996</c:v>
                </c:pt>
                <c:pt idx="34">
                  <c:v>-0.18396422920310795</c:v>
                </c:pt>
                <c:pt idx="35">
                  <c:v>-0.18803648599079559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Données!$B$258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-2.0002521861073319E-10</c:v>
                </c:pt>
                <c:pt idx="3">
                  <c:v>-4.0464465111966774E-10</c:v>
                </c:pt>
                <c:pt idx="4">
                  <c:v>-5.7940563458203087E-10</c:v>
                </c:pt>
                <c:pt idx="5">
                  <c:v>-5.7650806351006167E-10</c:v>
                </c:pt>
                <c:pt idx="6">
                  <c:v>5.8162283843721241E-4</c:v>
                </c:pt>
                <c:pt idx="7">
                  <c:v>-1.6475106818856222E-3</c:v>
                </c:pt>
                <c:pt idx="8">
                  <c:v>-8.063298566320265E-3</c:v>
                </c:pt>
                <c:pt idx="9">
                  <c:v>-1.8986460307317765E-2</c:v>
                </c:pt>
                <c:pt idx="10">
                  <c:v>-3.3870374148251448E-2</c:v>
                </c:pt>
                <c:pt idx="11">
                  <c:v>-4.6161786003563798E-2</c:v>
                </c:pt>
                <c:pt idx="12">
                  <c:v>-5.5938311230056215E-2</c:v>
                </c:pt>
                <c:pt idx="13">
                  <c:v>-6.3797867534440833E-2</c:v>
                </c:pt>
                <c:pt idx="14">
                  <c:v>-7.0286925635230313E-2</c:v>
                </c:pt>
                <c:pt idx="15">
                  <c:v>-7.5827330193349862E-2</c:v>
                </c:pt>
                <c:pt idx="16">
                  <c:v>-8.139351532988448E-2</c:v>
                </c:pt>
                <c:pt idx="17">
                  <c:v>-8.7365642631902607E-2</c:v>
                </c:pt>
                <c:pt idx="18">
                  <c:v>-9.3756111648730323E-2</c:v>
                </c:pt>
                <c:pt idx="19">
                  <c:v>-0.10021999583591412</c:v>
                </c:pt>
                <c:pt idx="20">
                  <c:v>-0.1066403088976875</c:v>
                </c:pt>
                <c:pt idx="21">
                  <c:v>-0.11243544346944245</c:v>
                </c:pt>
                <c:pt idx="22">
                  <c:v>-0.11752209962904769</c:v>
                </c:pt>
                <c:pt idx="23">
                  <c:v>-0.12190208817865722</c:v>
                </c:pt>
                <c:pt idx="24">
                  <c:v>-0.12561457802309695</c:v>
                </c:pt>
                <c:pt idx="25">
                  <c:v>-0.12871436222475141</c:v>
                </c:pt>
                <c:pt idx="26">
                  <c:v>-0.13077069224124693</c:v>
                </c:pt>
                <c:pt idx="27">
                  <c:v>-0.13192729748022802</c:v>
                </c:pt>
                <c:pt idx="28">
                  <c:v>-0.13228698305949982</c:v>
                </c:pt>
                <c:pt idx="29">
                  <c:v>-0.13191428062693067</c:v>
                </c:pt>
                <c:pt idx="30">
                  <c:v>-0.13081345332938732</c:v>
                </c:pt>
                <c:pt idx="31">
                  <c:v>-0.12873445016119422</c:v>
                </c:pt>
                <c:pt idx="32">
                  <c:v>-0.12558885356572846</c:v>
                </c:pt>
                <c:pt idx="33">
                  <c:v>-0.12129769194905871</c:v>
                </c:pt>
                <c:pt idx="34">
                  <c:v>-0.11579798649533091</c:v>
                </c:pt>
                <c:pt idx="35">
                  <c:v>-0.10905629439646247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Données!$B$259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-6.8440142442227625E-10</c:v>
                </c:pt>
                <c:pt idx="1">
                  <c:v>-1.7958772247084198E-9</c:v>
                </c:pt>
                <c:pt idx="2">
                  <c:v>-2.7146133119160254E-9</c:v>
                </c:pt>
                <c:pt idx="3">
                  <c:v>-3.5508684881335739E-9</c:v>
                </c:pt>
                <c:pt idx="4">
                  <c:v>-4.5914316793016496E-9</c:v>
                </c:pt>
                <c:pt idx="5">
                  <c:v>-5.1904887055087556E-9</c:v>
                </c:pt>
                <c:pt idx="6">
                  <c:v>2.1669218331266116E-3</c:v>
                </c:pt>
                <c:pt idx="7">
                  <c:v>-8.5357826439480533E-4</c:v>
                </c:pt>
                <c:pt idx="8">
                  <c:v>-9.7885871853555795E-3</c:v>
                </c:pt>
                <c:pt idx="9">
                  <c:v>-2.3983533140191415E-2</c:v>
                </c:pt>
                <c:pt idx="10">
                  <c:v>-4.3110317288135969E-2</c:v>
                </c:pt>
                <c:pt idx="11">
                  <c:v>-5.8628932426704972E-2</c:v>
                </c:pt>
                <c:pt idx="12">
                  <c:v>-7.0725047268898167E-2</c:v>
                </c:pt>
                <c:pt idx="13">
                  <c:v>-8.0104354484928586E-2</c:v>
                </c:pt>
                <c:pt idx="14">
                  <c:v>-8.7413615523733057E-2</c:v>
                </c:pt>
                <c:pt idx="15">
                  <c:v>-9.3239764327579855E-2</c:v>
                </c:pt>
                <c:pt idx="16">
                  <c:v>-9.9002038297154926E-2</c:v>
                </c:pt>
                <c:pt idx="17">
                  <c:v>-0.10527970617755011</c:v>
                </c:pt>
                <c:pt idx="18">
                  <c:v>-0.11211697259474429</c:v>
                </c:pt>
                <c:pt idx="19">
                  <c:v>-0.11942266874927132</c:v>
                </c:pt>
                <c:pt idx="20">
                  <c:v>-0.12703089975503201</c:v>
                </c:pt>
                <c:pt idx="21">
                  <c:v>-0.13432719444105712</c:v>
                </c:pt>
                <c:pt idx="22">
                  <c:v>-0.14118654197287139</c:v>
                </c:pt>
                <c:pt idx="23">
                  <c:v>-0.14765625223808543</c:v>
                </c:pt>
                <c:pt idx="24">
                  <c:v>-0.15388089020589957</c:v>
                </c:pt>
                <c:pt idx="25">
                  <c:v>-0.16007056083950177</c:v>
                </c:pt>
                <c:pt idx="26">
                  <c:v>-0.16614268609873251</c:v>
                </c:pt>
                <c:pt idx="27">
                  <c:v>-0.17213489613555932</c:v>
                </c:pt>
                <c:pt idx="28">
                  <c:v>-0.17824767483622284</c:v>
                </c:pt>
                <c:pt idx="29">
                  <c:v>-0.18466418950511598</c:v>
                </c:pt>
                <c:pt idx="30">
                  <c:v>-0.1914908669004074</c:v>
                </c:pt>
                <c:pt idx="31">
                  <c:v>-0.19854707205998146</c:v>
                </c:pt>
                <c:pt idx="32">
                  <c:v>-0.20575428120549166</c:v>
                </c:pt>
                <c:pt idx="33">
                  <c:v>-0.21302741926619484</c:v>
                </c:pt>
                <c:pt idx="34">
                  <c:v>-0.2202730037290096</c:v>
                </c:pt>
                <c:pt idx="35">
                  <c:v>-0.22739853681357125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Données!$B$260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0</c:v>
                </c:pt>
                <c:pt idx="1">
                  <c:v>-8.099565462771352E-11</c:v>
                </c:pt>
                <c:pt idx="2">
                  <c:v>0</c:v>
                </c:pt>
                <c:pt idx="3">
                  <c:v>0</c:v>
                </c:pt>
                <c:pt idx="4">
                  <c:v>-7.5608297400719948E-11</c:v>
                </c:pt>
                <c:pt idx="5">
                  <c:v>0</c:v>
                </c:pt>
                <c:pt idx="6">
                  <c:v>1.1077185442931459E-4</c:v>
                </c:pt>
                <c:pt idx="7">
                  <c:v>1.2955730944328447E-3</c:v>
                </c:pt>
                <c:pt idx="8">
                  <c:v>1.7450506668972299E-3</c:v>
                </c:pt>
                <c:pt idx="9">
                  <c:v>7.6438148820634488E-4</c:v>
                </c:pt>
                <c:pt idx="10">
                  <c:v>4.3654266865211788E-4</c:v>
                </c:pt>
                <c:pt idx="11">
                  <c:v>6.6542042734418771E-4</c:v>
                </c:pt>
                <c:pt idx="12">
                  <c:v>1.1117909927100822E-3</c:v>
                </c:pt>
                <c:pt idx="13">
                  <c:v>1.5710949251357409E-3</c:v>
                </c:pt>
                <c:pt idx="14">
                  <c:v>1.9507220539076719E-3</c:v>
                </c:pt>
                <c:pt idx="15">
                  <c:v>2.2967374335212121E-3</c:v>
                </c:pt>
                <c:pt idx="16">
                  <c:v>2.579280240540438E-3</c:v>
                </c:pt>
                <c:pt idx="17">
                  <c:v>2.8245753127489337E-3</c:v>
                </c:pt>
                <c:pt idx="18">
                  <c:v>3.0086415057091198E-3</c:v>
                </c:pt>
                <c:pt idx="19">
                  <c:v>3.1192304602656318E-3</c:v>
                </c:pt>
                <c:pt idx="20">
                  <c:v>3.1582128277019006E-3</c:v>
                </c:pt>
                <c:pt idx="21">
                  <c:v>3.1255382234702811E-3</c:v>
                </c:pt>
                <c:pt idx="22">
                  <c:v>3.0209401144070114E-3</c:v>
                </c:pt>
                <c:pt idx="23">
                  <c:v>2.862183963125764E-3</c:v>
                </c:pt>
                <c:pt idx="24">
                  <c:v>2.6654905362570869E-3</c:v>
                </c:pt>
                <c:pt idx="25">
                  <c:v>2.4435577381083373E-3</c:v>
                </c:pt>
                <c:pt idx="26">
                  <c:v>2.2121651530944142E-3</c:v>
                </c:pt>
                <c:pt idx="27">
                  <c:v>1.9815923900756705E-3</c:v>
                </c:pt>
                <c:pt idx="28">
                  <c:v>1.7711567064426781E-3</c:v>
                </c:pt>
                <c:pt idx="29">
                  <c:v>1.6098123985184287E-3</c:v>
                </c:pt>
                <c:pt idx="30">
                  <c:v>1.5389309696143272E-3</c:v>
                </c:pt>
                <c:pt idx="31">
                  <c:v>1.6153843562485282E-3</c:v>
                </c:pt>
                <c:pt idx="32">
                  <c:v>1.8894830152789144E-3</c:v>
                </c:pt>
                <c:pt idx="33">
                  <c:v>2.4186795098557479E-3</c:v>
                </c:pt>
                <c:pt idx="34">
                  <c:v>3.2529799067588794E-3</c:v>
                </c:pt>
                <c:pt idx="35">
                  <c:v>4.4291196771291119E-3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Données!$B$261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-1.8349828323493966E-9</c:v>
                </c:pt>
                <c:pt idx="1">
                  <c:v>-4.0188540273433659E-9</c:v>
                </c:pt>
                <c:pt idx="2">
                  <c:v>-5.7633009475921426E-9</c:v>
                </c:pt>
                <c:pt idx="3">
                  <c:v>-8.3626061631036919E-9</c:v>
                </c:pt>
                <c:pt idx="4">
                  <c:v>-1.0391338123305616E-8</c:v>
                </c:pt>
                <c:pt idx="5">
                  <c:v>-1.1099861030317015E-8</c:v>
                </c:pt>
                <c:pt idx="6">
                  <c:v>2.6041121678774815E-3</c:v>
                </c:pt>
                <c:pt idx="7">
                  <c:v>-6.1029282750602043E-4</c:v>
                </c:pt>
                <c:pt idx="8">
                  <c:v>-1.102154525489929E-2</c:v>
                </c:pt>
                <c:pt idx="9">
                  <c:v>-2.8358797962992677E-2</c:v>
                </c:pt>
                <c:pt idx="10">
                  <c:v>-5.0750823462358707E-2</c:v>
                </c:pt>
                <c:pt idx="11">
                  <c:v>-6.8519182430615611E-2</c:v>
                </c:pt>
                <c:pt idx="12">
                  <c:v>-8.2210324103126342E-2</c:v>
                </c:pt>
                <c:pt idx="13">
                  <c:v>-9.2773846765614287E-2</c:v>
                </c:pt>
                <c:pt idx="14">
                  <c:v>-0.10105707281729315</c:v>
                </c:pt>
                <c:pt idx="15">
                  <c:v>-0.10775180786737382</c:v>
                </c:pt>
                <c:pt idx="16">
                  <c:v>-0.11453462654748792</c:v>
                </c:pt>
                <c:pt idx="17">
                  <c:v>-0.12172045359026873</c:v>
                </c:pt>
                <c:pt idx="18">
                  <c:v>-0.12939489180896357</c:v>
                </c:pt>
                <c:pt idx="19">
                  <c:v>-0.13756803003003271</c:v>
                </c:pt>
                <c:pt idx="20">
                  <c:v>-0.1460503675396313</c:v>
                </c:pt>
                <c:pt idx="21">
                  <c:v>-0.15422724585589542</c:v>
                </c:pt>
                <c:pt idx="22">
                  <c:v>-0.1618828706344615</c:v>
                </c:pt>
                <c:pt idx="23">
                  <c:v>-0.16904494889799981</c:v>
                </c:pt>
                <c:pt idx="24">
                  <c:v>-0.17591704713439182</c:v>
                </c:pt>
                <c:pt idx="25">
                  <c:v>-0.18282233041546403</c:v>
                </c:pt>
                <c:pt idx="26">
                  <c:v>-0.18941570783247541</c:v>
                </c:pt>
                <c:pt idx="27">
                  <c:v>-0.19601405639185698</c:v>
                </c:pt>
                <c:pt idx="28">
                  <c:v>-0.20301976186110271</c:v>
                </c:pt>
                <c:pt idx="29">
                  <c:v>-0.21074980733080473</c:v>
                </c:pt>
                <c:pt idx="30">
                  <c:v>-0.21935733604050434</c:v>
                </c:pt>
                <c:pt idx="31">
                  <c:v>-0.22860705074623922</c:v>
                </c:pt>
                <c:pt idx="32">
                  <c:v>-0.23830671676324866</c:v>
                </c:pt>
                <c:pt idx="33">
                  <c:v>-0.24824474601728008</c:v>
                </c:pt>
                <c:pt idx="34">
                  <c:v>-0.25821158777638664</c:v>
                </c:pt>
                <c:pt idx="35">
                  <c:v>-0.2680190565161954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Données!$B$262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Données!$C$262:$AL$262</c:f>
              <c:numCache>
                <c:formatCode>0%</c:formatCode>
                <c:ptCount val="36"/>
                <c:pt idx="0">
                  <c:v>0</c:v>
                </c:pt>
                <c:pt idx="1">
                  <c:v>-1.5644888717858407E-9</c:v>
                </c:pt>
                <c:pt idx="2">
                  <c:v>-2.5229538458404477E-9</c:v>
                </c:pt>
                <c:pt idx="3">
                  <c:v>-3.4962182038356104E-9</c:v>
                </c:pt>
                <c:pt idx="4">
                  <c:v>-3.8300048688100219E-9</c:v>
                </c:pt>
                <c:pt idx="5">
                  <c:v>-3.9957205322238565E-9</c:v>
                </c:pt>
                <c:pt idx="6">
                  <c:v>1.5469898126718729E-3</c:v>
                </c:pt>
                <c:pt idx="7">
                  <c:v>7.4416102057828226E-4</c:v>
                </c:pt>
                <c:pt idx="8">
                  <c:v>-2.4687296863012964E-3</c:v>
                </c:pt>
                <c:pt idx="9">
                  <c:v>-9.7288797926817772E-3</c:v>
                </c:pt>
                <c:pt idx="10">
                  <c:v>-2.1290243137647824E-2</c:v>
                </c:pt>
                <c:pt idx="11">
                  <c:v>-2.9025830839330968E-2</c:v>
                </c:pt>
                <c:pt idx="12">
                  <c:v>-3.4524976557083309E-2</c:v>
                </c:pt>
                <c:pt idx="13">
                  <c:v>-3.8557493885715166E-2</c:v>
                </c:pt>
                <c:pt idx="14">
                  <c:v>-4.1750670132597811E-2</c:v>
                </c:pt>
                <c:pt idx="15">
                  <c:v>-4.4604545747890856E-2</c:v>
                </c:pt>
                <c:pt idx="16">
                  <c:v>-4.7918002209591859E-2</c:v>
                </c:pt>
                <c:pt idx="17">
                  <c:v>-5.1464291506703619E-2</c:v>
                </c:pt>
                <c:pt idx="18">
                  <c:v>-5.5108590223439946E-2</c:v>
                </c:pt>
                <c:pt idx="19">
                  <c:v>-5.8576908074085776E-2</c:v>
                </c:pt>
                <c:pt idx="20">
                  <c:v>-6.1765514680818145E-2</c:v>
                </c:pt>
                <c:pt idx="21">
                  <c:v>-6.4244474231136106E-2</c:v>
                </c:pt>
                <c:pt idx="22">
                  <c:v>-6.604949278051564E-2</c:v>
                </c:pt>
                <c:pt idx="23">
                  <c:v>-6.7289587459655742E-2</c:v>
                </c:pt>
                <c:pt idx="24">
                  <c:v>-6.8147054424194442E-2</c:v>
                </c:pt>
                <c:pt idx="25">
                  <c:v>-6.8867244774615921E-2</c:v>
                </c:pt>
                <c:pt idx="26">
                  <c:v>-6.9144314959907138E-2</c:v>
                </c:pt>
                <c:pt idx="27">
                  <c:v>-6.9457163338807915E-2</c:v>
                </c:pt>
                <c:pt idx="28">
                  <c:v>-7.022485737456774E-2</c:v>
                </c:pt>
                <c:pt idx="29">
                  <c:v>-7.1713994578798901E-2</c:v>
                </c:pt>
                <c:pt idx="30">
                  <c:v>-7.4022752425348504E-2</c:v>
                </c:pt>
                <c:pt idx="31">
                  <c:v>-7.6923704331053E-2</c:v>
                </c:pt>
                <c:pt idx="32">
                  <c:v>-8.0335920400568805E-2</c:v>
                </c:pt>
                <c:pt idx="33">
                  <c:v>-8.4151298949260878E-2</c:v>
                </c:pt>
                <c:pt idx="34">
                  <c:v>-8.8275585463350015E-2</c:v>
                </c:pt>
                <c:pt idx="35">
                  <c:v>-9.2638693397628646E-2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Données!$B$263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Données!$C$263:$AL$263</c:f>
              <c:numCache>
                <c:formatCode>0%</c:formatCode>
                <c:ptCount val="36"/>
                <c:pt idx="0">
                  <c:v>0</c:v>
                </c:pt>
                <c:pt idx="1">
                  <c:v>-2.1207960942959403E-9</c:v>
                </c:pt>
                <c:pt idx="2">
                  <c:v>-4.0400638390281074E-9</c:v>
                </c:pt>
                <c:pt idx="3">
                  <c:v>-5.2859052690479302E-9</c:v>
                </c:pt>
                <c:pt idx="4">
                  <c:v>-6.0534192103389728E-9</c:v>
                </c:pt>
                <c:pt idx="5">
                  <c:v>-6.3299498975766255E-9</c:v>
                </c:pt>
                <c:pt idx="6">
                  <c:v>2.4741321148200601E-3</c:v>
                </c:pt>
                <c:pt idx="7">
                  <c:v>1.7388266472222469E-3</c:v>
                </c:pt>
                <c:pt idx="8">
                  <c:v>-2.1962135713147202E-3</c:v>
                </c:pt>
                <c:pt idx="9">
                  <c:v>-1.1061625284894738E-2</c:v>
                </c:pt>
                <c:pt idx="10">
                  <c:v>-2.4728057157353156E-2</c:v>
                </c:pt>
                <c:pt idx="11">
                  <c:v>-3.3137553663113439E-2</c:v>
                </c:pt>
                <c:pt idx="12">
                  <c:v>-3.8557282390969116E-2</c:v>
                </c:pt>
                <c:pt idx="13">
                  <c:v>-4.2008444585867943E-2</c:v>
                </c:pt>
                <c:pt idx="14">
                  <c:v>-4.4315378946584327E-2</c:v>
                </c:pt>
                <c:pt idx="15">
                  <c:v>-4.6120359888801365E-2</c:v>
                </c:pt>
                <c:pt idx="16">
                  <c:v>-4.8460832606895154E-2</c:v>
                </c:pt>
                <c:pt idx="17">
                  <c:v>-5.0900762450981629E-2</c:v>
                </c:pt>
                <c:pt idx="18">
                  <c:v>-5.3242552070392524E-2</c:v>
                </c:pt>
                <c:pt idx="19">
                  <c:v>-5.5216000883948513E-2</c:v>
                </c:pt>
                <c:pt idx="20">
                  <c:v>-5.663126944257435E-2</c:v>
                </c:pt>
                <c:pt idx="21">
                  <c:v>-5.7175067485095599E-2</c:v>
                </c:pt>
                <c:pt idx="22">
                  <c:v>-5.6835657129267858E-2</c:v>
                </c:pt>
                <c:pt idx="23">
                  <c:v>-5.5744888064319986E-2</c:v>
                </c:pt>
                <c:pt idx="24">
                  <c:v>-5.4173656241870982E-2</c:v>
                </c:pt>
                <c:pt idx="25">
                  <c:v>-5.248188705456569E-2</c:v>
                </c:pt>
                <c:pt idx="26">
                  <c:v>-5.0457320245774651E-2</c:v>
                </c:pt>
                <c:pt idx="27">
                  <c:v>-4.8814965146625866E-2</c:v>
                </c:pt>
                <c:pt idx="28">
                  <c:v>-4.8173863057659361E-2</c:v>
                </c:pt>
                <c:pt idx="29">
                  <c:v>-4.8921529583970114E-2</c:v>
                </c:pt>
                <c:pt idx="30">
                  <c:v>-5.1176257330949104E-2</c:v>
                </c:pt>
                <c:pt idx="31">
                  <c:v>-5.4630143333636139E-2</c:v>
                </c:pt>
                <c:pt idx="32">
                  <c:v>-5.9050971250478423E-2</c:v>
                </c:pt>
                <c:pt idx="33">
                  <c:v>-6.4176589327655575E-2</c:v>
                </c:pt>
                <c:pt idx="34">
                  <c:v>-6.97795418688687E-2</c:v>
                </c:pt>
                <c:pt idx="35">
                  <c:v>-7.568229659444381E-2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Données!$B$264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Données!$C$264:$AL$264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-1.9849443688857438E-4</c:v>
                </c:pt>
                <c:pt idx="7">
                  <c:v>-1.0967329887290322E-3</c:v>
                </c:pt>
                <c:pt idx="8">
                  <c:v>-2.9641549953907109E-3</c:v>
                </c:pt>
                <c:pt idx="9">
                  <c:v>-7.3496713278604631E-3</c:v>
                </c:pt>
                <c:pt idx="10">
                  <c:v>-1.5260507377163113E-2</c:v>
                </c:pt>
                <c:pt idx="11">
                  <c:v>-2.1937929411973367E-2</c:v>
                </c:pt>
                <c:pt idx="12">
                  <c:v>-2.7687776436045697E-2</c:v>
                </c:pt>
                <c:pt idx="13">
                  <c:v>-3.2795928380877859E-2</c:v>
                </c:pt>
                <c:pt idx="14">
                  <c:v>-3.7530038573460156E-2</c:v>
                </c:pt>
                <c:pt idx="15">
                  <c:v>-4.2143306680511694E-2</c:v>
                </c:pt>
                <c:pt idx="16">
                  <c:v>-4.7046449274628754E-2</c:v>
                </c:pt>
                <c:pt idx="17">
                  <c:v>-5.2359981622587481E-2</c:v>
                </c:pt>
                <c:pt idx="18">
                  <c:v>-5.804653506516777E-2</c:v>
                </c:pt>
                <c:pt idx="19">
                  <c:v>-6.3820390629686696E-2</c:v>
                </c:pt>
                <c:pt idx="20">
                  <c:v>-6.9701902206921407E-2</c:v>
                </c:pt>
                <c:pt idx="21">
                  <c:v>-7.5074688524210842E-2</c:v>
                </c:pt>
                <c:pt idx="22">
                  <c:v>-8.0039965468681307E-2</c:v>
                </c:pt>
                <c:pt idx="23">
                  <c:v>-8.4662635728321778E-2</c:v>
                </c:pt>
                <c:pt idx="24">
                  <c:v>-8.8983181129382638E-2</c:v>
                </c:pt>
                <c:pt idx="25">
                  <c:v>-9.3048334867760096E-2</c:v>
                </c:pt>
                <c:pt idx="26">
                  <c:v>-9.6438826745256834E-2</c:v>
                </c:pt>
                <c:pt idx="27">
                  <c:v>-9.9294379707800862E-2</c:v>
                </c:pt>
                <c:pt idx="28">
                  <c:v>-0.10176068683377282</c:v>
                </c:pt>
                <c:pt idx="29">
                  <c:v>-0.10395665568521306</c:v>
                </c:pt>
                <c:pt idx="30">
                  <c:v>-0.10598366910340651</c:v>
                </c:pt>
                <c:pt idx="31">
                  <c:v>-0.10775955963267159</c:v>
                </c:pt>
                <c:pt idx="32">
                  <c:v>-0.10944145671461669</c:v>
                </c:pt>
                <c:pt idx="33">
                  <c:v>-0.11115319935876278</c:v>
                </c:pt>
                <c:pt idx="34">
                  <c:v>-0.11299452510540464</c:v>
                </c:pt>
                <c:pt idx="35">
                  <c:v>-0.11504627521715272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Données!$B$105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Données!$C$105:$E$105</c:f>
              <c:numCache>
                <c:formatCode>0.0%</c:formatCode>
                <c:ptCount val="3"/>
                <c:pt idx="0">
                  <c:v>-5.9984958064559432E-3</c:v>
                </c:pt>
                <c:pt idx="1">
                  <c:v>-1.4387409015536269E-2</c:v>
                </c:pt>
                <c:pt idx="2">
                  <c:v>-2.2495842745330098E-2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Données!$B$106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Données!$C$106:$E$106</c:f>
              <c:numCache>
                <c:formatCode>0.0%</c:formatCode>
                <c:ptCount val="3"/>
                <c:pt idx="0">
                  <c:v>-1.6035042755507495E-3</c:v>
                </c:pt>
                <c:pt idx="1">
                  <c:v>-6.7165338538353039E-3</c:v>
                </c:pt>
                <c:pt idx="2">
                  <c:v>-5.1478673074955754E-3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Données!$B$107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-3.3047135846182539E-2</c:v>
                </c:pt>
                <c:pt idx="1">
                  <c:v>-6.7353347296615296E-2</c:v>
                </c:pt>
                <c:pt idx="2">
                  <c:v>-6.2350761372512213E-2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Données!$B$108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6.5168266844645769E-3</c:v>
                </c:pt>
                <c:pt idx="1">
                  <c:v>4.983244297602228E-3</c:v>
                </c:pt>
                <c:pt idx="2">
                  <c:v>-1.3109998718509205E-4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2.1985787287957682E-2</c:v>
                </c:pt>
                <c:pt idx="1">
                  <c:v>-1.9066823704255321E-2</c:v>
                </c:pt>
                <c:pt idx="2">
                  <c:v>-7.4803012092077792E-2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Données!$C$104:$E$104</c:f>
              <c:numCache>
                <c:formatCode>0.0%</c:formatCode>
                <c:ptCount val="3"/>
                <c:pt idx="0">
                  <c:v>4.2413533059524949E-3</c:v>
                </c:pt>
                <c:pt idx="1">
                  <c:v>7.5016345352260031E-4</c:v>
                </c:pt>
                <c:pt idx="2">
                  <c:v>-4.257544307954662E-3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Données!$B$109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Données!$C$103:$E$103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Données!$C$109:$E$109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0.24751704521057954</c:v>
                      </c:pt>
                      <c:pt idx="1">
                        <c:v>0.29875774546781997</c:v>
                      </c:pt>
                      <c:pt idx="2">
                        <c:v>-1.6513106180918196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-5.9984958064559502E-3</c:v>
                </c:pt>
                <c:pt idx="1">
                  <c:v>-1.4387409015536257E-2</c:v>
                </c:pt>
                <c:pt idx="2">
                  <c:v>-2.2495842745330119E-2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Données!$B$115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Données!$C$115:$E$115</c:f>
              <c:numCache>
                <c:formatCode>0.0%</c:formatCode>
                <c:ptCount val="3"/>
                <c:pt idx="0">
                  <c:v>-1.6035042755507822E-3</c:v>
                </c:pt>
                <c:pt idx="1">
                  <c:v>-6.7165338538353048E-3</c:v>
                </c:pt>
                <c:pt idx="2">
                  <c:v>-5.1478673074956127E-3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Données!$C$116:$E$116</c:f>
              <c:numCache>
                <c:formatCode>0.0%</c:formatCode>
                <c:ptCount val="3"/>
                <c:pt idx="0">
                  <c:v>-3.3047135846182574E-2</c:v>
                </c:pt>
                <c:pt idx="1">
                  <c:v>-6.735334729661524E-2</c:v>
                </c:pt>
                <c:pt idx="2">
                  <c:v>-6.2350761372512165E-2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Données!$B$117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6.5168266844646272E-3</c:v>
                </c:pt>
                <c:pt idx="1">
                  <c:v>4.9832442976023295E-3</c:v>
                </c:pt>
                <c:pt idx="2">
                  <c:v>-1.3109998718507931E-4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Données!$B$118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0.24751704521057949</c:v>
                </c:pt>
                <c:pt idx="1">
                  <c:v>0.29875774546781986</c:v>
                </c:pt>
                <c:pt idx="2">
                  <c:v>-1.6513106180918196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Données!$B$119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2.1985787287957637E-2</c:v>
                </c:pt>
                <c:pt idx="1">
                  <c:v>-1.9066823704255276E-2</c:v>
                </c:pt>
                <c:pt idx="2">
                  <c:v>-7.4803012092077847E-2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-1.1729049785391325E-2</c:v>
                </c:pt>
                <c:pt idx="1">
                  <c:v>5.788916686994529E-4</c:v>
                </c:pt>
                <c:pt idx="2">
                  <c:v>-3.6032605266611201E-2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-7.9887629064568731E-3</c:v>
                </c:pt>
                <c:pt idx="1">
                  <c:v>-1.2184144444351359E-2</c:v>
                </c:pt>
                <c:pt idx="2">
                  <c:v>-2.2086039679846341E-2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-3.8387784162244504E-2</c:v>
                </c:pt>
                <c:pt idx="1">
                  <c:v>-8.306001474354294E-3</c:v>
                </c:pt>
                <c:pt idx="2">
                  <c:v>-7.1895726729321638E-2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5.8845397406211723E-3</c:v>
                </c:pt>
                <c:pt idx="1">
                  <c:v>-4.1623333678925005E-2</c:v>
                </c:pt>
                <c:pt idx="2">
                  <c:v>-2.8702478795718592E-3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-5.5053645101766857E-2</c:v>
                </c:pt>
                <c:pt idx="1">
                  <c:v>6.5120934031215093E-3</c:v>
                </c:pt>
                <c:pt idx="2">
                  <c:v>-0.44792888455545454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-1.1898038723387417E-3</c:v>
                </c:pt>
                <c:pt idx="1">
                  <c:v>-6.2313357593585646E-2</c:v>
                </c:pt>
                <c:pt idx="2">
                  <c:v>4.9677265245463031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2.6416664795749108E-2</c:v>
                </c:pt>
                <c:pt idx="1">
                  <c:v>2.0637472461542804E-2</c:v>
                </c:pt>
                <c:pt idx="2">
                  <c:v>-3.7040073713765227E-2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3.8096317600224767E-4</c:v>
                </c:pt>
                <c:pt idx="1">
                  <c:v>0</c:v>
                </c:pt>
                <c:pt idx="2">
                  <c:v>-1.1246265932164401E-2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-1.1729049785391354E-2</c:v>
                </c:pt>
                <c:pt idx="1">
                  <c:v>-2.6881166456051653E-2</c:v>
                </c:pt>
                <c:pt idx="2">
                  <c:v>-3.6032605266611228E-2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Données!$B$160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-7.9887629064568921E-3</c:v>
                </c:pt>
                <c:pt idx="1">
                  <c:v>-1.8534763040110369E-2</c:v>
                </c:pt>
                <c:pt idx="2">
                  <c:v>-2.2086039679846348E-2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Données!$B$161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-3.8387784162244531E-2</c:v>
                </c:pt>
                <c:pt idx="1">
                  <c:v>-7.6827953969755058E-2</c:v>
                </c:pt>
                <c:pt idx="2">
                  <c:v>-7.1895726729321652E-2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Données!$B$162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Données!$C$162:$E$162</c:f>
              <c:numCache>
                <c:formatCode>0.0%</c:formatCode>
                <c:ptCount val="3"/>
                <c:pt idx="0">
                  <c:v>5.8845397406210864E-3</c:v>
                </c:pt>
                <c:pt idx="1">
                  <c:v>3.3805254646226413E-3</c:v>
                </c:pt>
                <c:pt idx="2">
                  <c:v>-2.8702478795719077E-3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Données!$B$163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Données!$C$163:$E$163</c:f>
              <c:numCache>
                <c:formatCode>0.0%</c:formatCode>
                <c:ptCount val="3"/>
                <c:pt idx="0">
                  <c:v>-5.5053645101766802E-2</c:v>
                </c:pt>
                <c:pt idx="1">
                  <c:v>-0.2369246396901179</c:v>
                </c:pt>
                <c:pt idx="2">
                  <c:v>-0.44792888455545454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Données!$C$164:$E$164</c:f>
              <c:numCache>
                <c:formatCode>0.0%</c:formatCode>
                <c:ptCount val="3"/>
                <c:pt idx="0">
                  <c:v>2.6416664795749112E-2</c:v>
                </c:pt>
                <c:pt idx="1">
                  <c:v>7.233299592035447E-3</c:v>
                </c:pt>
                <c:pt idx="2">
                  <c:v>-3.7040073713765276E-2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70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85"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3412" cy="6066118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3412" cy="6066118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1-20_16-59-12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>
        <row r="2">
          <cell r="B2">
            <v>3852771.7659999998</v>
          </cell>
          <cell r="C2">
            <v>3923710.0789999999</v>
          </cell>
          <cell r="D2">
            <v>4003796.3679999998</v>
          </cell>
          <cell r="E2">
            <v>4091627.9720000001</v>
          </cell>
          <cell r="F2">
            <v>4185908.7390000001</v>
          </cell>
          <cell r="G2">
            <v>4286134.5360000003</v>
          </cell>
          <cell r="H2">
            <v>4393762.8890000004</v>
          </cell>
          <cell r="I2">
            <v>4491779.085</v>
          </cell>
          <cell r="J2">
            <v>4591710.4139999999</v>
          </cell>
          <cell r="K2">
            <v>4712464.3559999997</v>
          </cell>
          <cell r="L2">
            <v>4835149.0029999996</v>
          </cell>
          <cell r="M2">
            <v>4941210.6619999995</v>
          </cell>
          <cell r="N2">
            <v>5034545.6150000002</v>
          </cell>
          <cell r="O2">
            <v>5119102.8770000003</v>
          </cell>
          <cell r="P2">
            <v>5199469.3720000004</v>
          </cell>
          <cell r="Q2">
            <v>5278714.4539999999</v>
          </cell>
          <cell r="R2">
            <v>5358174.4850000003</v>
          </cell>
          <cell r="S2">
            <v>5440609.648</v>
          </cell>
          <cell r="T2">
            <v>5528171.0750000002</v>
          </cell>
          <cell r="U2">
            <v>5622453.3339999998</v>
          </cell>
          <cell r="V2">
            <v>5723802.3279999997</v>
          </cell>
          <cell r="W2">
            <v>5833668.2209999999</v>
          </cell>
          <cell r="X2">
            <v>5953487.7170000002</v>
          </cell>
          <cell r="Y2">
            <v>6084242.7810000004</v>
          </cell>
          <cell r="Z2">
            <v>6226331.5750000002</v>
          </cell>
          <cell r="AA2">
            <v>6378351.6490000002</v>
          </cell>
          <cell r="AB2">
            <v>6529172.142</v>
          </cell>
          <cell r="AC2">
            <v>6685841.8540000003</v>
          </cell>
          <cell r="AD2">
            <v>6851210.4960000003</v>
          </cell>
          <cell r="AE2">
            <v>7025208.7479999997</v>
          </cell>
          <cell r="AF2">
            <v>7206458.8119999999</v>
          </cell>
          <cell r="AG2">
            <v>7393288.4610000001</v>
          </cell>
          <cell r="AH2">
            <v>7584612.216</v>
          </cell>
          <cell r="AI2">
            <v>7779315.8130000001</v>
          </cell>
          <cell r="AJ2">
            <v>7976255.3210000005</v>
          </cell>
          <cell r="AK2">
            <v>8174255.4910000004</v>
          </cell>
        </row>
        <row r="3">
          <cell r="B3">
            <v>3852771.7659999998</v>
          </cell>
          <cell r="C3">
            <v>3923710.0789999999</v>
          </cell>
          <cell r="D3">
            <v>4003796.3679999998</v>
          </cell>
          <cell r="E3">
            <v>4091627.9720000001</v>
          </cell>
          <cell r="F3">
            <v>4185908.7390000001</v>
          </cell>
          <cell r="G3">
            <v>4286134.5360000003</v>
          </cell>
          <cell r="H3">
            <v>4392677.8430000003</v>
          </cell>
          <cell r="I3">
            <v>4502818.5250000004</v>
          </cell>
          <cell r="J3">
            <v>4615659.3329999996</v>
          </cell>
          <cell r="K3">
            <v>4730993.2759999996</v>
          </cell>
          <cell r="L3">
            <v>4845957.7209999999</v>
          </cell>
          <cell r="M3">
            <v>4947208.7609999999</v>
          </cell>
          <cell r="N3">
            <v>5038289.0010000002</v>
          </cell>
          <cell r="O3">
            <v>5121693.51</v>
          </cell>
          <cell r="P3">
            <v>5200261.7989999996</v>
          </cell>
          <cell r="Q3">
            <v>5276704.2240000004</v>
          </cell>
          <cell r="R3">
            <v>5355074.477</v>
          </cell>
          <cell r="S3">
            <v>5438036.8859999999</v>
          </cell>
          <cell r="T3">
            <v>5527545.2850000001</v>
          </cell>
          <cell r="U3">
            <v>5624749.8420000002</v>
          </cell>
          <cell r="V3">
            <v>5730038.2419999996</v>
          </cell>
          <cell r="W3">
            <v>5845038.517</v>
          </cell>
          <cell r="X3">
            <v>5970796.6679999996</v>
          </cell>
          <cell r="Y3">
            <v>6108047.1069999998</v>
          </cell>
          <cell r="Z3">
            <v>6256953.3839999996</v>
          </cell>
          <cell r="AA3">
            <v>6415932.8490000004</v>
          </cell>
          <cell r="AB3">
            <v>6573911.2209999999</v>
          </cell>
          <cell r="AC3">
            <v>6737774.784</v>
          </cell>
          <cell r="AD3">
            <v>6910171.023</v>
          </cell>
          <cell r="AE3">
            <v>7090822.9939999999</v>
          </cell>
          <cell r="AF3">
            <v>7278176.5199999996</v>
          </cell>
          <cell r="AG3">
            <v>7470657.2759999996</v>
          </cell>
          <cell r="AH3">
            <v>7666967.7949999999</v>
          </cell>
          <cell r="AI3">
            <v>7865922.818</v>
          </cell>
          <cell r="AJ3">
            <v>8066385.6799999997</v>
          </cell>
          <cell r="AK3">
            <v>8267230.9689999996</v>
          </cell>
        </row>
        <row r="4">
          <cell r="B4">
            <v>81740.104300000006</v>
          </cell>
          <cell r="C4">
            <v>83104.277960000007</v>
          </cell>
          <cell r="D4">
            <v>84720.945890000003</v>
          </cell>
          <cell r="E4">
            <v>86589.049220000001</v>
          </cell>
          <cell r="F4">
            <v>88669.136580000006</v>
          </cell>
          <cell r="G4">
            <v>90946.614149999994</v>
          </cell>
          <cell r="H4">
            <v>93380.598809999996</v>
          </cell>
          <cell r="I4">
            <v>95518.807339999999</v>
          </cell>
          <cell r="J4">
            <v>97686.595990000002</v>
          </cell>
          <cell r="K4">
            <v>100328.0238</v>
          </cell>
          <cell r="L4">
            <v>102956.99830000001</v>
          </cell>
          <cell r="M4">
            <v>105109.0865</v>
          </cell>
          <cell r="N4">
            <v>106902.3014</v>
          </cell>
          <cell r="O4">
            <v>108448.27439999999</v>
          </cell>
          <cell r="P4">
            <v>109861.41280000001</v>
          </cell>
          <cell r="Q4">
            <v>111215.5671</v>
          </cell>
          <cell r="R4">
            <v>112571.34729999999</v>
          </cell>
          <cell r="S4">
            <v>113969.0802</v>
          </cell>
          <cell r="T4">
            <v>115456.887</v>
          </cell>
          <cell r="U4">
            <v>117068.7078</v>
          </cell>
          <cell r="V4">
            <v>118819.78290000001</v>
          </cell>
          <cell r="W4">
            <v>120746.5866</v>
          </cell>
          <cell r="X4">
            <v>122889.1983</v>
          </cell>
          <cell r="Y4">
            <v>125269.94160000001</v>
          </cell>
          <cell r="Z4">
            <v>127892.54180000001</v>
          </cell>
          <cell r="AA4">
            <v>130709.08470000001</v>
          </cell>
          <cell r="AB4">
            <v>133706.02789999999</v>
          </cell>
          <cell r="AC4">
            <v>136930.07509999999</v>
          </cell>
          <cell r="AD4">
            <v>140397.44219999999</v>
          </cell>
          <cell r="AE4">
            <v>144089.98069999999</v>
          </cell>
          <cell r="AF4">
            <v>147970.03959999999</v>
          </cell>
          <cell r="AG4">
            <v>151994.1415</v>
          </cell>
          <cell r="AH4">
            <v>156136.75940000001</v>
          </cell>
          <cell r="AI4">
            <v>160369.43700000001</v>
          </cell>
          <cell r="AJ4">
            <v>164661.51430000001</v>
          </cell>
          <cell r="AK4">
            <v>168981.0569</v>
          </cell>
        </row>
        <row r="5">
          <cell r="B5">
            <v>81740.104300000006</v>
          </cell>
          <cell r="C5">
            <v>83104.277960000007</v>
          </cell>
          <cell r="D5">
            <v>84720.945890000003</v>
          </cell>
          <cell r="E5">
            <v>86589.049220000001</v>
          </cell>
          <cell r="F5">
            <v>88669.136580000006</v>
          </cell>
          <cell r="G5">
            <v>90946.614149999994</v>
          </cell>
          <cell r="H5">
            <v>93350.04148</v>
          </cell>
          <cell r="I5">
            <v>95841.727119999996</v>
          </cell>
          <cell r="J5">
            <v>98392.432029999996</v>
          </cell>
          <cell r="K5">
            <v>100987.3925</v>
          </cell>
          <cell r="L5">
            <v>103546.1724</v>
          </cell>
          <cell r="M5">
            <v>105748.4694</v>
          </cell>
          <cell r="N5">
            <v>107660.4523</v>
          </cell>
          <cell r="O5">
            <v>109335.16069999999</v>
          </cell>
          <cell r="P5">
            <v>110841.7873</v>
          </cell>
          <cell r="Q5">
            <v>112250.42570000001</v>
          </cell>
          <cell r="R5">
            <v>113663.5085</v>
          </cell>
          <cell r="S5">
            <v>115160.6666</v>
          </cell>
          <cell r="T5">
            <v>116798.1084</v>
          </cell>
          <cell r="U5">
            <v>118607.4575</v>
          </cell>
          <cell r="V5">
            <v>120596.0333</v>
          </cell>
          <cell r="W5">
            <v>122805.0365</v>
          </cell>
          <cell r="X5">
            <v>125255.03230000001</v>
          </cell>
          <cell r="Y5">
            <v>127956.8241</v>
          </cell>
          <cell r="Z5">
            <v>130905.5279</v>
          </cell>
          <cell r="AA5">
            <v>134045.9117</v>
          </cell>
          <cell r="AB5">
            <v>137403.41390000001</v>
          </cell>
          <cell r="AC5">
            <v>140990.429</v>
          </cell>
          <cell r="AD5">
            <v>144810.9376</v>
          </cell>
          <cell r="AE5">
            <v>148836.51199999999</v>
          </cell>
          <cell r="AF5">
            <v>153021.29240000001</v>
          </cell>
          <cell r="AG5">
            <v>157323.27780000001</v>
          </cell>
          <cell r="AH5">
            <v>161707.9099</v>
          </cell>
          <cell r="AI5">
            <v>166143.03510000001</v>
          </cell>
          <cell r="AJ5">
            <v>170597.42939999999</v>
          </cell>
          <cell r="AK5">
            <v>175040.20850000001</v>
          </cell>
        </row>
        <row r="6">
          <cell r="B6">
            <v>6533.4139150000001</v>
          </cell>
          <cell r="C6">
            <v>6486.8085940000001</v>
          </cell>
          <cell r="D6">
            <v>6445.665798</v>
          </cell>
          <cell r="E6">
            <v>6404.7254990000001</v>
          </cell>
          <cell r="F6">
            <v>6395.0645100000002</v>
          </cell>
          <cell r="G6">
            <v>6403.5449920000001</v>
          </cell>
          <cell r="H6">
            <v>6455.2502340000001</v>
          </cell>
          <cell r="I6">
            <v>6482.0381550000002</v>
          </cell>
          <cell r="J6">
            <v>6491.9417009999997</v>
          </cell>
          <cell r="K6">
            <v>6506.6366820000003</v>
          </cell>
          <cell r="L6">
            <v>6505.547877</v>
          </cell>
          <cell r="M6">
            <v>6545.2917690000004</v>
          </cell>
          <cell r="N6">
            <v>6601.5799040000002</v>
          </cell>
          <cell r="O6">
            <v>6667.8167480000002</v>
          </cell>
          <cell r="P6">
            <v>6744.1156639999999</v>
          </cell>
          <cell r="Q6">
            <v>6831.3887729999997</v>
          </cell>
          <cell r="R6">
            <v>6937.8697069999998</v>
          </cell>
          <cell r="S6">
            <v>7058.3576480000002</v>
          </cell>
          <cell r="T6">
            <v>7192.5745800000004</v>
          </cell>
          <cell r="U6">
            <v>7341.2883840000004</v>
          </cell>
          <cell r="V6">
            <v>7504.2512479999996</v>
          </cell>
          <cell r="W6">
            <v>7689.6696970000003</v>
          </cell>
          <cell r="X6">
            <v>7896.8354890000001</v>
          </cell>
          <cell r="Y6">
            <v>8127.0247179999997</v>
          </cell>
          <cell r="Z6">
            <v>8382.3002030000007</v>
          </cell>
          <cell r="AA6">
            <v>8660.8572280000008</v>
          </cell>
          <cell r="AB6">
            <v>8793.2180759999992</v>
          </cell>
          <cell r="AC6">
            <v>8891.1330899999994</v>
          </cell>
          <cell r="AD6">
            <v>8993.3453819999995</v>
          </cell>
          <cell r="AE6">
            <v>9107.9004540000005</v>
          </cell>
          <cell r="AF6">
            <v>9233.3366979999992</v>
          </cell>
          <cell r="AG6">
            <v>9367.4872200000009</v>
          </cell>
          <cell r="AH6">
            <v>9507.2002670000002</v>
          </cell>
          <cell r="AI6">
            <v>9650.3322009999993</v>
          </cell>
          <cell r="AJ6">
            <v>9795.2155029999994</v>
          </cell>
          <cell r="AK6">
            <v>9940.4210760000005</v>
          </cell>
        </row>
        <row r="7">
          <cell r="B7">
            <v>6533.4139150000001</v>
          </cell>
          <cell r="C7">
            <v>6486.8085940000001</v>
          </cell>
          <cell r="D7">
            <v>6445.665798</v>
          </cell>
          <cell r="E7">
            <v>6404.7254979999998</v>
          </cell>
          <cell r="F7">
            <v>6395.0645100000002</v>
          </cell>
          <cell r="G7">
            <v>6403.5449909999998</v>
          </cell>
          <cell r="H7">
            <v>6455.5485710000003</v>
          </cell>
          <cell r="I7">
            <v>6521.259247</v>
          </cell>
          <cell r="J7">
            <v>6597.772215</v>
          </cell>
          <cell r="K7">
            <v>6683.375822</v>
          </cell>
          <cell r="L7">
            <v>6777.3226290000002</v>
          </cell>
          <cell r="M7">
            <v>6860.5803939999996</v>
          </cell>
          <cell r="N7">
            <v>6939.9022290000003</v>
          </cell>
          <cell r="O7">
            <v>7020.3764309999997</v>
          </cell>
          <cell r="P7">
            <v>7105.3614349999998</v>
          </cell>
          <cell r="Q7">
            <v>7197.5413250000001</v>
          </cell>
          <cell r="R7">
            <v>7319.7864479999998</v>
          </cell>
          <cell r="S7">
            <v>7457.1835899999996</v>
          </cell>
          <cell r="T7">
            <v>7608.9171669999996</v>
          </cell>
          <cell r="U7">
            <v>7775.7764090000001</v>
          </cell>
          <cell r="V7">
            <v>7957.0656410000001</v>
          </cell>
          <cell r="W7">
            <v>8157.0901519999998</v>
          </cell>
          <cell r="X7">
            <v>8377.3878370000002</v>
          </cell>
          <cell r="Y7">
            <v>8619.8113489999996</v>
          </cell>
          <cell r="Z7">
            <v>8886.2739070000007</v>
          </cell>
          <cell r="AA7">
            <v>9173.9470920000003</v>
          </cell>
          <cell r="AB7">
            <v>9323.1143179999999</v>
          </cell>
          <cell r="AC7">
            <v>9438.701583</v>
          </cell>
          <cell r="AD7">
            <v>9556.6239530000003</v>
          </cell>
          <cell r="AE7">
            <v>9684.8325390000009</v>
          </cell>
          <cell r="AF7">
            <v>9822.4198329999999</v>
          </cell>
          <cell r="AG7">
            <v>9966.5870319999995</v>
          </cell>
          <cell r="AH7">
            <v>10115.00236</v>
          </cell>
          <cell r="AI7">
            <v>10265.84325</v>
          </cell>
          <cell r="AJ7">
            <v>10417.667949999999</v>
          </cell>
          <cell r="AK7">
            <v>10569.262269999999</v>
          </cell>
        </row>
        <row r="8">
          <cell r="B8">
            <v>157672.64050000001</v>
          </cell>
          <cell r="C8">
            <v>160389.87760000001</v>
          </cell>
          <cell r="D8">
            <v>163546.0595</v>
          </cell>
          <cell r="E8">
            <v>167186.15119999999</v>
          </cell>
          <cell r="F8">
            <v>171210.5564</v>
          </cell>
          <cell r="G8">
            <v>175595.8302</v>
          </cell>
          <cell r="H8">
            <v>180262.1012</v>
          </cell>
          <cell r="I8">
            <v>184524.4975</v>
          </cell>
          <cell r="J8">
            <v>188908.0129</v>
          </cell>
          <cell r="K8">
            <v>194123.7144</v>
          </cell>
          <cell r="L8">
            <v>199527.33670000001</v>
          </cell>
          <cell r="M8">
            <v>204171.28349999999</v>
          </cell>
          <cell r="N8">
            <v>208213.0128</v>
          </cell>
          <cell r="O8">
            <v>211784.91380000001</v>
          </cell>
          <cell r="P8">
            <v>215046.84390000001</v>
          </cell>
          <cell r="Q8">
            <v>218122.04500000001</v>
          </cell>
          <cell r="R8">
            <v>221131.01670000001</v>
          </cell>
          <cell r="S8">
            <v>224169.5527</v>
          </cell>
          <cell r="T8">
            <v>227334.266</v>
          </cell>
          <cell r="U8">
            <v>230689.60490000001</v>
          </cell>
          <cell r="V8">
            <v>234258.97510000001</v>
          </cell>
          <cell r="W8">
            <v>238103.2972</v>
          </cell>
          <cell r="X8">
            <v>242296.76079999999</v>
          </cell>
          <cell r="Y8">
            <v>246884.73250000001</v>
          </cell>
          <cell r="Z8">
            <v>251882.16209999999</v>
          </cell>
          <cell r="AA8">
            <v>257183.01310000001</v>
          </cell>
          <cell r="AB8">
            <v>262756.75410000002</v>
          </cell>
          <cell r="AC8">
            <v>268692.00209999998</v>
          </cell>
          <cell r="AD8">
            <v>275021.75199999998</v>
          </cell>
          <cell r="AE8">
            <v>281727.25870000001</v>
          </cell>
          <cell r="AF8">
            <v>288754.77149999997</v>
          </cell>
          <cell r="AG8">
            <v>296023.3787</v>
          </cell>
          <cell r="AH8">
            <v>303491.8737</v>
          </cell>
          <cell r="AI8">
            <v>311110.53360000002</v>
          </cell>
          <cell r="AJ8">
            <v>318825.36369999999</v>
          </cell>
          <cell r="AK8">
            <v>326580.31310000003</v>
          </cell>
        </row>
        <row r="9">
          <cell r="B9">
            <v>157672.64050000001</v>
          </cell>
          <cell r="C9">
            <v>160389.87760000001</v>
          </cell>
          <cell r="D9">
            <v>163546.0594</v>
          </cell>
          <cell r="E9">
            <v>167186.15119999999</v>
          </cell>
          <cell r="F9">
            <v>171210.5564</v>
          </cell>
          <cell r="G9">
            <v>175595.8302</v>
          </cell>
          <cell r="H9">
            <v>180200.77100000001</v>
          </cell>
          <cell r="I9">
            <v>184972.89550000001</v>
          </cell>
          <cell r="J9">
            <v>189862.7127</v>
          </cell>
          <cell r="K9">
            <v>194846.07579999999</v>
          </cell>
          <cell r="L9">
            <v>199809.14859999999</v>
          </cell>
          <cell r="M9">
            <v>204207.13089999999</v>
          </cell>
          <cell r="N9">
            <v>208112.27439999999</v>
          </cell>
          <cell r="O9">
            <v>211580.81539999999</v>
          </cell>
          <cell r="P9">
            <v>214709.93059999999</v>
          </cell>
          <cell r="Q9">
            <v>217612.1151</v>
          </cell>
          <cell r="R9">
            <v>220472.67009999999</v>
          </cell>
          <cell r="S9">
            <v>223430.82199999999</v>
          </cell>
          <cell r="T9">
            <v>226589.36439999999</v>
          </cell>
          <cell r="U9">
            <v>230013.0343</v>
          </cell>
          <cell r="V9">
            <v>233715.2769</v>
          </cell>
          <cell r="W9">
            <v>237793.342</v>
          </cell>
          <cell r="X9">
            <v>242287.08429999999</v>
          </cell>
          <cell r="Y9">
            <v>247223.4957</v>
          </cell>
          <cell r="Z9">
            <v>252603.61859999999</v>
          </cell>
          <cell r="AA9">
            <v>258310.68640000001</v>
          </cell>
          <cell r="AB9">
            <v>264416.77539999998</v>
          </cell>
          <cell r="AC9">
            <v>270936.33490000002</v>
          </cell>
          <cell r="AD9">
            <v>277880.0612</v>
          </cell>
          <cell r="AE9">
            <v>285208.36499999999</v>
          </cell>
          <cell r="AF9">
            <v>292850.0086</v>
          </cell>
          <cell r="AG9">
            <v>300734.12910000002</v>
          </cell>
          <cell r="AH9">
            <v>308797.2757</v>
          </cell>
          <cell r="AI9">
            <v>316977.52389999997</v>
          </cell>
          <cell r="AJ9">
            <v>325213.34330000001</v>
          </cell>
          <cell r="AK9">
            <v>333443.2966</v>
          </cell>
        </row>
        <row r="10">
          <cell r="B10">
            <v>125569.2233</v>
          </cell>
          <cell r="C10">
            <v>130150.25930000001</v>
          </cell>
          <cell r="D10">
            <v>135134.2194</v>
          </cell>
          <cell r="E10">
            <v>140085.7934</v>
          </cell>
          <cell r="F10">
            <v>145017.93479999999</v>
          </cell>
          <cell r="G10">
            <v>149886.9982</v>
          </cell>
          <cell r="H10">
            <v>154673.8175</v>
          </cell>
          <cell r="I10">
            <v>158091.2482</v>
          </cell>
          <cell r="J10">
            <v>161450.85219999999</v>
          </cell>
          <cell r="K10">
            <v>166477.28</v>
          </cell>
          <cell r="L10">
            <v>170860.23319999999</v>
          </cell>
          <cell r="M10">
            <v>174107.2966</v>
          </cell>
          <cell r="N10">
            <v>176535.56950000001</v>
          </cell>
          <cell r="O10">
            <v>178496.6476</v>
          </cell>
          <cell r="P10">
            <v>180421.14869999999</v>
          </cell>
          <cell r="Q10">
            <v>182529.56210000001</v>
          </cell>
          <cell r="R10">
            <v>184657.655</v>
          </cell>
          <cell r="S10">
            <v>187113.21660000001</v>
          </cell>
          <cell r="T10">
            <v>189992.42809999999</v>
          </cell>
          <cell r="U10">
            <v>193346.48389999999</v>
          </cell>
          <cell r="V10">
            <v>197140.64540000001</v>
          </cell>
          <cell r="W10">
            <v>201468.71679999999</v>
          </cell>
          <cell r="X10">
            <v>206314.37150000001</v>
          </cell>
          <cell r="Y10">
            <v>211658.65650000001</v>
          </cell>
          <cell r="Z10">
            <v>217456.43669999999</v>
          </cell>
          <cell r="AA10">
            <v>223652.07680000001</v>
          </cell>
          <cell r="AB10">
            <v>230481.86230000001</v>
          </cell>
          <cell r="AC10">
            <v>237818.95800000001</v>
          </cell>
          <cell r="AD10">
            <v>245646.55040000001</v>
          </cell>
          <cell r="AE10">
            <v>253847.58559999999</v>
          </cell>
          <cell r="AF10">
            <v>262276.29879999999</v>
          </cell>
          <cell r="AG10">
            <v>270856.4853</v>
          </cell>
          <cell r="AH10">
            <v>279522.01040000003</v>
          </cell>
          <cell r="AI10">
            <v>288226.37070000003</v>
          </cell>
          <cell r="AJ10">
            <v>296932.33529999998</v>
          </cell>
          <cell r="AK10">
            <v>305603.90419999999</v>
          </cell>
        </row>
        <row r="11">
          <cell r="B11">
            <v>125569.2233</v>
          </cell>
          <cell r="C11">
            <v>130150.25930000001</v>
          </cell>
          <cell r="D11">
            <v>135134.2194</v>
          </cell>
          <cell r="E11">
            <v>140085.7935</v>
          </cell>
          <cell r="F11">
            <v>145017.93479999999</v>
          </cell>
          <cell r="G11">
            <v>149886.9982</v>
          </cell>
          <cell r="H11">
            <v>154609.72529999999</v>
          </cell>
          <cell r="I11">
            <v>159209.48050000001</v>
          </cell>
          <cell r="J11">
            <v>163770.4319</v>
          </cell>
          <cell r="K11">
            <v>168353.7873</v>
          </cell>
          <cell r="L11">
            <v>172692.04519999999</v>
          </cell>
          <cell r="M11">
            <v>175887.011</v>
          </cell>
          <cell r="N11">
            <v>178447.13099999999</v>
          </cell>
          <cell r="O11">
            <v>180673.3155</v>
          </cell>
          <cell r="P11">
            <v>182834.31</v>
          </cell>
          <cell r="Q11">
            <v>185123.71179999999</v>
          </cell>
          <cell r="R11">
            <v>187761.75140000001</v>
          </cell>
          <cell r="S11">
            <v>190854.42809999999</v>
          </cell>
          <cell r="T11">
            <v>194435.71419999999</v>
          </cell>
          <cell r="U11">
            <v>198488.03</v>
          </cell>
          <cell r="V11">
            <v>202995.39540000001</v>
          </cell>
          <cell r="W11">
            <v>207971.17540000001</v>
          </cell>
          <cell r="X11">
            <v>213440.9327</v>
          </cell>
          <cell r="Y11">
            <v>219402.03200000001</v>
          </cell>
          <cell r="Z11">
            <v>225805.4503</v>
          </cell>
          <cell r="AA11">
            <v>232586.79949999999</v>
          </cell>
          <cell r="AB11">
            <v>239771.9473</v>
          </cell>
          <cell r="AC11">
            <v>247408.6568</v>
          </cell>
          <cell r="AD11">
            <v>255496.91130000001</v>
          </cell>
          <cell r="AE11">
            <v>263924.13179999997</v>
          </cell>
          <cell r="AF11">
            <v>272547.11359999998</v>
          </cell>
          <cell r="AG11">
            <v>281272.09909999999</v>
          </cell>
          <cell r="AH11">
            <v>290053.00060000003</v>
          </cell>
          <cell r="AI11">
            <v>298860.09600000002</v>
          </cell>
          <cell r="AJ11">
            <v>307668.89449999999</v>
          </cell>
          <cell r="AK11">
            <v>316454.44130000001</v>
          </cell>
        </row>
        <row r="12">
          <cell r="B12">
            <v>22086.068019999999</v>
          </cell>
          <cell r="C12">
            <v>22488.08755</v>
          </cell>
          <cell r="D12">
            <v>22940.180329999999</v>
          </cell>
          <cell r="E12">
            <v>23427.383819999999</v>
          </cell>
          <cell r="F12">
            <v>23957.967369999998</v>
          </cell>
          <cell r="G12">
            <v>24533.84981</v>
          </cell>
          <cell r="H12">
            <v>25158.951229999999</v>
          </cell>
          <cell r="I12">
            <v>25677.706429999998</v>
          </cell>
          <cell r="J12">
            <v>26173.98979</v>
          </cell>
          <cell r="K12">
            <v>26735.2163</v>
          </cell>
          <cell r="L12">
            <v>27234.638589999999</v>
          </cell>
          <cell r="M12">
            <v>27645.505000000001</v>
          </cell>
          <cell r="N12">
            <v>28007.92295</v>
          </cell>
          <cell r="O12">
            <v>28351.55171</v>
          </cell>
          <cell r="P12">
            <v>28701.441030000002</v>
          </cell>
          <cell r="Q12">
            <v>29070.61681</v>
          </cell>
          <cell r="R12">
            <v>29467.051189999998</v>
          </cell>
          <cell r="S12">
            <v>29888.017459999999</v>
          </cell>
          <cell r="T12">
            <v>30341.506689999998</v>
          </cell>
          <cell r="U12">
            <v>30833.833129999999</v>
          </cell>
          <cell r="V12">
            <v>31366.523430000001</v>
          </cell>
          <cell r="W12">
            <v>31955.685979999998</v>
          </cell>
          <cell r="X12">
            <v>32611.574209999999</v>
          </cell>
          <cell r="Y12">
            <v>33338.761850000003</v>
          </cell>
          <cell r="Z12">
            <v>34137.281969999996</v>
          </cell>
          <cell r="AA12">
            <v>35000.03961</v>
          </cell>
          <cell r="AB12">
            <v>35881.753149999997</v>
          </cell>
          <cell r="AC12">
            <v>36797.398000000001</v>
          </cell>
          <cell r="AD12">
            <v>37755.617870000002</v>
          </cell>
          <cell r="AE12">
            <v>38754.499219999998</v>
          </cell>
          <cell r="AF12">
            <v>39785.230810000001</v>
          </cell>
          <cell r="AG12">
            <v>40844.00591</v>
          </cell>
          <cell r="AH12">
            <v>41924.585769999998</v>
          </cell>
          <cell r="AI12">
            <v>43018.981059999998</v>
          </cell>
          <cell r="AJ12">
            <v>44118.597139999998</v>
          </cell>
          <cell r="AK12">
            <v>45214.764799999997</v>
          </cell>
        </row>
        <row r="13">
          <cell r="B13">
            <v>22086.068019999999</v>
          </cell>
          <cell r="C13">
            <v>22488.08755</v>
          </cell>
          <cell r="D13">
            <v>22940.180329999999</v>
          </cell>
          <cell r="E13">
            <v>23427.383819999999</v>
          </cell>
          <cell r="F13">
            <v>23957.967379999998</v>
          </cell>
          <cell r="G13">
            <v>24533.849819999999</v>
          </cell>
          <cell r="H13">
            <v>25150.74235</v>
          </cell>
          <cell r="I13">
            <v>25795.707600000002</v>
          </cell>
          <cell r="J13">
            <v>26462.582760000001</v>
          </cell>
          <cell r="K13">
            <v>27149.434929999999</v>
          </cell>
          <cell r="L13">
            <v>27836.761719999999</v>
          </cell>
          <cell r="M13">
            <v>28449.38753</v>
          </cell>
          <cell r="N13">
            <v>29006.00664</v>
          </cell>
          <cell r="O13">
            <v>29523.595440000001</v>
          </cell>
          <cell r="P13">
            <v>30021.46587</v>
          </cell>
          <cell r="Q13">
            <v>30517.236819999998</v>
          </cell>
          <cell r="R13">
            <v>31036.092659999998</v>
          </cell>
          <cell r="S13">
            <v>31597.119900000002</v>
          </cell>
          <cell r="T13">
            <v>32213.020619999999</v>
          </cell>
          <cell r="U13">
            <v>32890.44238</v>
          </cell>
          <cell r="V13">
            <v>33632.139049999998</v>
          </cell>
          <cell r="W13">
            <v>34444.42742</v>
          </cell>
          <cell r="X13">
            <v>35333.465839999997</v>
          </cell>
          <cell r="Y13">
            <v>36303.427680000001</v>
          </cell>
          <cell r="Z13">
            <v>37355.144099999998</v>
          </cell>
          <cell r="AA13">
            <v>38482.747389999997</v>
          </cell>
          <cell r="AB13">
            <v>39641.183720000001</v>
          </cell>
          <cell r="AC13">
            <v>40838.28357</v>
          </cell>
          <cell r="AD13">
            <v>42085.371400000004</v>
          </cell>
          <cell r="AE13">
            <v>43382.463759999999</v>
          </cell>
          <cell r="AF13">
            <v>44722.110350000003</v>
          </cell>
          <cell r="AG13">
            <v>46096.068019999999</v>
          </cell>
          <cell r="AH13">
            <v>47497.307110000002</v>
          </cell>
          <cell r="AI13">
            <v>48919.260320000001</v>
          </cell>
          <cell r="AJ13">
            <v>50355.546280000002</v>
          </cell>
          <cell r="AK13">
            <v>51799.754260000002</v>
          </cell>
        </row>
        <row r="14">
          <cell r="B14">
            <v>16303.439189999999</v>
          </cell>
          <cell r="C14">
            <v>16674.904030000002</v>
          </cell>
          <cell r="D14">
            <v>17086.639449999999</v>
          </cell>
          <cell r="E14">
            <v>17529.94182</v>
          </cell>
          <cell r="F14">
            <v>18000.589929999998</v>
          </cell>
          <cell r="G14">
            <v>18496.471420000002</v>
          </cell>
          <cell r="H14">
            <v>19013.186710000002</v>
          </cell>
          <cell r="I14">
            <v>19438.37026</v>
          </cell>
          <cell r="J14">
            <v>19864.059399999998</v>
          </cell>
          <cell r="K14">
            <v>20419.72294</v>
          </cell>
          <cell r="L14">
            <v>20938.278269999999</v>
          </cell>
          <cell r="M14">
            <v>21323.079129999998</v>
          </cell>
          <cell r="N14">
            <v>21613.99135</v>
          </cell>
          <cell r="O14">
            <v>21849.0101</v>
          </cell>
          <cell r="P14">
            <v>22064.898690000002</v>
          </cell>
          <cell r="Q14">
            <v>22281.626769999999</v>
          </cell>
          <cell r="R14">
            <v>22500.130710000001</v>
          </cell>
          <cell r="S14">
            <v>22738.783429999999</v>
          </cell>
          <cell r="T14">
            <v>23008.395090000002</v>
          </cell>
          <cell r="U14">
            <v>23315.48545</v>
          </cell>
          <cell r="V14">
            <v>23661.08164</v>
          </cell>
          <cell r="W14">
            <v>24051.378710000001</v>
          </cell>
          <cell r="X14">
            <v>24493.192230000001</v>
          </cell>
          <cell r="Y14">
            <v>24989.125179999999</v>
          </cell>
          <cell r="Z14">
            <v>25537.047279999999</v>
          </cell>
          <cell r="AA14">
            <v>26128.810369999999</v>
          </cell>
          <cell r="AB14">
            <v>26763.13969</v>
          </cell>
          <cell r="AC14">
            <v>27444.081139999998</v>
          </cell>
          <cell r="AD14">
            <v>28172.055700000001</v>
          </cell>
          <cell r="AE14">
            <v>28937.9365</v>
          </cell>
          <cell r="AF14">
            <v>29728.572759999999</v>
          </cell>
          <cell r="AG14">
            <v>30533.438880000002</v>
          </cell>
          <cell r="AH14">
            <v>31345.625830000001</v>
          </cell>
          <cell r="AI14">
            <v>32158.72766</v>
          </cell>
          <cell r="AJ14">
            <v>32966.657160000002</v>
          </cell>
          <cell r="AK14">
            <v>33763.602039999998</v>
          </cell>
        </row>
        <row r="15">
          <cell r="B15">
            <v>16303.439189999999</v>
          </cell>
          <cell r="C15">
            <v>16674.904030000002</v>
          </cell>
          <cell r="D15">
            <v>17086.639449999999</v>
          </cell>
          <cell r="E15">
            <v>17529.94183</v>
          </cell>
          <cell r="F15">
            <v>18000.589940000002</v>
          </cell>
          <cell r="G15">
            <v>18496.471430000001</v>
          </cell>
          <cell r="H15">
            <v>19006.383730000001</v>
          </cell>
          <cell r="I15">
            <v>19523.241450000001</v>
          </cell>
          <cell r="J15">
            <v>20042.957630000001</v>
          </cell>
          <cell r="K15">
            <v>20564.040379999999</v>
          </cell>
          <cell r="L15">
            <v>21062.632519999999</v>
          </cell>
          <cell r="M15">
            <v>21459.772700000001</v>
          </cell>
          <cell r="N15">
            <v>21786.777119999999</v>
          </cell>
          <cell r="O15">
            <v>22065.36781</v>
          </cell>
          <cell r="P15">
            <v>22317.628219999999</v>
          </cell>
          <cell r="Q15">
            <v>22562.18087</v>
          </cell>
          <cell r="R15">
            <v>22821.647430000001</v>
          </cell>
          <cell r="S15">
            <v>23112.74841</v>
          </cell>
          <cell r="T15">
            <v>23446.118630000001</v>
          </cell>
          <cell r="U15">
            <v>23826.353289999999</v>
          </cell>
          <cell r="V15">
            <v>24254.972330000001</v>
          </cell>
          <cell r="W15">
            <v>24736.78584</v>
          </cell>
          <cell r="X15">
            <v>25275.688279999998</v>
          </cell>
          <cell r="Y15">
            <v>25872.673920000001</v>
          </cell>
          <cell r="Z15">
            <v>26524.56061</v>
          </cell>
          <cell r="AA15">
            <v>27222.684079999999</v>
          </cell>
          <cell r="AB15">
            <v>27965.235390000002</v>
          </cell>
          <cell r="AC15">
            <v>28756.02693</v>
          </cell>
          <cell r="AD15">
            <v>29595.567950000001</v>
          </cell>
          <cell r="AE15">
            <v>30474.833569999999</v>
          </cell>
          <cell r="AF15">
            <v>31380.955160000001</v>
          </cell>
          <cell r="AG15">
            <v>32303.628580000001</v>
          </cell>
          <cell r="AH15">
            <v>33235.681660000002</v>
          </cell>
          <cell r="AI15">
            <v>34171.184119999998</v>
          </cell>
          <cell r="AJ15">
            <v>35104.817340000001</v>
          </cell>
          <cell r="AK15">
            <v>36031.573819999998</v>
          </cell>
        </row>
        <row r="16">
          <cell r="B16">
            <v>86955.833100000003</v>
          </cell>
          <cell r="C16">
            <v>89342.965500000006</v>
          </cell>
          <cell r="D16">
            <v>91907.40526</v>
          </cell>
          <cell r="E16">
            <v>94601.625480000002</v>
          </cell>
          <cell r="F16">
            <v>97417.731830000004</v>
          </cell>
          <cell r="G16">
            <v>100352.6976</v>
          </cell>
          <cell r="H16">
            <v>103386.2164</v>
          </cell>
          <cell r="I16">
            <v>105562.50599999999</v>
          </cell>
          <cell r="J16">
            <v>107730.6623</v>
          </cell>
          <cell r="K16">
            <v>110716.5919</v>
          </cell>
          <cell r="L16">
            <v>113338.92600000001</v>
          </cell>
          <cell r="M16">
            <v>115063.6583</v>
          </cell>
          <cell r="N16">
            <v>116203.7169</v>
          </cell>
          <cell r="O16">
            <v>117034.38159999999</v>
          </cell>
          <cell r="P16">
            <v>117805.18369999999</v>
          </cell>
          <cell r="Q16">
            <v>118637.849</v>
          </cell>
          <cell r="R16">
            <v>119628.03</v>
          </cell>
          <cell r="S16">
            <v>120786.28509999999</v>
          </cell>
          <cell r="T16">
            <v>122162.84390000001</v>
          </cell>
          <cell r="U16">
            <v>123774.3738</v>
          </cell>
          <cell r="V16">
            <v>125630.0966</v>
          </cell>
          <cell r="W16">
            <v>127760.7294</v>
          </cell>
          <cell r="X16">
            <v>130201.9486</v>
          </cell>
          <cell r="Y16">
            <v>132962.44219999999</v>
          </cell>
          <cell r="Z16">
            <v>136021.0257</v>
          </cell>
          <cell r="AA16">
            <v>139341.736</v>
          </cell>
          <cell r="AB16">
            <v>142902.405</v>
          </cell>
          <cell r="AC16">
            <v>146751.59400000001</v>
          </cell>
          <cell r="AD16">
            <v>150885.29310000001</v>
          </cell>
          <cell r="AE16">
            <v>155238.14240000001</v>
          </cell>
          <cell r="AF16">
            <v>159724.00640000001</v>
          </cell>
          <cell r="AG16">
            <v>164286.133</v>
          </cell>
          <cell r="AH16">
            <v>168886.747</v>
          </cell>
          <cell r="AI16">
            <v>173489.99660000001</v>
          </cell>
          <cell r="AJ16">
            <v>178060.45939999999</v>
          </cell>
          <cell r="AK16">
            <v>182562.94209999999</v>
          </cell>
        </row>
        <row r="17">
          <cell r="B17">
            <v>86955.833100000003</v>
          </cell>
          <cell r="C17">
            <v>89342.965500000006</v>
          </cell>
          <cell r="D17">
            <v>91907.405270000003</v>
          </cell>
          <cell r="E17">
            <v>94601.625490000006</v>
          </cell>
          <cell r="F17">
            <v>97417.73186</v>
          </cell>
          <cell r="G17">
            <v>100352.6976</v>
          </cell>
          <cell r="H17">
            <v>103338.1226</v>
          </cell>
          <cell r="I17">
            <v>106325.2288</v>
          </cell>
          <cell r="J17">
            <v>109288.8164</v>
          </cell>
          <cell r="K17">
            <v>112223.317</v>
          </cell>
          <cell r="L17">
            <v>114956.35159999999</v>
          </cell>
          <cell r="M17">
            <v>116965.68060000001</v>
          </cell>
          <cell r="N17">
            <v>118520.2357</v>
          </cell>
          <cell r="O17">
            <v>119786.8064</v>
          </cell>
          <cell r="P17">
            <v>120922.2294</v>
          </cell>
          <cell r="Q17">
            <v>122048.96369999999</v>
          </cell>
          <cell r="R17">
            <v>123317.26089999999</v>
          </cell>
          <cell r="S17">
            <v>124837.5763</v>
          </cell>
          <cell r="T17">
            <v>126673.1298</v>
          </cell>
          <cell r="U17">
            <v>128841.4414</v>
          </cell>
          <cell r="V17">
            <v>131346.52660000001</v>
          </cell>
          <cell r="W17">
            <v>134198.02729999999</v>
          </cell>
          <cell r="X17">
            <v>137411.95860000001</v>
          </cell>
          <cell r="Y17">
            <v>140985.55360000001</v>
          </cell>
          <cell r="Z17">
            <v>144889.62520000001</v>
          </cell>
          <cell r="AA17">
            <v>149084.10709999999</v>
          </cell>
          <cell r="AB17">
            <v>153561.2831</v>
          </cell>
          <cell r="AC17">
            <v>158342.3977</v>
          </cell>
          <cell r="AD17">
            <v>163423.12719999999</v>
          </cell>
          <cell r="AE17">
            <v>168736.3731</v>
          </cell>
          <cell r="AF17">
            <v>174195.00140000001</v>
          </cell>
          <cell r="AG17">
            <v>179735.1054</v>
          </cell>
          <cell r="AH17">
            <v>185316.3291</v>
          </cell>
          <cell r="AI17">
            <v>190906.42180000001</v>
          </cell>
          <cell r="AJ17">
            <v>196476.42379999999</v>
          </cell>
          <cell r="AK17">
            <v>201998.51029999999</v>
          </cell>
        </row>
        <row r="18">
          <cell r="B18">
            <v>29074.537820000001</v>
          </cell>
          <cell r="C18">
            <v>29834.052240000001</v>
          </cell>
          <cell r="D18">
            <v>30668.704249999999</v>
          </cell>
          <cell r="E18">
            <v>31550.761119999999</v>
          </cell>
          <cell r="F18">
            <v>32472.557720000001</v>
          </cell>
          <cell r="G18">
            <v>33429.926590000003</v>
          </cell>
          <cell r="H18">
            <v>34421.14213</v>
          </cell>
          <cell r="I18">
            <v>35203.864540000002</v>
          </cell>
          <cell r="J18">
            <v>35993.310319999997</v>
          </cell>
          <cell r="K18">
            <v>37067.301270000004</v>
          </cell>
          <cell r="L18">
            <v>38066.734579999997</v>
          </cell>
          <cell r="M18">
            <v>38795.409469999999</v>
          </cell>
          <cell r="N18">
            <v>39329.59173</v>
          </cell>
          <cell r="O18">
            <v>39750.729939999997</v>
          </cell>
          <cell r="P18">
            <v>40140.059730000001</v>
          </cell>
          <cell r="Q18">
            <v>40541.364880000001</v>
          </cell>
          <cell r="R18">
            <v>40956.639640000001</v>
          </cell>
          <cell r="S18">
            <v>41423.2791</v>
          </cell>
          <cell r="T18">
            <v>41962.685940000003</v>
          </cell>
          <cell r="U18">
            <v>42586.870790000001</v>
          </cell>
          <cell r="V18">
            <v>43299.816350000001</v>
          </cell>
          <cell r="W18">
            <v>44111.034390000001</v>
          </cell>
          <cell r="X18">
            <v>45032.214829999997</v>
          </cell>
          <cell r="Y18">
            <v>46068.385679999999</v>
          </cell>
          <cell r="Z18">
            <v>47216.018349999998</v>
          </cell>
          <cell r="AA18">
            <v>48465.270259999998</v>
          </cell>
          <cell r="AB18">
            <v>49793.078260000002</v>
          </cell>
          <cell r="AC18">
            <v>51213.552909999999</v>
          </cell>
          <cell r="AD18">
            <v>52732.38495</v>
          </cell>
          <cell r="AE18">
            <v>54333.760710000002</v>
          </cell>
          <cell r="AF18">
            <v>55993.061309999997</v>
          </cell>
          <cell r="AG18">
            <v>57690.611709999997</v>
          </cell>
          <cell r="AH18">
            <v>59413.317080000001</v>
          </cell>
          <cell r="AI18">
            <v>61149.522839999998</v>
          </cell>
          <cell r="AJ18">
            <v>62887.958440000002</v>
          </cell>
          <cell r="AK18">
            <v>64617.366759999997</v>
          </cell>
        </row>
        <row r="19">
          <cell r="B19">
            <v>29074.537820000001</v>
          </cell>
          <cell r="C19">
            <v>29834.052240000001</v>
          </cell>
          <cell r="D19">
            <v>30668.704249999999</v>
          </cell>
          <cell r="E19">
            <v>31550.761119999999</v>
          </cell>
          <cell r="F19">
            <v>32472.557720000001</v>
          </cell>
          <cell r="G19">
            <v>33429.926599999999</v>
          </cell>
          <cell r="H19">
            <v>34413.048289999999</v>
          </cell>
          <cell r="I19">
            <v>35409.647629999999</v>
          </cell>
          <cell r="J19">
            <v>36413.14918</v>
          </cell>
          <cell r="K19">
            <v>37421.162900000003</v>
          </cell>
          <cell r="L19">
            <v>38380.807869999997</v>
          </cell>
          <cell r="M19">
            <v>39127.113850000002</v>
          </cell>
          <cell r="N19">
            <v>39732.929709999997</v>
          </cell>
          <cell r="O19">
            <v>40248.22681</v>
          </cell>
          <cell r="P19">
            <v>40721.083290000002</v>
          </cell>
          <cell r="Q19">
            <v>41190.166129999998</v>
          </cell>
          <cell r="R19">
            <v>41696.077169999997</v>
          </cell>
          <cell r="S19">
            <v>42270.971799999999</v>
          </cell>
          <cell r="T19">
            <v>42935.653810000003</v>
          </cell>
          <cell r="U19">
            <v>43698.93793</v>
          </cell>
          <cell r="V19">
            <v>44565.48689</v>
          </cell>
          <cell r="W19">
            <v>45542.521079999999</v>
          </cell>
          <cell r="X19">
            <v>46638.525329999997</v>
          </cell>
          <cell r="Y19">
            <v>47855.639159999999</v>
          </cell>
          <cell r="Z19">
            <v>49187.240469999997</v>
          </cell>
          <cell r="AA19">
            <v>50620.911139999997</v>
          </cell>
          <cell r="AB19">
            <v>52130.333769999997</v>
          </cell>
          <cell r="AC19">
            <v>53728.743349999997</v>
          </cell>
          <cell r="AD19">
            <v>55420.854169999999</v>
          </cell>
          <cell r="AE19">
            <v>57188.981390000001</v>
          </cell>
          <cell r="AF19">
            <v>59006.885600000001</v>
          </cell>
          <cell r="AG19">
            <v>60854.141280000003</v>
          </cell>
          <cell r="AH19">
            <v>62717.251859999997</v>
          </cell>
          <cell r="AI19">
            <v>64585.352859999999</v>
          </cell>
          <cell r="AJ19">
            <v>66448.761060000004</v>
          </cell>
          <cell r="AK19">
            <v>68298.312439999994</v>
          </cell>
        </row>
        <row r="20">
          <cell r="B20">
            <v>80197.862959999999</v>
          </cell>
          <cell r="C20">
            <v>82240.160839999997</v>
          </cell>
          <cell r="D20">
            <v>84503.248130000007</v>
          </cell>
          <cell r="E20">
            <v>86875.897790000003</v>
          </cell>
          <cell r="F20">
            <v>89355.265400000004</v>
          </cell>
          <cell r="G20">
            <v>91936.592290000001</v>
          </cell>
          <cell r="H20">
            <v>94619.364759999997</v>
          </cell>
          <cell r="I20">
            <v>96631.823850000001</v>
          </cell>
          <cell r="J20">
            <v>98603.076749999993</v>
          </cell>
          <cell r="K20">
            <v>101249.7169</v>
          </cell>
          <cell r="L20">
            <v>103615.5309</v>
          </cell>
          <cell r="M20">
            <v>105291.7151</v>
          </cell>
          <cell r="N20">
            <v>106501.5353</v>
          </cell>
          <cell r="O20">
            <v>107468.62790000001</v>
          </cell>
          <cell r="P20">
            <v>108405.2262</v>
          </cell>
          <cell r="Q20">
            <v>109420.126</v>
          </cell>
          <cell r="R20">
            <v>110533.3649</v>
          </cell>
          <cell r="S20">
            <v>111798.72530000001</v>
          </cell>
          <cell r="T20">
            <v>113263.1703</v>
          </cell>
          <cell r="U20">
            <v>114950.0943</v>
          </cell>
          <cell r="V20">
            <v>116867.6247</v>
          </cell>
          <cell r="W20">
            <v>119050.7102</v>
          </cell>
          <cell r="X20">
            <v>121530.2847</v>
          </cell>
          <cell r="Y20">
            <v>124317.02190000001</v>
          </cell>
          <cell r="Z20">
            <v>127398.2432</v>
          </cell>
          <cell r="AA20">
            <v>130748.3379</v>
          </cell>
          <cell r="AB20">
            <v>134291.70809999999</v>
          </cell>
          <cell r="AC20">
            <v>138072.9186</v>
          </cell>
          <cell r="AD20">
            <v>142104.00839999999</v>
          </cell>
          <cell r="AE20">
            <v>146340.91529999999</v>
          </cell>
          <cell r="AF20">
            <v>150715.264</v>
          </cell>
          <cell r="AG20">
            <v>155180.54139999999</v>
          </cell>
          <cell r="AH20">
            <v>159701.4852</v>
          </cell>
          <cell r="AI20">
            <v>164245.8988</v>
          </cell>
          <cell r="AJ20">
            <v>168783.0013</v>
          </cell>
          <cell r="AK20">
            <v>173282.709</v>
          </cell>
        </row>
        <row r="21">
          <cell r="B21">
            <v>80197.862959999999</v>
          </cell>
          <cell r="C21">
            <v>82240.160839999997</v>
          </cell>
          <cell r="D21">
            <v>84503.248139999996</v>
          </cell>
          <cell r="E21">
            <v>86875.897800000006</v>
          </cell>
          <cell r="F21">
            <v>89355.265419999996</v>
          </cell>
          <cell r="G21">
            <v>91936.592319999996</v>
          </cell>
          <cell r="H21">
            <v>94594.678690000001</v>
          </cell>
          <cell r="I21">
            <v>97293.882530000003</v>
          </cell>
          <cell r="J21">
            <v>100019.1829</v>
          </cell>
          <cell r="K21">
            <v>102767.23699999999</v>
          </cell>
          <cell r="L21">
            <v>105394.8759</v>
          </cell>
          <cell r="M21">
            <v>107457.61320000001</v>
          </cell>
          <cell r="N21">
            <v>109152.0085</v>
          </cell>
          <cell r="O21">
            <v>110621.0753</v>
          </cell>
          <cell r="P21">
            <v>112000.2075</v>
          </cell>
          <cell r="Q21">
            <v>113395.77959999999</v>
          </cell>
          <cell r="R21">
            <v>114920.7243</v>
          </cell>
          <cell r="S21">
            <v>116661.1614</v>
          </cell>
          <cell r="T21">
            <v>118669.8392</v>
          </cell>
          <cell r="U21">
            <v>120965.8158</v>
          </cell>
          <cell r="V21">
            <v>123558.5958</v>
          </cell>
          <cell r="W21">
            <v>126461.4244</v>
          </cell>
          <cell r="X21">
            <v>129695.7255</v>
          </cell>
          <cell r="Y21">
            <v>133266.8622</v>
          </cell>
          <cell r="Z21">
            <v>137156.85149999999</v>
          </cell>
          <cell r="AA21">
            <v>141336.7996</v>
          </cell>
          <cell r="AB21">
            <v>145724.5779</v>
          </cell>
          <cell r="AC21">
            <v>150350.2659</v>
          </cell>
          <cell r="AD21">
            <v>155229.01259999999</v>
          </cell>
          <cell r="AE21">
            <v>160315.92439999999</v>
          </cell>
          <cell r="AF21">
            <v>165541.307</v>
          </cell>
          <cell r="AG21">
            <v>170850.7176</v>
          </cell>
          <cell r="AH21">
            <v>176209.10320000001</v>
          </cell>
          <cell r="AI21">
            <v>181589.2053</v>
          </cell>
          <cell r="AJ21">
            <v>186967.2268</v>
          </cell>
          <cell r="AK21">
            <v>192320.67019999999</v>
          </cell>
        </row>
        <row r="22">
          <cell r="B22">
            <v>81058.886230000004</v>
          </cell>
          <cell r="C22">
            <v>83852.761079999997</v>
          </cell>
          <cell r="D22">
            <v>86756.418109999999</v>
          </cell>
          <cell r="E22">
            <v>89726.25374</v>
          </cell>
          <cell r="F22">
            <v>92760.355660000001</v>
          </cell>
          <cell r="G22">
            <v>95857.198170000003</v>
          </cell>
          <cell r="H22">
            <v>99016.042570000005</v>
          </cell>
          <cell r="I22">
            <v>101235.0364</v>
          </cell>
          <cell r="J22">
            <v>103524.09849999999</v>
          </cell>
          <cell r="K22">
            <v>106887.2531</v>
          </cell>
          <cell r="L22">
            <v>109917.06540000001</v>
          </cell>
          <cell r="M22">
            <v>111989.28260000001</v>
          </cell>
          <cell r="N22">
            <v>113438.32490000001</v>
          </cell>
          <cell r="O22">
            <v>114565.9259</v>
          </cell>
          <cell r="P22">
            <v>115656.6299</v>
          </cell>
          <cell r="Q22">
            <v>116844.0221</v>
          </cell>
          <cell r="R22">
            <v>118125.7138</v>
          </cell>
          <cell r="S22">
            <v>119599.4955</v>
          </cell>
          <cell r="T22">
            <v>121319.6597</v>
          </cell>
          <cell r="U22">
            <v>123306.42019999999</v>
          </cell>
          <cell r="V22">
            <v>125574.4899</v>
          </cell>
          <cell r="W22">
            <v>128144.7132</v>
          </cell>
          <cell r="X22">
            <v>131050.3941</v>
          </cell>
          <cell r="Y22">
            <v>134300.49739999999</v>
          </cell>
          <cell r="Z22">
            <v>137874.1752</v>
          </cell>
          <cell r="AA22">
            <v>141750.19219999999</v>
          </cell>
          <cell r="AB22">
            <v>145855.0661</v>
          </cell>
          <cell r="AC22">
            <v>150274.25690000001</v>
          </cell>
          <cell r="AD22">
            <v>155013.98610000001</v>
          </cell>
          <cell r="AE22">
            <v>160008.46400000001</v>
          </cell>
          <cell r="AF22">
            <v>165170.29759999999</v>
          </cell>
          <cell r="AG22">
            <v>170439.84659999999</v>
          </cell>
          <cell r="AH22">
            <v>175781.49479999999</v>
          </cell>
          <cell r="AI22">
            <v>181165.54680000001</v>
          </cell>
          <cell r="AJ22">
            <v>186563.5956</v>
          </cell>
          <cell r="AK22">
            <v>191946.57829999999</v>
          </cell>
        </row>
        <row r="23">
          <cell r="B23">
            <v>81058.886230000004</v>
          </cell>
          <cell r="C23">
            <v>83852.761079999997</v>
          </cell>
          <cell r="D23">
            <v>86756.418120000002</v>
          </cell>
          <cell r="E23">
            <v>89726.253750000003</v>
          </cell>
          <cell r="F23">
            <v>92760.355670000004</v>
          </cell>
          <cell r="G23">
            <v>95857.198189999996</v>
          </cell>
          <cell r="H23">
            <v>98999.775659999999</v>
          </cell>
          <cell r="I23">
            <v>102168.2378</v>
          </cell>
          <cell r="J23">
            <v>105355.5385</v>
          </cell>
          <cell r="K23">
            <v>108562.9151</v>
          </cell>
          <cell r="L23">
            <v>111584.17200000001</v>
          </cell>
          <cell r="M23">
            <v>113823.9869</v>
          </cell>
          <cell r="N23">
            <v>115614.09699999999</v>
          </cell>
          <cell r="O23">
            <v>117145.14320000001</v>
          </cell>
          <cell r="P23">
            <v>118589.8146</v>
          </cell>
          <cell r="Q23">
            <v>120075.9816</v>
          </cell>
          <cell r="R23">
            <v>121718.814</v>
          </cell>
          <cell r="S23">
            <v>123608.57490000001</v>
          </cell>
          <cell r="T23">
            <v>125799.64079999999</v>
          </cell>
          <cell r="U23">
            <v>128306.52439999999</v>
          </cell>
          <cell r="V23">
            <v>131141.18280000001</v>
          </cell>
          <cell r="W23">
            <v>134313.85519999999</v>
          </cell>
          <cell r="X23">
            <v>137851.63709999999</v>
          </cell>
          <cell r="Y23">
            <v>141757.47880000001</v>
          </cell>
          <cell r="Z23">
            <v>146002.30220000001</v>
          </cell>
          <cell r="AA23">
            <v>150558.07029999999</v>
          </cell>
          <cell r="AB23">
            <v>155386.60430000001</v>
          </cell>
          <cell r="AC23">
            <v>160527.7654</v>
          </cell>
          <cell r="AD23">
            <v>165985.12779999999</v>
          </cell>
          <cell r="AE23">
            <v>171684.19639999999</v>
          </cell>
          <cell r="AF23">
            <v>177528.59150000001</v>
          </cell>
          <cell r="AG23">
            <v>183452.28750000001</v>
          </cell>
          <cell r="AH23">
            <v>189418.2726</v>
          </cell>
          <cell r="AI23">
            <v>195398.89569999999</v>
          </cell>
          <cell r="AJ23">
            <v>201369.75750000001</v>
          </cell>
          <cell r="AK23">
            <v>207306.92480000001</v>
          </cell>
        </row>
        <row r="24">
          <cell r="B24">
            <v>104612.0425</v>
          </cell>
          <cell r="C24">
            <v>106761.6081</v>
          </cell>
          <cell r="D24">
            <v>109244.7034</v>
          </cell>
          <cell r="E24">
            <v>111971.5577</v>
          </cell>
          <cell r="F24">
            <v>114893.6776</v>
          </cell>
          <cell r="G24">
            <v>117985.58749999999</v>
          </cell>
          <cell r="H24">
            <v>121217.82460000001</v>
          </cell>
          <cell r="I24">
            <v>124050.68090000001</v>
          </cell>
          <cell r="J24">
            <v>126930.9097</v>
          </cell>
          <cell r="K24">
            <v>130626.86010000001</v>
          </cell>
          <cell r="L24">
            <v>134294.43340000001</v>
          </cell>
          <cell r="M24">
            <v>137329.04250000001</v>
          </cell>
          <cell r="N24">
            <v>139864.1398</v>
          </cell>
          <cell r="O24">
            <v>142073.14009999999</v>
          </cell>
          <cell r="P24">
            <v>144154.44630000001</v>
          </cell>
          <cell r="Q24">
            <v>146229.20069999999</v>
          </cell>
          <cell r="R24">
            <v>148279.49239999999</v>
          </cell>
          <cell r="S24">
            <v>150450.27720000001</v>
          </cell>
          <cell r="T24">
            <v>152810.6587</v>
          </cell>
          <cell r="U24">
            <v>155401.62419999999</v>
          </cell>
          <cell r="V24">
            <v>158237.94510000001</v>
          </cell>
          <cell r="W24">
            <v>161356.00520000001</v>
          </cell>
          <cell r="X24">
            <v>164792.75320000001</v>
          </cell>
          <cell r="Y24">
            <v>168568.05530000001</v>
          </cell>
          <cell r="Z24">
            <v>172679.90650000001</v>
          </cell>
          <cell r="AA24">
            <v>177086.94959999999</v>
          </cell>
          <cell r="AB24">
            <v>181802.0062</v>
          </cell>
          <cell r="AC24">
            <v>186813.47339999999</v>
          </cell>
          <cell r="AD24">
            <v>192139.8891</v>
          </cell>
          <cell r="AE24">
            <v>197750.0289</v>
          </cell>
          <cell r="AF24">
            <v>203585.6586</v>
          </cell>
          <cell r="AG24">
            <v>209591.76180000001</v>
          </cell>
          <cell r="AH24">
            <v>215731.64319999999</v>
          </cell>
          <cell r="AI24">
            <v>221970.46960000001</v>
          </cell>
          <cell r="AJ24">
            <v>228273.34570000001</v>
          </cell>
          <cell r="AK24">
            <v>234604.3535</v>
          </cell>
        </row>
        <row r="25">
          <cell r="B25">
            <v>104612.0425</v>
          </cell>
          <cell r="C25">
            <v>106761.6081</v>
          </cell>
          <cell r="D25">
            <v>109244.7034</v>
          </cell>
          <cell r="E25">
            <v>111971.5577</v>
          </cell>
          <cell r="F25">
            <v>114893.6776</v>
          </cell>
          <cell r="G25">
            <v>117985.58749999999</v>
          </cell>
          <cell r="H25">
            <v>121189.9115</v>
          </cell>
          <cell r="I25">
            <v>124474.802</v>
          </cell>
          <cell r="J25">
            <v>127824.61749999999</v>
          </cell>
          <cell r="K25">
            <v>131235.77009999999</v>
          </cell>
          <cell r="L25">
            <v>134584.421</v>
          </cell>
          <cell r="M25">
            <v>137426.59479999999</v>
          </cell>
          <cell r="N25">
            <v>139896.91070000001</v>
          </cell>
          <cell r="O25">
            <v>142104.56099999999</v>
          </cell>
          <cell r="P25">
            <v>144167.48980000001</v>
          </cell>
          <cell r="Q25">
            <v>146188.7029</v>
          </cell>
          <cell r="R25">
            <v>148289.5821</v>
          </cell>
          <cell r="S25">
            <v>150563.2733</v>
          </cell>
          <cell r="T25">
            <v>153071.27619999999</v>
          </cell>
          <cell r="U25">
            <v>155843.1041</v>
          </cell>
          <cell r="V25">
            <v>158889.10279999999</v>
          </cell>
          <cell r="W25">
            <v>162243.75219999999</v>
          </cell>
          <cell r="X25">
            <v>165935.21969999999</v>
          </cell>
          <cell r="Y25">
            <v>169977.00260000001</v>
          </cell>
          <cell r="Z25">
            <v>174359.2697</v>
          </cell>
          <cell r="AA25">
            <v>179033.03049999999</v>
          </cell>
          <cell r="AB25">
            <v>183970.15549999999</v>
          </cell>
          <cell r="AC25">
            <v>189191.74290000001</v>
          </cell>
          <cell r="AD25">
            <v>194711.06109999999</v>
          </cell>
          <cell r="AE25">
            <v>200489.20009999999</v>
          </cell>
          <cell r="AF25">
            <v>206461.15239999999</v>
          </cell>
          <cell r="AG25">
            <v>212571.505</v>
          </cell>
          <cell r="AH25">
            <v>218780.02040000001</v>
          </cell>
          <cell r="AI25">
            <v>225052.35140000001</v>
          </cell>
          <cell r="AJ25">
            <v>231356.4039</v>
          </cell>
          <cell r="AK25">
            <v>237660.4981</v>
          </cell>
        </row>
        <row r="26">
          <cell r="B26">
            <v>271071.82179999998</v>
          </cell>
          <cell r="C26">
            <v>275060.39919999999</v>
          </cell>
          <cell r="D26">
            <v>279767.71049999999</v>
          </cell>
          <cell r="E26">
            <v>285139.53029999998</v>
          </cell>
          <cell r="F26">
            <v>291156.06650000002</v>
          </cell>
          <cell r="G26">
            <v>297786.7352</v>
          </cell>
          <cell r="H26">
            <v>305104.4719</v>
          </cell>
          <cell r="I26">
            <v>312641.00150000001</v>
          </cell>
          <cell r="J26">
            <v>320514.29590000003</v>
          </cell>
          <cell r="K26">
            <v>329358.53409999999</v>
          </cell>
          <cell r="L26">
            <v>339033.04389999999</v>
          </cell>
          <cell r="M26">
            <v>348978.90899999999</v>
          </cell>
          <cell r="N26">
            <v>358965.12229999999</v>
          </cell>
          <cell r="O26">
            <v>368934.15029999998</v>
          </cell>
          <cell r="P26">
            <v>378947.00699999998</v>
          </cell>
          <cell r="Q26">
            <v>389102.09950000001</v>
          </cell>
          <cell r="R26">
            <v>399484.9178</v>
          </cell>
          <cell r="S26">
            <v>410223.88020000001</v>
          </cell>
          <cell r="T26">
            <v>421447.44199999998</v>
          </cell>
          <cell r="U26">
            <v>433271.4081</v>
          </cell>
          <cell r="V26">
            <v>445771.33659999998</v>
          </cell>
          <cell r="W26">
            <v>459088.16899999999</v>
          </cell>
          <cell r="X26">
            <v>473337.49440000003</v>
          </cell>
          <cell r="Y26">
            <v>488630.48550000001</v>
          </cell>
          <cell r="Z26">
            <v>505067.5785</v>
          </cell>
          <cell r="AA26">
            <v>522648.66629999998</v>
          </cell>
          <cell r="AB26">
            <v>540559.95169999998</v>
          </cell>
          <cell r="AC26">
            <v>558859.20140000002</v>
          </cell>
          <cell r="AD26">
            <v>577754.07380000001</v>
          </cell>
          <cell r="AE26">
            <v>597375.16810000001</v>
          </cell>
          <cell r="AF26">
            <v>617753.72160000005</v>
          </cell>
          <cell r="AG26">
            <v>638861.49109999998</v>
          </cell>
          <cell r="AH26">
            <v>660638.82929999998</v>
          </cell>
          <cell r="AI26">
            <v>683008.33429999999</v>
          </cell>
          <cell r="AJ26">
            <v>705879.49639999995</v>
          </cell>
          <cell r="AK26">
            <v>729149.73300000001</v>
          </cell>
        </row>
        <row r="27">
          <cell r="B27">
            <v>271071.82179999998</v>
          </cell>
          <cell r="C27">
            <v>275060.39919999999</v>
          </cell>
          <cell r="D27">
            <v>279767.71049999999</v>
          </cell>
          <cell r="E27">
            <v>285139.53029999998</v>
          </cell>
          <cell r="F27">
            <v>291156.06650000002</v>
          </cell>
          <cell r="G27">
            <v>297786.73509999999</v>
          </cell>
          <cell r="H27">
            <v>305034.28460000001</v>
          </cell>
          <cell r="I27">
            <v>312820.1667</v>
          </cell>
          <cell r="J27">
            <v>321110.9167</v>
          </cell>
          <cell r="K27">
            <v>329912.67609999998</v>
          </cell>
          <cell r="L27">
            <v>339187.97470000002</v>
          </cell>
          <cell r="M27">
            <v>348485.01659999997</v>
          </cell>
          <cell r="N27">
            <v>357676.37890000001</v>
          </cell>
          <cell r="O27">
            <v>366754.8002</v>
          </cell>
          <cell r="P27">
            <v>375775.10450000002</v>
          </cell>
          <cell r="Q27">
            <v>384823.33250000002</v>
          </cell>
          <cell r="R27">
            <v>394095.40100000001</v>
          </cell>
          <cell r="S27">
            <v>403750.18900000001</v>
          </cell>
          <cell r="T27">
            <v>413912.58929999999</v>
          </cell>
          <cell r="U27">
            <v>424674.79239999998</v>
          </cell>
          <cell r="V27">
            <v>436083.78710000002</v>
          </cell>
          <cell r="W27">
            <v>448243.68530000001</v>
          </cell>
          <cell r="X27">
            <v>461253.5528</v>
          </cell>
          <cell r="Y27">
            <v>475214.44</v>
          </cell>
          <cell r="Z27">
            <v>490217.08049999998</v>
          </cell>
          <cell r="AA27">
            <v>506254.09129999997</v>
          </cell>
          <cell r="AB27">
            <v>522506.16259999998</v>
          </cell>
          <cell r="AC27">
            <v>539040.28229999996</v>
          </cell>
          <cell r="AD27">
            <v>556072.66029999999</v>
          </cell>
          <cell r="AE27">
            <v>573741.62329999998</v>
          </cell>
          <cell r="AF27">
            <v>592086.77080000006</v>
          </cell>
          <cell r="AG27">
            <v>611088.39839999995</v>
          </cell>
          <cell r="AH27">
            <v>630700.02489999996</v>
          </cell>
          <cell r="AI27">
            <v>650860.47549999994</v>
          </cell>
          <cell r="AJ27">
            <v>671497.76529999997</v>
          </cell>
          <cell r="AK27">
            <v>692529.37860000005</v>
          </cell>
        </row>
        <row r="28">
          <cell r="B28">
            <v>6785.3407020000004</v>
          </cell>
          <cell r="C28">
            <v>6900.9163950000002</v>
          </cell>
          <cell r="D28">
            <v>7029.1129000000001</v>
          </cell>
          <cell r="E28">
            <v>7168.3674920000003</v>
          </cell>
          <cell r="F28">
            <v>7318.3196459999999</v>
          </cell>
          <cell r="G28">
            <v>7477.9974050000001</v>
          </cell>
          <cell r="H28">
            <v>7645.5506230000001</v>
          </cell>
          <cell r="I28">
            <v>7788.1276180000004</v>
          </cell>
          <cell r="J28">
            <v>7928.4196190000002</v>
          </cell>
          <cell r="K28">
            <v>8098.4345599999997</v>
          </cell>
          <cell r="L28">
            <v>8260.827088</v>
          </cell>
          <cell r="M28">
            <v>8393.2315249999992</v>
          </cell>
          <cell r="N28">
            <v>8502.3115190000008</v>
          </cell>
          <cell r="O28">
            <v>8595.3634779999993</v>
          </cell>
          <cell r="P28">
            <v>8680.6725810000007</v>
          </cell>
          <cell r="Q28">
            <v>8763.5133220000007</v>
          </cell>
          <cell r="R28">
            <v>8846.219846</v>
          </cell>
          <cell r="S28">
            <v>8932.6351030000005</v>
          </cell>
          <cell r="T28">
            <v>9026.2775280000005</v>
          </cell>
          <cell r="U28">
            <v>9129.9315320000005</v>
          </cell>
          <cell r="V28">
            <v>9244.1571870000007</v>
          </cell>
          <cell r="W28">
            <v>9372.0342860000001</v>
          </cell>
          <cell r="X28">
            <v>9515.4996279999996</v>
          </cell>
          <cell r="Y28">
            <v>9675.5833779999994</v>
          </cell>
          <cell r="Z28">
            <v>9852.3020450000004</v>
          </cell>
          <cell r="AA28">
            <v>10043.230579999999</v>
          </cell>
          <cell r="AB28">
            <v>10246.62032</v>
          </cell>
          <cell r="AC28">
            <v>10464.87025</v>
          </cell>
          <cell r="AD28">
            <v>10699.313910000001</v>
          </cell>
          <cell r="AE28">
            <v>10948.64667</v>
          </cell>
          <cell r="AF28">
            <v>11210.1608</v>
          </cell>
          <cell r="AG28">
            <v>11481.413259999999</v>
          </cell>
          <cell r="AH28">
            <v>11760.45938</v>
          </cell>
          <cell r="AI28">
            <v>12045.294749999999</v>
          </cell>
          <cell r="AJ28">
            <v>12333.861510000001</v>
          </cell>
          <cell r="AK28">
            <v>12624.056130000001</v>
          </cell>
        </row>
        <row r="29">
          <cell r="B29">
            <v>6785.3407020000004</v>
          </cell>
          <cell r="C29">
            <v>6900.9163950000002</v>
          </cell>
          <cell r="D29">
            <v>7029.1129000000001</v>
          </cell>
          <cell r="E29">
            <v>7168.3674920000003</v>
          </cell>
          <cell r="F29">
            <v>7318.3196459999999</v>
          </cell>
          <cell r="G29">
            <v>7477.9974050000001</v>
          </cell>
          <cell r="H29">
            <v>7643.4179510000004</v>
          </cell>
          <cell r="I29">
            <v>7811.6333549999999</v>
          </cell>
          <cell r="J29">
            <v>7981.3027709999997</v>
          </cell>
          <cell r="K29">
            <v>8151.9622810000001</v>
          </cell>
          <cell r="L29">
            <v>8318.0729229999997</v>
          </cell>
          <cell r="M29">
            <v>8458.1607640000002</v>
          </cell>
          <cell r="N29">
            <v>8578.1988419999998</v>
          </cell>
          <cell r="O29">
            <v>8683.1495749999995</v>
          </cell>
          <cell r="P29">
            <v>8778.5957589999998</v>
          </cell>
          <cell r="Q29">
            <v>8869.6775799999996</v>
          </cell>
          <cell r="R29">
            <v>8963.7139169999991</v>
          </cell>
          <cell r="S29">
            <v>9065.9464100000005</v>
          </cell>
          <cell r="T29">
            <v>9179.6957660000007</v>
          </cell>
          <cell r="U29">
            <v>9306.5590950000005</v>
          </cell>
          <cell r="V29">
            <v>9446.8638470000005</v>
          </cell>
          <cell r="W29">
            <v>9602.570506</v>
          </cell>
          <cell r="X29">
            <v>9774.8586930000001</v>
          </cell>
          <cell r="Y29">
            <v>9964.2449419999994</v>
          </cell>
          <cell r="Z29">
            <v>10170.17489</v>
          </cell>
          <cell r="AA29">
            <v>10389.621800000001</v>
          </cell>
          <cell r="AB29">
            <v>10620.10087</v>
          </cell>
          <cell r="AC29">
            <v>10863.52823</v>
          </cell>
          <cell r="AD29">
            <v>11120.770409999999</v>
          </cell>
          <cell r="AE29">
            <v>11389.964040000001</v>
          </cell>
          <cell r="AF29">
            <v>11667.90797</v>
          </cell>
          <cell r="AG29">
            <v>11951.756020000001</v>
          </cell>
          <cell r="AH29">
            <v>12239.31797</v>
          </cell>
          <cell r="AI29">
            <v>12528.679459999999</v>
          </cell>
          <cell r="AJ29">
            <v>12818.06689</v>
          </cell>
          <cell r="AK29">
            <v>13105.78384</v>
          </cell>
        </row>
        <row r="30">
          <cell r="B30">
            <v>78061.234830000001</v>
          </cell>
          <cell r="C30">
            <v>79390.863169999997</v>
          </cell>
          <cell r="D30">
            <v>80865.686310000005</v>
          </cell>
          <cell r="E30">
            <v>82467.726039999994</v>
          </cell>
          <cell r="F30">
            <v>84192.834749999995</v>
          </cell>
          <cell r="G30">
            <v>86029.830650000004</v>
          </cell>
          <cell r="H30">
            <v>87957.428929999995</v>
          </cell>
          <cell r="I30">
            <v>89597.690900000001</v>
          </cell>
          <cell r="J30">
            <v>91211.665399999998</v>
          </cell>
          <cell r="K30">
            <v>93167.584310000006</v>
          </cell>
          <cell r="L30">
            <v>95035.811979999999</v>
          </cell>
          <cell r="M30">
            <v>96559.044829999999</v>
          </cell>
          <cell r="N30">
            <v>97813.944090000005</v>
          </cell>
          <cell r="O30">
            <v>98884.450509999995</v>
          </cell>
          <cell r="P30">
            <v>99865.880069999999</v>
          </cell>
          <cell r="Q30">
            <v>100818.9126</v>
          </cell>
          <cell r="R30">
            <v>101770.4011</v>
          </cell>
          <cell r="S30">
            <v>102764.5563</v>
          </cell>
          <cell r="T30">
            <v>103841.8556</v>
          </cell>
          <cell r="U30">
            <v>105034.3322</v>
          </cell>
          <cell r="V30">
            <v>106348.4292</v>
          </cell>
          <cell r="W30">
            <v>107819.57769999999</v>
          </cell>
          <cell r="X30">
            <v>109470.05959999999</v>
          </cell>
          <cell r="Y30">
            <v>111311.7262</v>
          </cell>
          <cell r="Z30">
            <v>113344.7674</v>
          </cell>
          <cell r="AA30">
            <v>115541.28449999999</v>
          </cell>
          <cell r="AB30">
            <v>117881.16039999999</v>
          </cell>
          <cell r="AC30">
            <v>120391.9936</v>
          </cell>
          <cell r="AD30">
            <v>123089.12579999999</v>
          </cell>
          <cell r="AE30">
            <v>125957.54829999999</v>
          </cell>
          <cell r="AF30">
            <v>128966.1099</v>
          </cell>
          <cell r="AG30">
            <v>132086.7052</v>
          </cell>
          <cell r="AH30">
            <v>135296.96170000001</v>
          </cell>
          <cell r="AI30">
            <v>138573.82019999999</v>
          </cell>
          <cell r="AJ30">
            <v>141893.6059</v>
          </cell>
          <cell r="AK30">
            <v>145232.11919999999</v>
          </cell>
        </row>
        <row r="31">
          <cell r="B31">
            <v>78061.234830000001</v>
          </cell>
          <cell r="C31">
            <v>79390.863159999994</v>
          </cell>
          <cell r="D31">
            <v>80865.686310000005</v>
          </cell>
          <cell r="E31">
            <v>82467.726039999994</v>
          </cell>
          <cell r="F31">
            <v>84192.834740000006</v>
          </cell>
          <cell r="G31">
            <v>86029.830650000004</v>
          </cell>
          <cell r="H31">
            <v>87932.893830000001</v>
          </cell>
          <cell r="I31">
            <v>89868.11017</v>
          </cell>
          <cell r="J31">
            <v>91820.054029999999</v>
          </cell>
          <cell r="K31">
            <v>93783.388309999995</v>
          </cell>
          <cell r="L31">
            <v>95694.390639999998</v>
          </cell>
          <cell r="M31">
            <v>97306.016390000004</v>
          </cell>
          <cell r="N31">
            <v>98686.981769999999</v>
          </cell>
          <cell r="O31">
            <v>99894.376390000005</v>
          </cell>
          <cell r="P31">
            <v>100992.42690000001</v>
          </cell>
          <cell r="Q31">
            <v>102040.2681</v>
          </cell>
          <cell r="R31">
            <v>103122.0992</v>
          </cell>
          <cell r="S31">
            <v>104298.2221</v>
          </cell>
          <cell r="T31">
            <v>105606.8395</v>
          </cell>
          <cell r="U31">
            <v>107066.3253</v>
          </cell>
          <cell r="V31">
            <v>108680.44650000001</v>
          </cell>
          <cell r="W31">
            <v>110471.7573</v>
          </cell>
          <cell r="X31">
            <v>112453.8285</v>
          </cell>
          <cell r="Y31">
            <v>114632.6026</v>
          </cell>
          <cell r="Z31">
            <v>117001.7019</v>
          </cell>
          <cell r="AA31">
            <v>119526.3057</v>
          </cell>
          <cell r="AB31">
            <v>122177.8278</v>
          </cell>
          <cell r="AC31">
            <v>124978.3122</v>
          </cell>
          <cell r="AD31">
            <v>127937.7276</v>
          </cell>
          <cell r="AE31">
            <v>131034.6373</v>
          </cell>
          <cell r="AF31">
            <v>134232.2138</v>
          </cell>
          <cell r="AG31">
            <v>137497.7138</v>
          </cell>
          <cell r="AH31">
            <v>140805.93969999999</v>
          </cell>
          <cell r="AI31">
            <v>144134.86850000001</v>
          </cell>
          <cell r="AJ31">
            <v>147464.0955</v>
          </cell>
          <cell r="AK31">
            <v>150774.1048</v>
          </cell>
        </row>
        <row r="32">
          <cell r="B32">
            <v>15431.63877</v>
          </cell>
          <cell r="C32">
            <v>16021.22689</v>
          </cell>
          <cell r="D32">
            <v>16616.650600000001</v>
          </cell>
          <cell r="E32">
            <v>17211.704900000001</v>
          </cell>
          <cell r="F32">
            <v>17815.174009999999</v>
          </cell>
          <cell r="G32">
            <v>18430.50261</v>
          </cell>
          <cell r="H32">
            <v>19056.611339999999</v>
          </cell>
          <cell r="I32">
            <v>19435.45508</v>
          </cell>
          <cell r="J32">
            <v>19809.417409999998</v>
          </cell>
          <cell r="K32">
            <v>20381.813910000001</v>
          </cell>
          <cell r="L32">
            <v>20826.584900000002</v>
          </cell>
          <cell r="M32">
            <v>21055.992880000002</v>
          </cell>
          <cell r="N32">
            <v>21166.648280000001</v>
          </cell>
          <cell r="O32">
            <v>21230.251660000002</v>
          </cell>
          <cell r="P32">
            <v>21306.074769999999</v>
          </cell>
          <cell r="Q32">
            <v>21417.390889999999</v>
          </cell>
          <cell r="R32">
            <v>21580.575420000001</v>
          </cell>
          <cell r="S32">
            <v>21787.58669</v>
          </cell>
          <cell r="T32">
            <v>22046.25647</v>
          </cell>
          <cell r="U32">
            <v>22359.93778</v>
          </cell>
          <cell r="V32">
            <v>22730.687040000001</v>
          </cell>
          <cell r="W32">
            <v>23166.049599999998</v>
          </cell>
          <cell r="X32">
            <v>23673.611710000001</v>
          </cell>
          <cell r="Y32">
            <v>24254.351470000001</v>
          </cell>
          <cell r="Z32">
            <v>24902.757529999999</v>
          </cell>
          <cell r="AA32">
            <v>25615.97565</v>
          </cell>
          <cell r="AB32">
            <v>26398.574530000002</v>
          </cell>
          <cell r="AC32">
            <v>27260.511399999999</v>
          </cell>
          <cell r="AD32">
            <v>28202.188020000001</v>
          </cell>
          <cell r="AE32">
            <v>29209.246070000001</v>
          </cell>
          <cell r="AF32">
            <v>30263.76943</v>
          </cell>
          <cell r="AG32">
            <v>31356.994549999999</v>
          </cell>
          <cell r="AH32">
            <v>32483.488969999999</v>
          </cell>
          <cell r="AI32">
            <v>33637.84506</v>
          </cell>
          <cell r="AJ32">
            <v>34814.025990000002</v>
          </cell>
          <cell r="AK32">
            <v>36005.137369999997</v>
          </cell>
        </row>
        <row r="33">
          <cell r="B33">
            <v>15431.63877</v>
          </cell>
          <cell r="C33">
            <v>16021.22689</v>
          </cell>
          <cell r="D33">
            <v>16616.650600000001</v>
          </cell>
          <cell r="E33">
            <v>17211.704900000001</v>
          </cell>
          <cell r="F33">
            <v>17815.174009999999</v>
          </cell>
          <cell r="G33">
            <v>18430.50261</v>
          </cell>
          <cell r="H33">
            <v>19051.27405</v>
          </cell>
          <cell r="I33">
            <v>19669.950339999999</v>
          </cell>
          <cell r="J33">
            <v>20284.07044</v>
          </cell>
          <cell r="K33">
            <v>20894.324240000002</v>
          </cell>
          <cell r="L33">
            <v>21455.05429</v>
          </cell>
          <cell r="M33">
            <v>21838.780330000001</v>
          </cell>
          <cell r="N33">
            <v>22126.748060000002</v>
          </cell>
          <cell r="O33">
            <v>22363.511859999999</v>
          </cell>
          <cell r="P33">
            <v>22588.090840000001</v>
          </cell>
          <cell r="Q33">
            <v>22828.150430000002</v>
          </cell>
          <cell r="R33">
            <v>23110.250800000002</v>
          </cell>
          <cell r="S33">
            <v>23454.949499999999</v>
          </cell>
          <cell r="T33">
            <v>23873.030559999999</v>
          </cell>
          <cell r="U33">
            <v>24365.045770000001</v>
          </cell>
          <cell r="V33">
            <v>24931.1319</v>
          </cell>
          <cell r="W33">
            <v>25569.578880000001</v>
          </cell>
          <cell r="X33">
            <v>26283.480510000001</v>
          </cell>
          <cell r="Y33">
            <v>27071.032380000001</v>
          </cell>
          <cell r="Z33">
            <v>27923.96874</v>
          </cell>
          <cell r="AA33">
            <v>28837.020659999998</v>
          </cell>
          <cell r="AB33">
            <v>29808.952280000001</v>
          </cell>
          <cell r="AC33">
            <v>30846.184720000001</v>
          </cell>
          <cell r="AD33">
            <v>31947.124240000001</v>
          </cell>
          <cell r="AE33">
            <v>33094.287980000001</v>
          </cell>
          <cell r="AF33">
            <v>34266.749980000001</v>
          </cell>
          <cell r="AG33">
            <v>35451.215559999997</v>
          </cell>
          <cell r="AH33">
            <v>36641.118730000002</v>
          </cell>
          <cell r="AI33">
            <v>37831.947030000003</v>
          </cell>
          <cell r="AJ33">
            <v>39019.804250000001</v>
          </cell>
          <cell r="AK33">
            <v>40200.739179999997</v>
          </cell>
        </row>
        <row r="34">
          <cell r="B34">
            <v>20624.005120000002</v>
          </cell>
          <cell r="C34">
            <v>21150.54967</v>
          </cell>
          <cell r="D34">
            <v>21716.004519999999</v>
          </cell>
          <cell r="E34">
            <v>22298.883000000002</v>
          </cell>
          <cell r="F34">
            <v>22933.967769999999</v>
          </cell>
          <cell r="G34">
            <v>23633.119630000001</v>
          </cell>
          <cell r="H34">
            <v>24388.390889999999</v>
          </cell>
          <cell r="I34">
            <v>24962.29765</v>
          </cell>
          <cell r="J34">
            <v>25450.153450000002</v>
          </cell>
          <cell r="K34">
            <v>25986.194149999999</v>
          </cell>
          <cell r="L34">
            <v>26292.877789999999</v>
          </cell>
          <cell r="M34">
            <v>26423.126410000001</v>
          </cell>
          <cell r="N34">
            <v>26499.3</v>
          </cell>
          <cell r="O34">
            <v>26568.20593</v>
          </cell>
          <cell r="P34">
            <v>26655.509859999998</v>
          </cell>
          <cell r="Q34">
            <v>26765.15826</v>
          </cell>
          <cell r="R34">
            <v>26869.711449999999</v>
          </cell>
          <cell r="S34">
            <v>26972.055359999998</v>
          </cell>
          <cell r="T34">
            <v>27086.405009999999</v>
          </cell>
          <cell r="U34">
            <v>27241.072769999999</v>
          </cell>
          <cell r="V34">
            <v>27446.284039999999</v>
          </cell>
          <cell r="W34">
            <v>27739.949260000001</v>
          </cell>
          <cell r="X34">
            <v>28137.373660000001</v>
          </cell>
          <cell r="Y34">
            <v>28642.058690000002</v>
          </cell>
          <cell r="Z34">
            <v>29252.04508</v>
          </cell>
          <cell r="AA34">
            <v>29954.89416</v>
          </cell>
          <cell r="AB34">
            <v>30773.51613</v>
          </cell>
          <cell r="AC34">
            <v>31717.46917</v>
          </cell>
          <cell r="AD34">
            <v>32791.24164</v>
          </cell>
          <cell r="AE34">
            <v>33987.992680000003</v>
          </cell>
          <cell r="AF34">
            <v>35295.625509999998</v>
          </cell>
          <cell r="AG34">
            <v>36711.620940000001</v>
          </cell>
          <cell r="AH34">
            <v>38228.744919999997</v>
          </cell>
          <cell r="AI34">
            <v>39834.117899999997</v>
          </cell>
          <cell r="AJ34">
            <v>41512.060680000002</v>
          </cell>
          <cell r="AK34">
            <v>43245.23158</v>
          </cell>
        </row>
        <row r="35">
          <cell r="B35">
            <v>20624.005120000002</v>
          </cell>
          <cell r="C35">
            <v>21150.54967</v>
          </cell>
          <cell r="D35">
            <v>21716.004519999999</v>
          </cell>
          <cell r="E35">
            <v>22298.883000000002</v>
          </cell>
          <cell r="F35">
            <v>22933.967769999999</v>
          </cell>
          <cell r="G35">
            <v>23633.119630000001</v>
          </cell>
          <cell r="H35">
            <v>24381.906569999999</v>
          </cell>
          <cell r="I35">
            <v>25164.214749999999</v>
          </cell>
          <cell r="J35">
            <v>25972.940070000001</v>
          </cell>
          <cell r="K35">
            <v>26803.56409</v>
          </cell>
          <cell r="L35">
            <v>27621.14429</v>
          </cell>
          <cell r="M35">
            <v>28304.39214</v>
          </cell>
          <cell r="N35">
            <v>28892.828430000001</v>
          </cell>
          <cell r="O35">
            <v>29408.926200000002</v>
          </cell>
          <cell r="P35">
            <v>29878.37228</v>
          </cell>
          <cell r="Q35">
            <v>30324.893599999999</v>
          </cell>
          <cell r="R35">
            <v>30779.291499999999</v>
          </cell>
          <cell r="S35">
            <v>31264.783479999998</v>
          </cell>
          <cell r="T35">
            <v>31797.622060000002</v>
          </cell>
          <cell r="U35">
            <v>32386.899839999998</v>
          </cell>
          <cell r="V35">
            <v>33036.014000000003</v>
          </cell>
          <cell r="W35">
            <v>33759.095450000001</v>
          </cell>
          <cell r="X35">
            <v>34564.289169999996</v>
          </cell>
          <cell r="Y35">
            <v>35456.085299999999</v>
          </cell>
          <cell r="Z35">
            <v>36432.902970000003</v>
          </cell>
          <cell r="AA35">
            <v>37478.497179999998</v>
          </cell>
          <cell r="AB35">
            <v>38601.241190000001</v>
          </cell>
          <cell r="AC35">
            <v>39806.426930000001</v>
          </cell>
          <cell r="AD35">
            <v>41095.761879999998</v>
          </cell>
          <cell r="AE35">
            <v>42458.084799999997</v>
          </cell>
          <cell r="AF35">
            <v>43876.62558</v>
          </cell>
          <cell r="AG35">
            <v>45337.368260000003</v>
          </cell>
          <cell r="AH35">
            <v>46829.542759999997</v>
          </cell>
          <cell r="AI35">
            <v>48343.035049999999</v>
          </cell>
          <cell r="AJ35">
            <v>49867.755129999998</v>
          </cell>
          <cell r="AK35">
            <v>51393.407919999998</v>
          </cell>
        </row>
        <row r="36">
          <cell r="B36">
            <v>2017054.709</v>
          </cell>
          <cell r="C36">
            <v>2053551.9280000001</v>
          </cell>
          <cell r="D36">
            <v>2095766.763</v>
          </cell>
          <cell r="E36">
            <v>2143013.58</v>
          </cell>
          <cell r="F36">
            <v>2194281.8960000002</v>
          </cell>
          <cell r="G36">
            <v>2249164.398</v>
          </cell>
          <cell r="H36">
            <v>2307100.3429999999</v>
          </cell>
          <cell r="I36">
            <v>2360860.3829999999</v>
          </cell>
          <cell r="J36">
            <v>2415680.1809999999</v>
          </cell>
          <cell r="K36">
            <v>2481383.7710000002</v>
          </cell>
          <cell r="L36">
            <v>2549621.8539999998</v>
          </cell>
          <cell r="M36">
            <v>2609851.1269999999</v>
          </cell>
          <cell r="N36">
            <v>2662925.3820000002</v>
          </cell>
          <cell r="O36">
            <v>2710388.9950000001</v>
          </cell>
          <cell r="P36">
            <v>2754429.1949999998</v>
          </cell>
          <cell r="Q36">
            <v>2796722.3220000002</v>
          </cell>
          <cell r="R36">
            <v>2838115.9419999998</v>
          </cell>
          <cell r="S36">
            <v>2880338.4539999999</v>
          </cell>
          <cell r="T36">
            <v>2924627.5460000001</v>
          </cell>
          <cell r="U36">
            <v>2971807.8569999998</v>
          </cell>
          <cell r="V36">
            <v>3022129.574</v>
          </cell>
          <cell r="W36">
            <v>3076323.0329999998</v>
          </cell>
          <cell r="X36">
            <v>3135114.0389999999</v>
          </cell>
          <cell r="Y36">
            <v>3198992.7119999998</v>
          </cell>
          <cell r="Z36">
            <v>3268139.74</v>
          </cell>
          <cell r="AA36">
            <v>3341510.6230000001</v>
          </cell>
          <cell r="AB36">
            <v>3418176.2319999998</v>
          </cell>
          <cell r="AC36">
            <v>3498902.9109999998</v>
          </cell>
          <cell r="AD36">
            <v>3584384.1469999999</v>
          </cell>
          <cell r="AE36">
            <v>3674503.7590000001</v>
          </cell>
          <cell r="AF36">
            <v>3768622.0279999999</v>
          </cell>
          <cell r="AG36">
            <v>3865833.605</v>
          </cell>
          <cell r="AH36">
            <v>3965585.5040000002</v>
          </cell>
          <cell r="AI36">
            <v>4067287.9539999999</v>
          </cell>
          <cell r="AJ36">
            <v>4170322.7740000002</v>
          </cell>
          <cell r="AK36">
            <v>4274047.7170000002</v>
          </cell>
        </row>
        <row r="37">
          <cell r="B37">
            <v>2017054.709</v>
          </cell>
          <cell r="C37">
            <v>2053551.9280000001</v>
          </cell>
          <cell r="D37">
            <v>2095766.763</v>
          </cell>
          <cell r="E37">
            <v>2143013.58</v>
          </cell>
          <cell r="F37">
            <v>2194281.895</v>
          </cell>
          <cell r="G37">
            <v>2249164.398</v>
          </cell>
          <cell r="H37">
            <v>2306475.034</v>
          </cell>
          <cell r="I37">
            <v>2365563.2999999998</v>
          </cell>
          <cell r="J37">
            <v>2426032.585</v>
          </cell>
          <cell r="K37">
            <v>2487741.6060000001</v>
          </cell>
          <cell r="L37">
            <v>2549335.0389999999</v>
          </cell>
          <cell r="M37">
            <v>2604325.5290000001</v>
          </cell>
          <cell r="N37">
            <v>2653571.52</v>
          </cell>
          <cell r="O37">
            <v>2698036.1779999998</v>
          </cell>
          <cell r="P37">
            <v>2739063.9040000001</v>
          </cell>
          <cell r="Q37">
            <v>2778069.2050000001</v>
          </cell>
          <cell r="R37">
            <v>2817187.932</v>
          </cell>
          <cell r="S37">
            <v>2857988.1320000002</v>
          </cell>
          <cell r="T37">
            <v>2901588.6830000002</v>
          </cell>
          <cell r="U37">
            <v>2948673.8149999999</v>
          </cell>
          <cell r="V37">
            <v>2999412.2409999999</v>
          </cell>
          <cell r="W37">
            <v>3054805.75</v>
          </cell>
          <cell r="X37">
            <v>3115378.9139999999</v>
          </cell>
          <cell r="Y37">
            <v>3181487.6189999999</v>
          </cell>
          <cell r="Z37">
            <v>3253169.4589999998</v>
          </cell>
          <cell r="AA37">
            <v>3329250.74</v>
          </cell>
          <cell r="AB37">
            <v>3409024.7009999999</v>
          </cell>
          <cell r="AC37">
            <v>3493171.3769999999</v>
          </cell>
          <cell r="AD37">
            <v>3582179.108</v>
          </cell>
          <cell r="AE37">
            <v>3675718.5279999999</v>
          </cell>
          <cell r="AF37">
            <v>3772965.5759999999</v>
          </cell>
          <cell r="AG37">
            <v>3873079.5279999999</v>
          </cell>
          <cell r="AH37">
            <v>3975334.3909999998</v>
          </cell>
          <cell r="AI37">
            <v>4079048.0920000002</v>
          </cell>
          <cell r="AJ37">
            <v>4183554.7220000001</v>
          </cell>
          <cell r="AK37">
            <v>4288190.8870000001</v>
          </cell>
        </row>
        <row r="38">
          <cell r="B38">
            <v>539598.62589999998</v>
          </cell>
          <cell r="C38">
            <v>546482.04310000001</v>
          </cell>
          <cell r="D38">
            <v>553762.28650000005</v>
          </cell>
          <cell r="E38">
            <v>561436.74250000005</v>
          </cell>
          <cell r="F38">
            <v>569430.84680000006</v>
          </cell>
          <cell r="G38">
            <v>577723.53830000001</v>
          </cell>
          <cell r="H38">
            <v>586285.59290000005</v>
          </cell>
          <cell r="I38">
            <v>594762.8077</v>
          </cell>
          <cell r="J38">
            <v>603374.86120000004</v>
          </cell>
          <cell r="K38">
            <v>612625.69070000004</v>
          </cell>
          <cell r="L38">
            <v>622167.09920000006</v>
          </cell>
          <cell r="M38">
            <v>631306.89</v>
          </cell>
          <cell r="N38">
            <v>640089.27260000003</v>
          </cell>
          <cell r="O38">
            <v>648585.02850000001</v>
          </cell>
          <cell r="P38">
            <v>656902.76040000003</v>
          </cell>
          <cell r="Q38">
            <v>665139.0429</v>
          </cell>
          <cell r="R38">
            <v>673367.90599999996</v>
          </cell>
          <cell r="S38">
            <v>681685.32640000002</v>
          </cell>
          <cell r="T38">
            <v>690166.40960000001</v>
          </cell>
          <cell r="U38">
            <v>698860.76269999996</v>
          </cell>
          <cell r="V38">
            <v>707787.33589999995</v>
          </cell>
          <cell r="W38">
            <v>716991.15949999995</v>
          </cell>
          <cell r="X38">
            <v>726523.87139999995</v>
          </cell>
          <cell r="Y38">
            <v>736421.34770000004</v>
          </cell>
          <cell r="Z38">
            <v>746700.93409999995</v>
          </cell>
          <cell r="AA38">
            <v>757288.39859999996</v>
          </cell>
          <cell r="AB38">
            <v>768081.32880000002</v>
          </cell>
          <cell r="AC38">
            <v>779155.66780000005</v>
          </cell>
          <cell r="AD38">
            <v>790571.7513</v>
          </cell>
          <cell r="AE38">
            <v>802335.95169999998</v>
          </cell>
          <cell r="AF38">
            <v>814419.27949999995</v>
          </cell>
          <cell r="AG38">
            <v>826766.93229999999</v>
          </cell>
          <cell r="AH38">
            <v>839348.94380000001</v>
          </cell>
          <cell r="AI38">
            <v>852130.05530000001</v>
          </cell>
          <cell r="AJ38">
            <v>865072.29</v>
          </cell>
          <cell r="AK38">
            <v>878136.16630000004</v>
          </cell>
        </row>
        <row r="39">
          <cell r="B39">
            <v>539598.62580000004</v>
          </cell>
          <cell r="C39">
            <v>546482.04310000001</v>
          </cell>
          <cell r="D39">
            <v>553762.28650000005</v>
          </cell>
          <cell r="E39">
            <v>561436.74250000005</v>
          </cell>
          <cell r="F39">
            <v>569430.84669999999</v>
          </cell>
          <cell r="G39">
            <v>577723.53830000001</v>
          </cell>
          <cell r="H39">
            <v>586247.16729999997</v>
          </cell>
          <cell r="I39">
            <v>594956.13289999997</v>
          </cell>
          <cell r="J39">
            <v>603816.34230000002</v>
          </cell>
          <cell r="K39">
            <v>612813.78910000005</v>
          </cell>
          <cell r="L39">
            <v>621887.4179</v>
          </cell>
          <cell r="M39">
            <v>630670.51650000003</v>
          </cell>
          <cell r="N39">
            <v>639178.20559999999</v>
          </cell>
          <cell r="O39">
            <v>647446.00349999999</v>
          </cell>
          <cell r="P39">
            <v>655539.86939999997</v>
          </cell>
          <cell r="Q39">
            <v>663539.87450000003</v>
          </cell>
          <cell r="R39">
            <v>671576.75450000004</v>
          </cell>
          <cell r="S39">
            <v>679747.34259999997</v>
          </cell>
          <cell r="T39">
            <v>688125.28099999996</v>
          </cell>
          <cell r="U39">
            <v>696760.33510000003</v>
          </cell>
          <cell r="V39">
            <v>705663.87239999999</v>
          </cell>
          <cell r="W39">
            <v>714909.77749999997</v>
          </cell>
          <cell r="X39">
            <v>724530.95180000004</v>
          </cell>
          <cell r="Y39">
            <v>734552.49320000003</v>
          </cell>
          <cell r="Z39">
            <v>744982.48730000004</v>
          </cell>
          <cell r="AA39">
            <v>755738.8702</v>
          </cell>
          <cell r="AB39">
            <v>766746.41980000003</v>
          </cell>
          <cell r="AC39">
            <v>778067.24750000006</v>
          </cell>
          <cell r="AD39">
            <v>789745.50040000002</v>
          </cell>
          <cell r="AE39">
            <v>801773.08730000001</v>
          </cell>
          <cell r="AF39">
            <v>814109.09019999998</v>
          </cell>
          <cell r="AG39">
            <v>826706.0307</v>
          </cell>
          <cell r="AH39">
            <v>839519.18850000005</v>
          </cell>
          <cell r="AI39">
            <v>852505.0331</v>
          </cell>
          <cell r="AJ39">
            <v>865620.68099999998</v>
          </cell>
          <cell r="AK39">
            <v>878823.60869999998</v>
          </cell>
        </row>
        <row r="40">
          <cell r="B40">
            <v>4212.6335989999998</v>
          </cell>
          <cell r="C40">
            <v>4285.9663819999996</v>
          </cell>
          <cell r="D40">
            <v>4369.7343350000001</v>
          </cell>
          <cell r="E40">
            <v>4459.537558</v>
          </cell>
          <cell r="F40">
            <v>4558.6741709999997</v>
          </cell>
          <cell r="G40">
            <v>4666.1654909999997</v>
          </cell>
          <cell r="H40">
            <v>4779.7805440000002</v>
          </cell>
          <cell r="I40">
            <v>4855.5067170000002</v>
          </cell>
          <cell r="J40">
            <v>4922.0580019999998</v>
          </cell>
          <cell r="K40">
            <v>4999.3723019999998</v>
          </cell>
          <cell r="L40">
            <v>5062.9069820000004</v>
          </cell>
          <cell r="M40">
            <v>5110.2369930000004</v>
          </cell>
          <cell r="N40">
            <v>5144.9057290000001</v>
          </cell>
          <cell r="O40">
            <v>5172.4236360000004</v>
          </cell>
          <cell r="P40">
            <v>5198.3731479999997</v>
          </cell>
          <cell r="Q40">
            <v>5226.0557410000001</v>
          </cell>
          <cell r="R40">
            <v>5264.9760390000001</v>
          </cell>
          <cell r="S40">
            <v>5308.5024839999996</v>
          </cell>
          <cell r="T40">
            <v>5357.3679069999998</v>
          </cell>
          <cell r="U40">
            <v>5410.4292079999996</v>
          </cell>
          <cell r="V40">
            <v>5471.3678280000004</v>
          </cell>
          <cell r="W40">
            <v>5542.6820159999997</v>
          </cell>
          <cell r="X40">
            <v>5625.6895949999998</v>
          </cell>
          <cell r="Y40">
            <v>5720.8702970000004</v>
          </cell>
          <cell r="Z40">
            <v>5827.8580250000005</v>
          </cell>
          <cell r="AA40">
            <v>5945.0112060000001</v>
          </cell>
          <cell r="AB40">
            <v>6065.9365360000002</v>
          </cell>
          <cell r="AC40">
            <v>6195.814633</v>
          </cell>
          <cell r="AD40">
            <v>6335.7407290000001</v>
          </cell>
          <cell r="AE40">
            <v>6484.6763620000002</v>
          </cell>
          <cell r="AF40">
            <v>6640.492902</v>
          </cell>
          <cell r="AG40">
            <v>6801.7321330000004</v>
          </cell>
          <cell r="AH40">
            <v>6967.0637299999999</v>
          </cell>
          <cell r="AI40">
            <v>7135.1760590000004</v>
          </cell>
          <cell r="AJ40">
            <v>7304.7616029999999</v>
          </cell>
          <cell r="AK40">
            <v>7474.5229220000001</v>
          </cell>
        </row>
        <row r="41">
          <cell r="B41">
            <v>4212.6335980000003</v>
          </cell>
          <cell r="C41">
            <v>4285.9663810000002</v>
          </cell>
          <cell r="D41">
            <v>4369.7343339999998</v>
          </cell>
          <cell r="E41">
            <v>4459.5375569999997</v>
          </cell>
          <cell r="F41">
            <v>4558.6741709999997</v>
          </cell>
          <cell r="G41">
            <v>4666.1654909999997</v>
          </cell>
          <cell r="H41">
            <v>4777.5639149999997</v>
          </cell>
          <cell r="I41">
            <v>4890.2984640000004</v>
          </cell>
          <cell r="J41">
            <v>5003.3516449999997</v>
          </cell>
          <cell r="K41">
            <v>5116.3246929999996</v>
          </cell>
          <cell r="L41">
            <v>5224.6100340000003</v>
          </cell>
          <cell r="M41">
            <v>5313.4526509999996</v>
          </cell>
          <cell r="N41">
            <v>5386.8726049999996</v>
          </cell>
          <cell r="O41">
            <v>5449.7728429999997</v>
          </cell>
          <cell r="P41">
            <v>5507.2372429999996</v>
          </cell>
          <cell r="Q41">
            <v>5563.6023009999999</v>
          </cell>
          <cell r="R41">
            <v>5625.0064590000002</v>
          </cell>
          <cell r="S41">
            <v>5695.5350529999996</v>
          </cell>
          <cell r="T41">
            <v>5777.5602980000003</v>
          </cell>
          <cell r="U41">
            <v>5871.9631749999999</v>
          </cell>
          <cell r="V41">
            <v>5978.7915439999997</v>
          </cell>
          <cell r="W41">
            <v>6098.8221960000001</v>
          </cell>
          <cell r="X41">
            <v>6232.7267929999998</v>
          </cell>
          <cell r="Y41">
            <v>6380.64149</v>
          </cell>
          <cell r="Z41">
            <v>6541.8825569999999</v>
          </cell>
          <cell r="AA41">
            <v>6714.4518449999996</v>
          </cell>
          <cell r="AB41">
            <v>6893.8951479999996</v>
          </cell>
          <cell r="AC41">
            <v>7081.9451449999997</v>
          </cell>
          <cell r="AD41">
            <v>7279.6720370000003</v>
          </cell>
          <cell r="AE41">
            <v>7485.7769349999999</v>
          </cell>
          <cell r="AF41">
            <v>7697.7797170000003</v>
          </cell>
          <cell r="AG41">
            <v>7913.4958130000005</v>
          </cell>
          <cell r="AH41">
            <v>8131.332797</v>
          </cell>
          <cell r="AI41">
            <v>8349.9804380000005</v>
          </cell>
          <cell r="AJ41">
            <v>8568.2804240000005</v>
          </cell>
          <cell r="AK41">
            <v>8785.1599160000005</v>
          </cell>
        </row>
        <row r="42">
          <cell r="B42">
            <v>35347.820330000002</v>
          </cell>
          <cell r="C42">
            <v>35673.645709999997</v>
          </cell>
          <cell r="D42">
            <v>36013.008500000004</v>
          </cell>
          <cell r="E42">
            <v>36381.2673</v>
          </cell>
          <cell r="F42">
            <v>36864.358910000003</v>
          </cell>
          <cell r="G42">
            <v>37450.185590000001</v>
          </cell>
          <cell r="H42">
            <v>38144.443270000003</v>
          </cell>
          <cell r="I42">
            <v>38697.328029999997</v>
          </cell>
          <cell r="J42">
            <v>39153.99955</v>
          </cell>
          <cell r="K42">
            <v>39658.545639999997</v>
          </cell>
          <cell r="L42">
            <v>39983.708559999999</v>
          </cell>
          <cell r="M42">
            <v>40252.209940000001</v>
          </cell>
          <cell r="N42">
            <v>40483.290300000001</v>
          </cell>
          <cell r="O42">
            <v>40698.68146</v>
          </cell>
          <cell r="P42">
            <v>40921.60972</v>
          </cell>
          <cell r="Q42">
            <v>41161.028610000001</v>
          </cell>
          <cell r="R42">
            <v>41286.53991</v>
          </cell>
          <cell r="S42">
            <v>41416.685490000003</v>
          </cell>
          <cell r="T42">
            <v>41443.702899999997</v>
          </cell>
          <cell r="U42">
            <v>41169.92295</v>
          </cell>
          <cell r="V42">
            <v>40886.121659999997</v>
          </cell>
          <cell r="W42">
            <v>40588.382210000003</v>
          </cell>
          <cell r="X42">
            <v>40275.448559999997</v>
          </cell>
          <cell r="Y42">
            <v>39947.025670000003</v>
          </cell>
          <cell r="Z42">
            <v>39601.651550000002</v>
          </cell>
          <cell r="AA42">
            <v>39235.088389999997</v>
          </cell>
          <cell r="AB42">
            <v>38796.772729999997</v>
          </cell>
          <cell r="AC42">
            <v>38329.907359999997</v>
          </cell>
          <cell r="AD42">
            <v>37861.476349999997</v>
          </cell>
          <cell r="AE42">
            <v>37398.416299999997</v>
          </cell>
          <cell r="AF42">
            <v>36941.858330000003</v>
          </cell>
          <cell r="AG42">
            <v>36499.732709999997</v>
          </cell>
          <cell r="AH42">
            <v>36080.010999999999</v>
          </cell>
          <cell r="AI42">
            <v>35691.268770000002</v>
          </cell>
          <cell r="AJ42">
            <v>35341.826739999997</v>
          </cell>
          <cell r="AK42">
            <v>35038.836179999998</v>
          </cell>
        </row>
        <row r="43">
          <cell r="B43">
            <v>35347.820229999998</v>
          </cell>
          <cell r="C43">
            <v>35673.64561</v>
          </cell>
          <cell r="D43">
            <v>36013.008390000003</v>
          </cell>
          <cell r="E43">
            <v>36381.267200000002</v>
          </cell>
          <cell r="F43">
            <v>36864.358809999998</v>
          </cell>
          <cell r="G43">
            <v>37450.185490000003</v>
          </cell>
          <cell r="H43">
            <v>38123.750090000001</v>
          </cell>
          <cell r="I43">
            <v>38828.590089999998</v>
          </cell>
          <cell r="J43">
            <v>39552.872969999997</v>
          </cell>
          <cell r="K43">
            <v>40291.60512</v>
          </cell>
          <cell r="L43">
            <v>41018.895559999997</v>
          </cell>
          <cell r="M43">
            <v>41637.990530000003</v>
          </cell>
          <cell r="N43">
            <v>42173.165350000003</v>
          </cell>
          <cell r="O43">
            <v>42650.146390000002</v>
          </cell>
          <cell r="P43">
            <v>43093.102570000003</v>
          </cell>
          <cell r="Q43">
            <v>43522.606390000001</v>
          </cell>
          <cell r="R43">
            <v>43970.173210000001</v>
          </cell>
          <cell r="S43">
            <v>44473.315629999997</v>
          </cell>
          <cell r="T43">
            <v>45043.96344</v>
          </cell>
          <cell r="U43">
            <v>45684.596590000001</v>
          </cell>
          <cell r="V43">
            <v>46393.986449999997</v>
          </cell>
          <cell r="W43">
            <v>47177.007160000001</v>
          </cell>
          <cell r="X43">
            <v>48038.215519999998</v>
          </cell>
          <cell r="Y43">
            <v>48980.554969999997</v>
          </cell>
          <cell r="Z43">
            <v>50003.402150000002</v>
          </cell>
          <cell r="AA43">
            <v>51099.907890000002</v>
          </cell>
          <cell r="AB43">
            <v>52161.9977</v>
          </cell>
          <cell r="AC43">
            <v>53251.72767</v>
          </cell>
          <cell r="AD43">
            <v>54398.896059999999</v>
          </cell>
          <cell r="AE43">
            <v>55603.523999999998</v>
          </cell>
          <cell r="AF43">
            <v>56853.34964</v>
          </cell>
          <cell r="AG43">
            <v>58135.851439999999</v>
          </cell>
          <cell r="AH43">
            <v>59440.892699999997</v>
          </cell>
          <cell r="AI43">
            <v>60759.142979999997</v>
          </cell>
          <cell r="AJ43">
            <v>62081.426529999997</v>
          </cell>
          <cell r="AK43">
            <v>63398.432529999998</v>
          </cell>
        </row>
        <row r="44">
          <cell r="B44">
            <v>3918.5416740000001</v>
          </cell>
          <cell r="C44">
            <v>3935.7310179999999</v>
          </cell>
          <cell r="D44">
            <v>3951.8403239999998</v>
          </cell>
          <cell r="E44">
            <v>3972.7740429999999</v>
          </cell>
          <cell r="F44">
            <v>4007.08419</v>
          </cell>
          <cell r="G44">
            <v>4053.5921309999999</v>
          </cell>
          <cell r="H44">
            <v>4106.1586799999995</v>
          </cell>
          <cell r="I44">
            <v>4147.6003289999999</v>
          </cell>
          <cell r="J44">
            <v>4179.279853</v>
          </cell>
          <cell r="K44">
            <v>4206.6634320000003</v>
          </cell>
          <cell r="L44">
            <v>4220.2782800000004</v>
          </cell>
          <cell r="M44">
            <v>4239.5668900000001</v>
          </cell>
          <cell r="N44">
            <v>4260.2324140000001</v>
          </cell>
          <cell r="O44">
            <v>4281.1911959999998</v>
          </cell>
          <cell r="P44">
            <v>4302.0513849999998</v>
          </cell>
          <cell r="Q44">
            <v>4322.3857930000004</v>
          </cell>
          <cell r="R44">
            <v>4337.9097689999999</v>
          </cell>
          <cell r="S44">
            <v>4352.0910370000001</v>
          </cell>
          <cell r="T44">
            <v>4576.0807720000003</v>
          </cell>
          <cell r="U44">
            <v>5404.4566150000001</v>
          </cell>
          <cell r="V44">
            <v>6371.4817590000002</v>
          </cell>
          <cell r="W44">
            <v>7490.7205830000003</v>
          </cell>
          <cell r="X44">
            <v>8777.2164969999994</v>
          </cell>
          <cell r="Y44">
            <v>10244.887940000001</v>
          </cell>
          <cell r="Z44">
            <v>11904.98754</v>
          </cell>
          <cell r="AA44">
            <v>13763.85584</v>
          </cell>
          <cell r="AB44">
            <v>15822.19543</v>
          </cell>
          <cell r="AC44">
            <v>18078.92266</v>
          </cell>
          <cell r="AD44">
            <v>20526.02404</v>
          </cell>
          <cell r="AE44">
            <v>23146.789250000002</v>
          </cell>
          <cell r="AF44">
            <v>25916.22769</v>
          </cell>
          <cell r="AG44">
            <v>28806.0841</v>
          </cell>
          <cell r="AH44">
            <v>31781.786179999999</v>
          </cell>
          <cell r="AI44">
            <v>34805.732320000003</v>
          </cell>
          <cell r="AJ44">
            <v>37839.699059999999</v>
          </cell>
          <cell r="AK44">
            <v>40846.973890000001</v>
          </cell>
        </row>
        <row r="45">
          <cell r="B45">
            <v>3918.5416730000002</v>
          </cell>
          <cell r="C45">
            <v>3935.7310179999999</v>
          </cell>
          <cell r="D45">
            <v>3951.8403239999998</v>
          </cell>
          <cell r="E45">
            <v>3972.774042</v>
          </cell>
          <cell r="F45">
            <v>4007.0841890000002</v>
          </cell>
          <cell r="G45">
            <v>4053.59213</v>
          </cell>
          <cell r="H45">
            <v>4105.2839739999999</v>
          </cell>
          <cell r="I45">
            <v>4160.5283790000003</v>
          </cell>
          <cell r="J45">
            <v>4217.9173149999997</v>
          </cell>
          <cell r="K45">
            <v>4276.429443</v>
          </cell>
          <cell r="L45">
            <v>4334.2748179999999</v>
          </cell>
          <cell r="M45">
            <v>4391.5224959999996</v>
          </cell>
          <cell r="N45">
            <v>4443.7655059999997</v>
          </cell>
          <cell r="O45">
            <v>4491.3261130000001</v>
          </cell>
          <cell r="P45">
            <v>4535.1678140000004</v>
          </cell>
          <cell r="Q45">
            <v>4576.368093</v>
          </cell>
          <cell r="R45">
            <v>4615.1952609999998</v>
          </cell>
          <cell r="S45">
            <v>4656.6582770000005</v>
          </cell>
          <cell r="T45">
            <v>4701.9208939999999</v>
          </cell>
          <cell r="U45">
            <v>4751.2198969999999</v>
          </cell>
          <cell r="V45">
            <v>4804.4316570000001</v>
          </cell>
          <cell r="W45">
            <v>4861.8600619999997</v>
          </cell>
          <cell r="X45">
            <v>4923.7788190000001</v>
          </cell>
          <cell r="Y45">
            <v>4990.3960829999996</v>
          </cell>
          <cell r="Z45">
            <v>5061.732986</v>
          </cell>
          <cell r="AA45">
            <v>5137.2795370000003</v>
          </cell>
          <cell r="AB45">
            <v>5215.511751</v>
          </cell>
          <cell r="AC45">
            <v>5297.2579100000003</v>
          </cell>
          <cell r="AD45">
            <v>5383.0326850000001</v>
          </cell>
          <cell r="AE45">
            <v>5472.6088019999997</v>
          </cell>
          <cell r="AF45">
            <v>5565.2978290000001</v>
          </cell>
          <cell r="AG45">
            <v>5660.3416800000005</v>
          </cell>
          <cell r="AH45">
            <v>5757.0236379999997</v>
          </cell>
          <cell r="AI45">
            <v>5854.6108359999998</v>
          </cell>
          <cell r="AJ45">
            <v>5952.3376550000003</v>
          </cell>
          <cell r="AK45">
            <v>6049.4075359999997</v>
          </cell>
        </row>
        <row r="46">
          <cell r="B46">
            <v>398.29480059999997</v>
          </cell>
          <cell r="C46">
            <v>401.08449510000003</v>
          </cell>
          <cell r="D46">
            <v>404.51633900000002</v>
          </cell>
          <cell r="E46">
            <v>407.81941310000002</v>
          </cell>
          <cell r="F46">
            <v>413.0310988</v>
          </cell>
          <cell r="G46">
            <v>419.60440180000001</v>
          </cell>
          <cell r="H46">
            <v>436.09066200000001</v>
          </cell>
          <cell r="I46">
            <v>451.05861920000001</v>
          </cell>
          <cell r="J46">
            <v>464.95146799999998</v>
          </cell>
          <cell r="K46">
            <v>479.59976069999999</v>
          </cell>
          <cell r="L46">
            <v>486.3476804</v>
          </cell>
          <cell r="M46">
            <v>486.35147569999998</v>
          </cell>
          <cell r="N46">
            <v>485.35768100000001</v>
          </cell>
          <cell r="O46">
            <v>484.38340310000001</v>
          </cell>
          <cell r="P46">
            <v>483.78655620000001</v>
          </cell>
          <cell r="Q46">
            <v>483.69883290000001</v>
          </cell>
          <cell r="R46">
            <v>467.70851320000003</v>
          </cell>
          <cell r="S46">
            <v>450.06154559999999</v>
          </cell>
          <cell r="T46">
            <v>430.9289976</v>
          </cell>
          <cell r="U46">
            <v>410.59867120000001</v>
          </cell>
          <cell r="V46">
            <v>389.8434689</v>
          </cell>
          <cell r="W46">
            <v>369.68524819999999</v>
          </cell>
          <cell r="X46">
            <v>351.1328097</v>
          </cell>
          <cell r="Y46">
            <v>335.29016050000001</v>
          </cell>
          <cell r="Z46">
            <v>323.26379200000002</v>
          </cell>
          <cell r="AA46">
            <v>316.01632899999998</v>
          </cell>
          <cell r="AB46">
            <v>310.12088940000001</v>
          </cell>
          <cell r="AC46">
            <v>308.71555369999999</v>
          </cell>
          <cell r="AD46">
            <v>313.18380719999999</v>
          </cell>
          <cell r="AE46">
            <v>323.55223510000002</v>
          </cell>
          <cell r="AF46">
            <v>339.25603480000001</v>
          </cell>
          <cell r="AG46">
            <v>359.5467347</v>
          </cell>
          <cell r="AH46">
            <v>383.5636068</v>
          </cell>
          <cell r="AI46">
            <v>410.44765200000001</v>
          </cell>
          <cell r="AJ46">
            <v>439.38593300000002</v>
          </cell>
          <cell r="AK46">
            <v>469.6438162</v>
          </cell>
        </row>
        <row r="47">
          <cell r="B47">
            <v>398.29477789999999</v>
          </cell>
          <cell r="C47">
            <v>401.08447339999998</v>
          </cell>
          <cell r="D47">
            <v>404.51631800000001</v>
          </cell>
          <cell r="E47">
            <v>407.81939290000003</v>
          </cell>
          <cell r="F47">
            <v>413.03107899999998</v>
          </cell>
          <cell r="G47">
            <v>419.60438210000001</v>
          </cell>
          <cell r="H47">
            <v>433.9449305</v>
          </cell>
          <cell r="I47">
            <v>449.7403061</v>
          </cell>
          <cell r="J47">
            <v>466.56776969999999</v>
          </cell>
          <cell r="K47">
            <v>484.53294119999998</v>
          </cell>
          <cell r="L47">
            <v>503.56697079999998</v>
          </cell>
          <cell r="M47">
            <v>514.17876079999996</v>
          </cell>
          <cell r="N47">
            <v>522.96942630000001</v>
          </cell>
          <cell r="O47">
            <v>531.29843210000001</v>
          </cell>
          <cell r="P47">
            <v>539.664715</v>
          </cell>
          <cell r="Q47">
            <v>548.39005020000002</v>
          </cell>
          <cell r="R47">
            <v>558.82670840000003</v>
          </cell>
          <cell r="S47">
            <v>570.9713501</v>
          </cell>
          <cell r="T47">
            <v>584.75515680000001</v>
          </cell>
          <cell r="U47">
            <v>600.15725640000005</v>
          </cell>
          <cell r="V47">
            <v>617.14504690000001</v>
          </cell>
          <cell r="W47">
            <v>635.90470589999995</v>
          </cell>
          <cell r="X47">
            <v>656.57759129999999</v>
          </cell>
          <cell r="Y47">
            <v>679.31214639999996</v>
          </cell>
          <cell r="Z47">
            <v>704.23122460000002</v>
          </cell>
          <cell r="AA47">
            <v>731.2830725</v>
          </cell>
          <cell r="AB47">
            <v>750.54924930000004</v>
          </cell>
          <cell r="AC47">
            <v>767.08610629999998</v>
          </cell>
          <cell r="AD47">
            <v>783.870903</v>
          </cell>
          <cell r="AE47">
            <v>801.67965300000003</v>
          </cell>
          <cell r="AF47">
            <v>820.44325319999996</v>
          </cell>
          <cell r="AG47">
            <v>839.90172940000002</v>
          </cell>
          <cell r="AH47">
            <v>859.80801340000005</v>
          </cell>
          <cell r="AI47">
            <v>879.9496054</v>
          </cell>
          <cell r="AJ47">
            <v>900.14559919999999</v>
          </cell>
          <cell r="AK47">
            <v>920.23766090000004</v>
          </cell>
        </row>
        <row r="48">
          <cell r="B48">
            <v>559.14168930000005</v>
          </cell>
          <cell r="C48">
            <v>563.05797070000006</v>
          </cell>
          <cell r="D48">
            <v>567.87572620000003</v>
          </cell>
          <cell r="E48">
            <v>572.51270969999996</v>
          </cell>
          <cell r="F48">
            <v>579.8290763</v>
          </cell>
          <cell r="G48">
            <v>589.05693389999999</v>
          </cell>
          <cell r="H48">
            <v>612.20098559999997</v>
          </cell>
          <cell r="I48">
            <v>633.21358439999995</v>
          </cell>
          <cell r="J48">
            <v>652.71690430000001</v>
          </cell>
          <cell r="K48">
            <v>673.28074590000006</v>
          </cell>
          <cell r="L48">
            <v>731.65442519999999</v>
          </cell>
          <cell r="M48">
            <v>783.82827350000002</v>
          </cell>
          <cell r="N48">
            <v>837.43186630000002</v>
          </cell>
          <cell r="O48">
            <v>893.93462980000004</v>
          </cell>
          <cell r="P48">
            <v>953.89481090000004</v>
          </cell>
          <cell r="Q48">
            <v>1017.472785</v>
          </cell>
          <cell r="R48">
            <v>1173.22444</v>
          </cell>
          <cell r="S48">
            <v>1346.374521</v>
          </cell>
          <cell r="T48">
            <v>1536.103044</v>
          </cell>
          <cell r="U48">
            <v>1740.1719780000001</v>
          </cell>
          <cell r="V48">
            <v>1956.206457</v>
          </cell>
          <cell r="W48">
            <v>2181.3697750000001</v>
          </cell>
          <cell r="X48">
            <v>2411.2290750000002</v>
          </cell>
          <cell r="Y48">
            <v>2640.4689859999999</v>
          </cell>
          <cell r="Z48">
            <v>2862.987267</v>
          </cell>
          <cell r="AA48">
            <v>3071.6129030000002</v>
          </cell>
          <cell r="AB48">
            <v>3215.2488229999999</v>
          </cell>
          <cell r="AC48">
            <v>3310.4062530000001</v>
          </cell>
          <cell r="AD48">
            <v>3367.8690580000002</v>
          </cell>
          <cell r="AE48">
            <v>3390.91806</v>
          </cell>
          <cell r="AF48">
            <v>3381.0551190000001</v>
          </cell>
          <cell r="AG48">
            <v>3341.1484909999999</v>
          </cell>
          <cell r="AH48">
            <v>3274.9301099999998</v>
          </cell>
          <cell r="AI48">
            <v>3186.8968839999998</v>
          </cell>
          <cell r="AJ48">
            <v>3081.698461</v>
          </cell>
          <cell r="AK48">
            <v>2963.7370169999999</v>
          </cell>
        </row>
        <row r="49">
          <cell r="B49">
            <v>559.14181389999999</v>
          </cell>
          <cell r="C49">
            <v>563.05809769999996</v>
          </cell>
          <cell r="D49">
            <v>567.87585560000002</v>
          </cell>
          <cell r="E49">
            <v>572.5128416</v>
          </cell>
          <cell r="F49">
            <v>579.82921069999998</v>
          </cell>
          <cell r="G49">
            <v>589.05707110000003</v>
          </cell>
          <cell r="H49">
            <v>609.18889479999996</v>
          </cell>
          <cell r="I49">
            <v>631.36306200000001</v>
          </cell>
          <cell r="J49">
            <v>654.98611459999995</v>
          </cell>
          <cell r="K49">
            <v>680.20632609999996</v>
          </cell>
          <cell r="L49">
            <v>706.92704260000005</v>
          </cell>
          <cell r="M49">
            <v>721.82428919999995</v>
          </cell>
          <cell r="N49">
            <v>734.16496989999996</v>
          </cell>
          <cell r="O49">
            <v>745.85755449999999</v>
          </cell>
          <cell r="P49">
            <v>757.60247019999997</v>
          </cell>
          <cell r="Q49">
            <v>769.85143770000002</v>
          </cell>
          <cell r="R49">
            <v>784.5028274</v>
          </cell>
          <cell r="S49">
            <v>801.55195119999996</v>
          </cell>
          <cell r="T49">
            <v>820.90219909999996</v>
          </cell>
          <cell r="U49">
            <v>842.52426990000004</v>
          </cell>
          <cell r="V49">
            <v>866.37239569999997</v>
          </cell>
          <cell r="W49">
            <v>892.70794000000001</v>
          </cell>
          <cell r="X49">
            <v>921.72934650000002</v>
          </cell>
          <cell r="Y49">
            <v>953.64500559999999</v>
          </cell>
          <cell r="Z49">
            <v>988.62738390000004</v>
          </cell>
          <cell r="AA49">
            <v>1026.603828</v>
          </cell>
          <cell r="AB49">
            <v>1053.6504420000001</v>
          </cell>
          <cell r="AC49">
            <v>1076.8655289999999</v>
          </cell>
          <cell r="AD49">
            <v>1100.4286850000001</v>
          </cell>
          <cell r="AE49">
            <v>1125.429306</v>
          </cell>
          <cell r="AF49">
            <v>1151.770383</v>
          </cell>
          <cell r="AG49">
            <v>1179.0869540000001</v>
          </cell>
          <cell r="AH49">
            <v>1207.0321750000001</v>
          </cell>
          <cell r="AI49">
            <v>1235.3077310000001</v>
          </cell>
          <cell r="AJ49">
            <v>1263.6596589999999</v>
          </cell>
          <cell r="AK49">
            <v>1291.8656820000001</v>
          </cell>
        </row>
        <row r="50">
          <cell r="B50">
            <v>46395.229310000002</v>
          </cell>
          <cell r="C50">
            <v>47135.053590000003</v>
          </cell>
          <cell r="D50">
            <v>47859.035530000001</v>
          </cell>
          <cell r="E50">
            <v>48649.936690000002</v>
          </cell>
          <cell r="F50">
            <v>49382.230430000003</v>
          </cell>
          <cell r="G50">
            <v>50125.352050000001</v>
          </cell>
          <cell r="H50">
            <v>50422.805950000002</v>
          </cell>
          <cell r="I50">
            <v>51035.018949999998</v>
          </cell>
          <cell r="J50">
            <v>51750.879679999998</v>
          </cell>
          <cell r="K50">
            <v>52725.416519999999</v>
          </cell>
          <cell r="L50">
            <v>53744.465279999997</v>
          </cell>
          <cell r="M50">
            <v>54227.163569999997</v>
          </cell>
          <cell r="N50">
            <v>54221.047400000003</v>
          </cell>
          <cell r="O50">
            <v>53986.027390000003</v>
          </cell>
          <cell r="P50">
            <v>53639.296459999998</v>
          </cell>
          <cell r="Q50">
            <v>53229.680359999998</v>
          </cell>
          <cell r="R50">
            <v>52510.662830000001</v>
          </cell>
          <cell r="S50">
            <v>51737.605360000001</v>
          </cell>
          <cell r="T50">
            <v>50927.822169999999</v>
          </cell>
          <cell r="U50">
            <v>50104.984989999997</v>
          </cell>
          <cell r="V50">
            <v>49298.02837</v>
          </cell>
          <cell r="W50">
            <v>48519.528980000003</v>
          </cell>
          <cell r="X50">
            <v>47819.065069999997</v>
          </cell>
          <cell r="Y50">
            <v>47224.993300000002</v>
          </cell>
          <cell r="Z50">
            <v>46747.0164</v>
          </cell>
          <cell r="AA50">
            <v>46372.038159999996</v>
          </cell>
          <cell r="AB50">
            <v>47612.864139999998</v>
          </cell>
          <cell r="AC50">
            <v>48419.103620000002</v>
          </cell>
          <cell r="AD50">
            <v>49210.516159999999</v>
          </cell>
          <cell r="AE50">
            <v>50069.394899999999</v>
          </cell>
          <cell r="AF50">
            <v>50980.055890000003</v>
          </cell>
          <cell r="AG50">
            <v>51901.710189999998</v>
          </cell>
          <cell r="AH50">
            <v>52816.094570000001</v>
          </cell>
          <cell r="AI50">
            <v>53709.265330000002</v>
          </cell>
          <cell r="AJ50">
            <v>54570.472659999999</v>
          </cell>
          <cell r="AK50">
            <v>55391.81091</v>
          </cell>
        </row>
        <row r="51">
          <cell r="B51">
            <v>46395.229299999999</v>
          </cell>
          <cell r="C51">
            <v>47135.05358</v>
          </cell>
          <cell r="D51">
            <v>47859.035519999998</v>
          </cell>
          <cell r="E51">
            <v>48649.936679999999</v>
          </cell>
          <cell r="F51">
            <v>49382.230409999996</v>
          </cell>
          <cell r="G51">
            <v>50125.352039999998</v>
          </cell>
          <cell r="H51">
            <v>50436.60398</v>
          </cell>
          <cell r="I51">
            <v>51004.384120000002</v>
          </cell>
          <cell r="J51">
            <v>51570.665260000002</v>
          </cell>
          <cell r="K51">
            <v>52077.343589999997</v>
          </cell>
          <cell r="L51">
            <v>52483.379560000001</v>
          </cell>
          <cell r="M51">
            <v>52733.816529999996</v>
          </cell>
          <cell r="N51">
            <v>52689.489029999997</v>
          </cell>
          <cell r="O51">
            <v>52480.046069999997</v>
          </cell>
          <cell r="P51">
            <v>52153.2215</v>
          </cell>
          <cell r="Q51">
            <v>51738.704579999998</v>
          </cell>
          <cell r="R51">
            <v>51022.916749999997</v>
          </cell>
          <cell r="S51">
            <v>50259.022859999997</v>
          </cell>
          <cell r="T51">
            <v>49482.584179999998</v>
          </cell>
          <cell r="U51">
            <v>48729.835039999998</v>
          </cell>
          <cell r="V51">
            <v>48025.732969999997</v>
          </cell>
          <cell r="W51">
            <v>47401.316229999997</v>
          </cell>
          <cell r="X51">
            <v>46875.793709999998</v>
          </cell>
          <cell r="Y51">
            <v>46461.85514</v>
          </cell>
          <cell r="Z51">
            <v>46165.210870000003</v>
          </cell>
          <cell r="AA51">
            <v>45976.927459999999</v>
          </cell>
          <cell r="AB51">
            <v>47371.009980000003</v>
          </cell>
          <cell r="AC51">
            <v>48324.253369999999</v>
          </cell>
          <cell r="AD51">
            <v>49265.319920000002</v>
          </cell>
          <cell r="AE51">
            <v>50291.72625</v>
          </cell>
          <cell r="AF51">
            <v>51401.339220000002</v>
          </cell>
          <cell r="AG51">
            <v>52570.065329999998</v>
          </cell>
          <cell r="AH51">
            <v>53774.632140000002</v>
          </cell>
          <cell r="AI51">
            <v>54996.186589999998</v>
          </cell>
          <cell r="AJ51">
            <v>56220.42613</v>
          </cell>
          <cell r="AK51">
            <v>57436.444810000001</v>
          </cell>
        </row>
        <row r="52">
          <cell r="B52">
            <v>924.65040590000001</v>
          </cell>
          <cell r="C52">
            <v>939.39499999999998</v>
          </cell>
          <cell r="D52">
            <v>953.82385839999995</v>
          </cell>
          <cell r="E52">
            <v>969.58640760000003</v>
          </cell>
          <cell r="F52">
            <v>984.18091879999997</v>
          </cell>
          <cell r="G52">
            <v>998.99122839999995</v>
          </cell>
          <cell r="H52">
            <v>870.50388239999995</v>
          </cell>
          <cell r="I52">
            <v>733.6366865</v>
          </cell>
          <cell r="J52">
            <v>581.36055969999995</v>
          </cell>
          <cell r="K52">
            <v>411.54833680000002</v>
          </cell>
          <cell r="L52">
            <v>217.6095517</v>
          </cell>
          <cell r="M52">
            <v>227.24922620000001</v>
          </cell>
          <cell r="N52">
            <v>235.17694460000001</v>
          </cell>
          <cell r="O52">
            <v>242.3536296</v>
          </cell>
          <cell r="P52">
            <v>249.2255408</v>
          </cell>
          <cell r="Q52">
            <v>255.9791831</v>
          </cell>
          <cell r="R52">
            <v>169.096598</v>
          </cell>
          <cell r="S52">
            <v>111.5655917</v>
          </cell>
          <cell r="T52">
            <v>73.538646749999998</v>
          </cell>
          <cell r="U52">
            <v>48.448244449999997</v>
          </cell>
          <cell r="V52">
            <v>31.920026140000001</v>
          </cell>
          <cell r="W52">
            <v>21.037147090000001</v>
          </cell>
          <cell r="X52">
            <v>13.88378653</v>
          </cell>
          <cell r="Y52">
            <v>9.1815357869999996</v>
          </cell>
          <cell r="Z52">
            <v>6.0860274009999999</v>
          </cell>
          <cell r="AA52">
            <v>4.0427116859999996</v>
          </cell>
          <cell r="AB52">
            <v>4.1508868249999997</v>
          </cell>
          <cell r="AC52">
            <v>4.2211747380000002</v>
          </cell>
          <cell r="AD52">
            <v>4.2901700390000004</v>
          </cell>
          <cell r="AE52">
            <v>4.3650470390000002</v>
          </cell>
          <cell r="AF52">
            <v>4.4444384130000003</v>
          </cell>
          <cell r="AG52">
            <v>4.5247881840000002</v>
          </cell>
          <cell r="AH52">
            <v>4.6045041619999996</v>
          </cell>
          <cell r="AI52">
            <v>4.6823707389999996</v>
          </cell>
          <cell r="AJ52">
            <v>4.757450746</v>
          </cell>
          <cell r="AK52">
            <v>4.8290549690000004</v>
          </cell>
        </row>
        <row r="53">
          <cell r="B53">
            <v>924.65040580000004</v>
          </cell>
          <cell r="C53">
            <v>939.39499990000002</v>
          </cell>
          <cell r="D53">
            <v>953.82385820000002</v>
          </cell>
          <cell r="E53">
            <v>969.58640730000002</v>
          </cell>
          <cell r="F53">
            <v>984.18091860000004</v>
          </cell>
          <cell r="G53">
            <v>998.99122820000002</v>
          </cell>
          <cell r="H53">
            <v>870.74209289999999</v>
          </cell>
          <cell r="I53">
            <v>733.19630589999997</v>
          </cell>
          <cell r="J53">
            <v>579.33606159999999</v>
          </cell>
          <cell r="K53">
            <v>406.48980239999997</v>
          </cell>
          <cell r="L53">
            <v>212.50345759999999</v>
          </cell>
          <cell r="M53">
            <v>220.99107190000001</v>
          </cell>
          <cell r="N53">
            <v>228.53400360000001</v>
          </cell>
          <cell r="O53">
            <v>235.59299060000001</v>
          </cell>
          <cell r="P53">
            <v>242.3207553</v>
          </cell>
          <cell r="Q53">
            <v>248.8091464</v>
          </cell>
          <cell r="R53">
            <v>164.3057082</v>
          </cell>
          <cell r="S53">
            <v>108.3772159</v>
          </cell>
          <cell r="T53">
            <v>71.451755120000001</v>
          </cell>
          <cell r="U53">
            <v>47.118564370000001</v>
          </cell>
          <cell r="V53">
            <v>31.09622641</v>
          </cell>
          <cell r="W53">
            <v>20.55231126</v>
          </cell>
          <cell r="X53">
            <v>13.60991714</v>
          </cell>
          <cell r="Y53">
            <v>9.0331656169999999</v>
          </cell>
          <cell r="Z53">
            <v>6.0102817240000004</v>
          </cell>
          <cell r="AA53">
            <v>4.008265958</v>
          </cell>
          <cell r="AB53">
            <v>4.1298019930000001</v>
          </cell>
          <cell r="AC53">
            <v>4.2129056980000001</v>
          </cell>
          <cell r="AD53">
            <v>4.2949478279999997</v>
          </cell>
          <cell r="AE53">
            <v>4.3844298740000003</v>
          </cell>
          <cell r="AF53">
            <v>4.4811658699999999</v>
          </cell>
          <cell r="AG53">
            <v>4.5830553470000002</v>
          </cell>
          <cell r="AH53">
            <v>4.6880694140000001</v>
          </cell>
          <cell r="AI53">
            <v>4.7945644630000004</v>
          </cell>
          <cell r="AJ53">
            <v>4.9012935969999996</v>
          </cell>
          <cell r="AK53">
            <v>5.0073060380000003</v>
          </cell>
        </row>
        <row r="54">
          <cell r="B54">
            <v>1343.6723689999999</v>
          </cell>
          <cell r="C54">
            <v>1365.098741</v>
          </cell>
          <cell r="D54">
            <v>1386.066296</v>
          </cell>
          <cell r="E54">
            <v>1408.9719279999999</v>
          </cell>
          <cell r="F54">
            <v>1430.1802049999999</v>
          </cell>
          <cell r="G54">
            <v>1451.7020729999999</v>
          </cell>
          <cell r="H54">
            <v>1782.647197</v>
          </cell>
          <cell r="I54">
            <v>2157.8461900000002</v>
          </cell>
          <cell r="J54">
            <v>2577.9513480000001</v>
          </cell>
          <cell r="K54">
            <v>3059.9626159999998</v>
          </cell>
          <cell r="L54">
            <v>3603.246173</v>
          </cell>
          <cell r="M54">
            <v>3795.2331279999999</v>
          </cell>
          <cell r="N54">
            <v>3961.4196750000001</v>
          </cell>
          <cell r="O54">
            <v>4117.4250670000001</v>
          </cell>
          <cell r="P54">
            <v>4270.5989440000003</v>
          </cell>
          <cell r="Q54">
            <v>4424.0594629999996</v>
          </cell>
          <cell r="R54">
            <v>4507.5946629999999</v>
          </cell>
          <cell r="S54">
            <v>4587.0548989999998</v>
          </cell>
          <cell r="T54">
            <v>4663.510698</v>
          </cell>
          <cell r="U54">
            <v>4738.8075019999997</v>
          </cell>
          <cell r="V54">
            <v>4815.5726560000003</v>
          </cell>
          <cell r="W54">
            <v>4895.1412049999999</v>
          </cell>
          <cell r="X54">
            <v>4982.8749360000002</v>
          </cell>
          <cell r="Y54">
            <v>5082.5430930000002</v>
          </cell>
          <cell r="Z54">
            <v>5196.2892810000003</v>
          </cell>
          <cell r="AA54">
            <v>5323.8506779999998</v>
          </cell>
          <cell r="AB54">
            <v>5466.3066170000002</v>
          </cell>
          <cell r="AC54">
            <v>5558.8688330000004</v>
          </cell>
          <cell r="AD54">
            <v>5649.7288070000004</v>
          </cell>
          <cell r="AE54">
            <v>5748.3343969999996</v>
          </cell>
          <cell r="AF54">
            <v>5852.8849689999997</v>
          </cell>
          <cell r="AG54">
            <v>5958.6976539999996</v>
          </cell>
          <cell r="AH54">
            <v>6063.6756990000003</v>
          </cell>
          <cell r="AI54">
            <v>6166.2182640000001</v>
          </cell>
          <cell r="AJ54">
            <v>6265.0911930000002</v>
          </cell>
          <cell r="AK54">
            <v>6359.3868590000002</v>
          </cell>
        </row>
        <row r="55">
          <cell r="B55">
            <v>1343.6723689999999</v>
          </cell>
          <cell r="C55">
            <v>1365.098741</v>
          </cell>
          <cell r="D55">
            <v>1386.066296</v>
          </cell>
          <cell r="E55">
            <v>1408.9719279999999</v>
          </cell>
          <cell r="F55">
            <v>1430.180204</v>
          </cell>
          <cell r="G55">
            <v>1451.702072</v>
          </cell>
          <cell r="H55">
            <v>1783.135012</v>
          </cell>
          <cell r="I55">
            <v>2156.550898</v>
          </cell>
          <cell r="J55">
            <v>2568.9740320000001</v>
          </cell>
          <cell r="K55">
            <v>3022.3511749999998</v>
          </cell>
          <cell r="L55">
            <v>3518.6978880000001</v>
          </cell>
          <cell r="M55">
            <v>3690.7172399999999</v>
          </cell>
          <cell r="N55">
            <v>3849.5231739999999</v>
          </cell>
          <cell r="O55">
            <v>4002.5663599999998</v>
          </cell>
          <cell r="P55">
            <v>4152.2821400000003</v>
          </cell>
          <cell r="Q55">
            <v>4300.1405240000004</v>
          </cell>
          <cell r="R55">
            <v>4379.8842910000003</v>
          </cell>
          <cell r="S55">
            <v>4455.9638089999999</v>
          </cell>
          <cell r="T55">
            <v>4531.1688359999998</v>
          </cell>
          <cell r="U55">
            <v>4608.7491680000003</v>
          </cell>
          <cell r="V55">
            <v>4691.2911969999996</v>
          </cell>
          <cell r="W55">
            <v>4782.324584</v>
          </cell>
          <cell r="X55">
            <v>4884.5835280000001</v>
          </cell>
          <cell r="Y55">
            <v>5000.4111059999996</v>
          </cell>
          <cell r="Z55">
            <v>5131.6171350000004</v>
          </cell>
          <cell r="AA55">
            <v>5278.4890670000004</v>
          </cell>
          <cell r="AB55">
            <v>5438.5399820000002</v>
          </cell>
          <cell r="AC55">
            <v>5547.979327</v>
          </cell>
          <cell r="AD55">
            <v>5656.0206820000003</v>
          </cell>
          <cell r="AE55">
            <v>5773.8596690000004</v>
          </cell>
          <cell r="AF55">
            <v>5901.2513909999998</v>
          </cell>
          <cell r="AG55">
            <v>6035.4297340000003</v>
          </cell>
          <cell r="AH55">
            <v>6173.722855</v>
          </cell>
          <cell r="AI55">
            <v>6313.9662799999996</v>
          </cell>
          <cell r="AJ55">
            <v>6454.5179740000003</v>
          </cell>
          <cell r="AK55">
            <v>6594.1258529999996</v>
          </cell>
        </row>
        <row r="56">
          <cell r="B56">
            <v>1220.7339589999999</v>
          </cell>
          <cell r="C56">
            <v>1240.19994</v>
          </cell>
          <cell r="D56">
            <v>1259.249082</v>
          </cell>
          <cell r="E56">
            <v>1280.0589789999999</v>
          </cell>
          <cell r="F56">
            <v>1299.326818</v>
          </cell>
          <cell r="G56">
            <v>1318.879557</v>
          </cell>
          <cell r="H56">
            <v>1138.2753419999999</v>
          </cell>
          <cell r="I56">
            <v>945.41167849999999</v>
          </cell>
          <cell r="J56">
            <v>730.77833229999999</v>
          </cell>
          <cell r="K56">
            <v>491.14108809999999</v>
          </cell>
          <cell r="L56">
            <v>217.6095517</v>
          </cell>
          <cell r="M56">
            <v>227.24922620000001</v>
          </cell>
          <cell r="N56">
            <v>235.17694460000001</v>
          </cell>
          <cell r="O56">
            <v>242.3536296</v>
          </cell>
          <cell r="P56">
            <v>249.2255408</v>
          </cell>
          <cell r="Q56">
            <v>255.9791831</v>
          </cell>
          <cell r="R56">
            <v>268.00004710000002</v>
          </cell>
          <cell r="S56">
            <v>280.24009610000002</v>
          </cell>
          <cell r="T56">
            <v>292.76262580000002</v>
          </cell>
          <cell r="U56">
            <v>305.6877566</v>
          </cell>
          <cell r="V56">
            <v>319.20026139999999</v>
          </cell>
          <cell r="W56">
            <v>333.41631219999999</v>
          </cell>
          <cell r="X56">
            <v>348.74495009999998</v>
          </cell>
          <cell r="Y56">
            <v>365.52352330000002</v>
          </cell>
          <cell r="Z56">
            <v>384.00236869999998</v>
          </cell>
          <cell r="AA56">
            <v>404.27116860000001</v>
          </cell>
          <cell r="AB56">
            <v>415.0886825</v>
          </cell>
          <cell r="AC56">
            <v>422.11747380000003</v>
          </cell>
          <cell r="AD56">
            <v>429.01700390000002</v>
          </cell>
          <cell r="AE56">
            <v>436.50470389999998</v>
          </cell>
          <cell r="AF56">
            <v>444.44384129999997</v>
          </cell>
          <cell r="AG56">
            <v>452.47881840000002</v>
          </cell>
          <cell r="AH56">
            <v>460.45041620000001</v>
          </cell>
          <cell r="AI56">
            <v>468.23707389999998</v>
          </cell>
          <cell r="AJ56">
            <v>475.74507460000001</v>
          </cell>
          <cell r="AK56">
            <v>482.9054969</v>
          </cell>
        </row>
        <row r="57">
          <cell r="B57">
            <v>1220.7339589999999</v>
          </cell>
          <cell r="C57">
            <v>1240.19994</v>
          </cell>
          <cell r="D57">
            <v>1259.249082</v>
          </cell>
          <cell r="E57">
            <v>1280.058978</v>
          </cell>
          <cell r="F57">
            <v>1299.326818</v>
          </cell>
          <cell r="G57">
            <v>1318.879557</v>
          </cell>
          <cell r="H57">
            <v>1138.5868270000001</v>
          </cell>
          <cell r="I57">
            <v>944.84417559999997</v>
          </cell>
          <cell r="J57">
            <v>728.23350989999994</v>
          </cell>
          <cell r="K57">
            <v>485.10424160000002</v>
          </cell>
          <cell r="L57">
            <v>212.50345759999999</v>
          </cell>
          <cell r="M57">
            <v>220.99107190000001</v>
          </cell>
          <cell r="N57">
            <v>228.53400360000001</v>
          </cell>
          <cell r="O57">
            <v>235.59299060000001</v>
          </cell>
          <cell r="P57">
            <v>242.3207553</v>
          </cell>
          <cell r="Q57">
            <v>248.8091464</v>
          </cell>
          <cell r="R57">
            <v>260.40699840000002</v>
          </cell>
          <cell r="S57">
            <v>272.23125809999999</v>
          </cell>
          <cell r="T57">
            <v>284.45456059999998</v>
          </cell>
          <cell r="U57">
            <v>297.29804250000001</v>
          </cell>
          <cell r="V57">
            <v>310.96226410000003</v>
          </cell>
          <cell r="W57">
            <v>325.73218209999999</v>
          </cell>
          <cell r="X57">
            <v>341.86566210000001</v>
          </cell>
          <cell r="Y57">
            <v>359.61680050000001</v>
          </cell>
          <cell r="Z57">
            <v>379.22313960000002</v>
          </cell>
          <cell r="AA57">
            <v>400.82659580000001</v>
          </cell>
          <cell r="AB57">
            <v>412.98019929999998</v>
          </cell>
          <cell r="AC57">
            <v>421.29056980000001</v>
          </cell>
          <cell r="AD57">
            <v>429.4947828</v>
          </cell>
          <cell r="AE57">
            <v>438.44298739999999</v>
          </cell>
          <cell r="AF57">
            <v>448.11658699999998</v>
          </cell>
          <cell r="AG57">
            <v>458.30553470000001</v>
          </cell>
          <cell r="AH57">
            <v>468.80694140000003</v>
          </cell>
          <cell r="AI57">
            <v>479.45644629999998</v>
          </cell>
          <cell r="AJ57">
            <v>490.12935970000001</v>
          </cell>
          <cell r="AK57">
            <v>500.73060379999998</v>
          </cell>
        </row>
        <row r="58">
          <cell r="B58">
            <v>2402.383139</v>
          </cell>
          <cell r="C58">
            <v>2440.6880740000001</v>
          </cell>
          <cell r="D58">
            <v>2478.1763959999998</v>
          </cell>
          <cell r="E58">
            <v>2519.1298449999999</v>
          </cell>
          <cell r="F58">
            <v>2557.0485589999998</v>
          </cell>
          <cell r="G58">
            <v>2595.5279479999999</v>
          </cell>
          <cell r="H58">
            <v>3879.805417</v>
          </cell>
          <cell r="I58">
            <v>5318.7043860000003</v>
          </cell>
          <cell r="J58">
            <v>6927.9296690000001</v>
          </cell>
          <cell r="K58">
            <v>8764.7555940000002</v>
          </cell>
          <cell r="L58">
            <v>10840.01405</v>
          </cell>
          <cell r="M58">
            <v>12190.91995</v>
          </cell>
          <cell r="N58">
            <v>13586.60612</v>
          </cell>
          <cell r="O58">
            <v>15078.14603</v>
          </cell>
          <cell r="P58">
            <v>16698.33383</v>
          </cell>
          <cell r="Q58">
            <v>18470.022150000001</v>
          </cell>
          <cell r="R58">
            <v>20135.139469999998</v>
          </cell>
          <cell r="S58">
            <v>21923.356680000001</v>
          </cell>
          <cell r="T58">
            <v>23847.860059999999</v>
          </cell>
          <cell r="U58">
            <v>25927.988789999999</v>
          </cell>
          <cell r="V58">
            <v>28191.035479999999</v>
          </cell>
          <cell r="W58">
            <v>30661.375789999998</v>
          </cell>
          <cell r="X58">
            <v>33394.098709999998</v>
          </cell>
          <cell r="Y58">
            <v>36444.67944</v>
          </cell>
          <cell r="Z58">
            <v>39866.64705</v>
          </cell>
          <cell r="AA58">
            <v>43702.429629999999</v>
          </cell>
          <cell r="AB58">
            <v>44871.822059999999</v>
          </cell>
          <cell r="AC58">
            <v>45631.646849999997</v>
          </cell>
          <cell r="AD58">
            <v>46377.498269999996</v>
          </cell>
          <cell r="AE58">
            <v>47186.931920000003</v>
          </cell>
          <cell r="AF58">
            <v>48045.166729999997</v>
          </cell>
          <cell r="AG58">
            <v>48913.761989999999</v>
          </cell>
          <cell r="AH58">
            <v>49775.505839999998</v>
          </cell>
          <cell r="AI58">
            <v>50617.25733</v>
          </cell>
          <cell r="AJ58">
            <v>51428.88551</v>
          </cell>
          <cell r="AK58">
            <v>52202.939839999999</v>
          </cell>
        </row>
        <row r="59">
          <cell r="B59">
            <v>2402.3831380000001</v>
          </cell>
          <cell r="C59">
            <v>2440.6880729999998</v>
          </cell>
          <cell r="D59">
            <v>2478.176395</v>
          </cell>
          <cell r="E59">
            <v>2519.1298449999999</v>
          </cell>
          <cell r="F59">
            <v>2557.048558</v>
          </cell>
          <cell r="G59">
            <v>2595.5279479999999</v>
          </cell>
          <cell r="H59">
            <v>3880.8671129999998</v>
          </cell>
          <cell r="I59">
            <v>5315.511724</v>
          </cell>
          <cell r="J59">
            <v>6903.804228</v>
          </cell>
          <cell r="K59">
            <v>8657.0238549999995</v>
          </cell>
          <cell r="L59">
            <v>10585.658799999999</v>
          </cell>
          <cell r="M59">
            <v>11855.197529999999</v>
          </cell>
          <cell r="N59">
            <v>13202.83116</v>
          </cell>
          <cell r="O59">
            <v>14657.52967</v>
          </cell>
          <cell r="P59">
            <v>16235.707039999999</v>
          </cell>
          <cell r="Q59">
            <v>17952.67252</v>
          </cell>
          <cell r="R59">
            <v>19564.66534</v>
          </cell>
          <cell r="S59">
            <v>21296.820309999999</v>
          </cell>
          <cell r="T59">
            <v>23171.101630000001</v>
          </cell>
          <cell r="U59">
            <v>25216.385490000001</v>
          </cell>
          <cell r="V59">
            <v>27463.474450000002</v>
          </cell>
          <cell r="W59">
            <v>29954.733700000001</v>
          </cell>
          <cell r="X59">
            <v>32735.37197</v>
          </cell>
          <cell r="Y59">
            <v>35855.747109999997</v>
          </cell>
          <cell r="Z59">
            <v>39370.473440000002</v>
          </cell>
          <cell r="AA59">
            <v>43330.065199999997</v>
          </cell>
          <cell r="AB59">
            <v>44643.891280000003</v>
          </cell>
          <cell r="AC59">
            <v>45542.257060000004</v>
          </cell>
          <cell r="AD59">
            <v>46429.147019999997</v>
          </cell>
          <cell r="AE59">
            <v>47396.463790000002</v>
          </cell>
          <cell r="AF59">
            <v>48442.197050000002</v>
          </cell>
          <cell r="AG59">
            <v>49543.640350000001</v>
          </cell>
          <cell r="AH59">
            <v>50678.861019999997</v>
          </cell>
          <cell r="AI59">
            <v>51830.091359999999</v>
          </cell>
          <cell r="AJ59">
            <v>52983.852220000001</v>
          </cell>
          <cell r="AK59">
            <v>54129.865489999996</v>
          </cell>
        </row>
        <row r="60">
          <cell r="B60">
            <v>873.35802699999999</v>
          </cell>
          <cell r="C60">
            <v>887.28470619999996</v>
          </cell>
          <cell r="D60">
            <v>900.91316429999995</v>
          </cell>
          <cell r="E60">
            <v>915.80133039999998</v>
          </cell>
          <cell r="F60">
            <v>929.58625219999999</v>
          </cell>
          <cell r="G60">
            <v>943.57500159999995</v>
          </cell>
          <cell r="H60">
            <v>1533.986484</v>
          </cell>
          <cell r="I60">
            <v>2194.074826</v>
          </cell>
          <cell r="J60">
            <v>2932.1424189999998</v>
          </cell>
          <cell r="K60">
            <v>3773.8049540000002</v>
          </cell>
          <cell r="L60">
            <v>4725.1343310000002</v>
          </cell>
          <cell r="M60">
            <v>5351.0902699999997</v>
          </cell>
          <cell r="N60">
            <v>6005.3492139999998</v>
          </cell>
          <cell r="O60">
            <v>6711.1463620000004</v>
          </cell>
          <cell r="P60">
            <v>7484.1655940000001</v>
          </cell>
          <cell r="Q60">
            <v>8336.0276959999992</v>
          </cell>
          <cell r="R60">
            <v>9495.8183210000007</v>
          </cell>
          <cell r="S60">
            <v>10803.65797</v>
          </cell>
          <cell r="T60">
            <v>12280.023929999999</v>
          </cell>
          <cell r="U60">
            <v>13950.9779</v>
          </cell>
          <cell r="V60">
            <v>15850.13154</v>
          </cell>
          <cell r="W60">
            <v>18013.55802</v>
          </cell>
          <cell r="X60">
            <v>20500.460330000002</v>
          </cell>
          <cell r="Y60">
            <v>23378.360069999999</v>
          </cell>
          <cell r="Z60">
            <v>26722.41115</v>
          </cell>
          <cell r="AA60">
            <v>30609.591570000001</v>
          </cell>
          <cell r="AB60">
            <v>31428.645</v>
          </cell>
          <cell r="AC60">
            <v>31960.833409999999</v>
          </cell>
          <cell r="AD60">
            <v>32483.23474</v>
          </cell>
          <cell r="AE60">
            <v>33050.169650000003</v>
          </cell>
          <cell r="AF60">
            <v>33651.285369999998</v>
          </cell>
          <cell r="AG60">
            <v>34259.657630000002</v>
          </cell>
          <cell r="AH60">
            <v>34863.231110000001</v>
          </cell>
          <cell r="AI60">
            <v>35452.801749999999</v>
          </cell>
          <cell r="AJ60">
            <v>36021.273739999997</v>
          </cell>
          <cell r="AK60">
            <v>36563.428650000002</v>
          </cell>
        </row>
        <row r="61">
          <cell r="B61">
            <v>873.35802690000003</v>
          </cell>
          <cell r="C61">
            <v>887.28470600000003</v>
          </cell>
          <cell r="D61">
            <v>900.91316400000005</v>
          </cell>
          <cell r="E61">
            <v>915.80133009999997</v>
          </cell>
          <cell r="F61">
            <v>929.58625199999994</v>
          </cell>
          <cell r="G61">
            <v>943.57500140000002</v>
          </cell>
          <cell r="H61">
            <v>1534.4062550000001</v>
          </cell>
          <cell r="I61">
            <v>2192.757787</v>
          </cell>
          <cell r="J61">
            <v>2921.9316869999998</v>
          </cell>
          <cell r="K61">
            <v>3727.4193399999999</v>
          </cell>
          <cell r="L61">
            <v>4614.2615290000003</v>
          </cell>
          <cell r="M61">
            <v>5203.7280579999997</v>
          </cell>
          <cell r="N61">
            <v>5835.718723</v>
          </cell>
          <cell r="O61">
            <v>6523.9338260000004</v>
          </cell>
          <cell r="P61">
            <v>7276.8170300000002</v>
          </cell>
          <cell r="Q61">
            <v>8102.5336139999999</v>
          </cell>
          <cell r="R61">
            <v>9226.7802680000004</v>
          </cell>
          <cell r="S61">
            <v>10494.90576</v>
          </cell>
          <cell r="T61">
            <v>11931.539430000001</v>
          </cell>
          <cell r="U61">
            <v>13568.08813</v>
          </cell>
          <cell r="V61">
            <v>15441.06753</v>
          </cell>
          <cell r="W61">
            <v>17598.405790000001</v>
          </cell>
          <cell r="X61">
            <v>20096.071479999999</v>
          </cell>
          <cell r="Y61">
            <v>23000.574550000001</v>
          </cell>
          <cell r="Z61">
            <v>26389.8285</v>
          </cell>
          <cell r="AA61">
            <v>30348.784039999999</v>
          </cell>
          <cell r="AB61">
            <v>31269.00014</v>
          </cell>
          <cell r="AC61">
            <v>31898.223959999999</v>
          </cell>
          <cell r="AD61">
            <v>32519.41</v>
          </cell>
          <cell r="AE61">
            <v>33196.927739999999</v>
          </cell>
          <cell r="AF61">
            <v>33929.369129999999</v>
          </cell>
          <cell r="AG61">
            <v>34700.83034</v>
          </cell>
          <cell r="AH61">
            <v>35495.949549999998</v>
          </cell>
          <cell r="AI61">
            <v>36302.282079999997</v>
          </cell>
          <cell r="AJ61">
            <v>37110.387000000002</v>
          </cell>
          <cell r="AK61">
            <v>37913.065439999998</v>
          </cell>
        </row>
        <row r="62">
          <cell r="B62">
            <v>6723.2422200000001</v>
          </cell>
          <cell r="C62">
            <v>6830.4519030000001</v>
          </cell>
          <cell r="D62">
            <v>6935.3658349999996</v>
          </cell>
          <cell r="E62">
            <v>7049.9771909999999</v>
          </cell>
          <cell r="F62">
            <v>7156.0956040000001</v>
          </cell>
          <cell r="G62">
            <v>7263.7831130000004</v>
          </cell>
          <cell r="H62">
            <v>7301.6186950000001</v>
          </cell>
          <cell r="I62">
            <v>7384.4923570000001</v>
          </cell>
          <cell r="J62">
            <v>7481.7008429999996</v>
          </cell>
          <cell r="K62">
            <v>7615.5051750000002</v>
          </cell>
          <cell r="L62">
            <v>7754.7792849999996</v>
          </cell>
          <cell r="M62">
            <v>8149.6125949999996</v>
          </cell>
          <cell r="N62">
            <v>8487.3548289999999</v>
          </cell>
          <cell r="O62">
            <v>8801.7738860000009</v>
          </cell>
          <cell r="P62">
            <v>9108.6977299999999</v>
          </cell>
          <cell r="Q62">
            <v>9414.8077510000003</v>
          </cell>
          <cell r="R62">
            <v>9957.5864849999998</v>
          </cell>
          <cell r="S62">
            <v>10518.695900000001</v>
          </cell>
          <cell r="T62">
            <v>11100.9378</v>
          </cell>
          <cell r="U62">
            <v>11709.39589</v>
          </cell>
          <cell r="V62">
            <v>12351.85238</v>
          </cell>
          <cell r="W62">
            <v>13033.71161</v>
          </cell>
          <cell r="X62">
            <v>13772.14545</v>
          </cell>
          <cell r="Y62">
            <v>14582.145049999999</v>
          </cell>
          <cell r="Z62">
            <v>15475.774579999999</v>
          </cell>
          <cell r="AA62">
            <v>16459.008559999998</v>
          </cell>
          <cell r="AB62">
            <v>16899.41977</v>
          </cell>
          <cell r="AC62">
            <v>17185.5815</v>
          </cell>
          <cell r="AD62">
            <v>17466.480640000002</v>
          </cell>
          <cell r="AE62">
            <v>17771.325830000002</v>
          </cell>
          <cell r="AF62">
            <v>18094.550289999999</v>
          </cell>
          <cell r="AG62">
            <v>18421.676650000001</v>
          </cell>
          <cell r="AH62">
            <v>18746.222659999999</v>
          </cell>
          <cell r="AI62">
            <v>19063.239249999999</v>
          </cell>
          <cell r="AJ62">
            <v>19368.910929999998</v>
          </cell>
          <cell r="AK62">
            <v>19660.43172</v>
          </cell>
        </row>
        <row r="63">
          <cell r="B63">
            <v>6723.2422189999997</v>
          </cell>
          <cell r="C63">
            <v>6830.4519019999998</v>
          </cell>
          <cell r="D63">
            <v>6935.3658340000002</v>
          </cell>
          <cell r="E63">
            <v>7049.9771890000002</v>
          </cell>
          <cell r="F63">
            <v>7156.0956020000003</v>
          </cell>
          <cell r="G63">
            <v>7263.7831120000001</v>
          </cell>
          <cell r="H63">
            <v>7303.6167580000001</v>
          </cell>
          <cell r="I63">
            <v>7380.059663</v>
          </cell>
          <cell r="J63">
            <v>7455.6469790000001</v>
          </cell>
          <cell r="K63">
            <v>7521.8994130000001</v>
          </cell>
          <cell r="L63">
            <v>7572.8174499999996</v>
          </cell>
          <cell r="M63">
            <v>7925.1826410000003</v>
          </cell>
          <cell r="N63">
            <v>8247.6162029999996</v>
          </cell>
          <cell r="O63">
            <v>8556.241704</v>
          </cell>
          <cell r="P63">
            <v>8856.3415559999994</v>
          </cell>
          <cell r="Q63">
            <v>9151.0967880000007</v>
          </cell>
          <cell r="R63">
            <v>9675.465494</v>
          </cell>
          <cell r="S63">
            <v>10218.08748</v>
          </cell>
          <cell r="T63">
            <v>10785.91359</v>
          </cell>
          <cell r="U63">
            <v>11388.027169999999</v>
          </cell>
          <cell r="V63">
            <v>12033.0728</v>
          </cell>
          <cell r="W63">
            <v>12733.32818</v>
          </cell>
          <cell r="X63">
            <v>13500.478279999999</v>
          </cell>
          <cell r="Y63">
            <v>14346.503059999999</v>
          </cell>
          <cell r="Z63">
            <v>15283.16569</v>
          </cell>
          <cell r="AA63">
            <v>16318.77038</v>
          </cell>
          <cell r="AB63">
            <v>16813.577529999999</v>
          </cell>
          <cell r="AC63">
            <v>17151.915929999999</v>
          </cell>
          <cell r="AD63">
            <v>17485.932349999999</v>
          </cell>
          <cell r="AE63">
            <v>17850.23876</v>
          </cell>
          <cell r="AF63">
            <v>18244.078020000001</v>
          </cell>
          <cell r="AG63">
            <v>18658.898539999998</v>
          </cell>
          <cell r="AH63">
            <v>19086.440149999999</v>
          </cell>
          <cell r="AI63">
            <v>19520.01124</v>
          </cell>
          <cell r="AJ63">
            <v>19954.535360000002</v>
          </cell>
          <cell r="AK63">
            <v>20386.141619999999</v>
          </cell>
        </row>
        <row r="64">
          <cell r="B64">
            <v>7910.8118260000001</v>
          </cell>
          <cell r="C64">
            <v>8017.1560820000004</v>
          </cell>
          <cell r="D64">
            <v>8125.0686740000001</v>
          </cell>
          <cell r="E64">
            <v>8239.7619589999995</v>
          </cell>
          <cell r="F64">
            <v>8350.2748260000008</v>
          </cell>
          <cell r="G64">
            <v>8468.0335059999998</v>
          </cell>
          <cell r="H64">
            <v>9490.0501490000006</v>
          </cell>
          <cell r="I64">
            <v>10635.23847</v>
          </cell>
          <cell r="J64">
            <v>11898.033380000001</v>
          </cell>
          <cell r="K64">
            <v>13328.77765</v>
          </cell>
          <cell r="L64">
            <v>14925.7415</v>
          </cell>
          <cell r="M64">
            <v>16083.867620000001</v>
          </cell>
          <cell r="N64">
            <v>17276.936659999999</v>
          </cell>
          <cell r="O64">
            <v>18559.563910000001</v>
          </cell>
          <cell r="P64">
            <v>19961.124800000001</v>
          </cell>
          <cell r="Q64">
            <v>21500.202430000001</v>
          </cell>
          <cell r="R64">
            <v>23606.586719999999</v>
          </cell>
          <cell r="S64">
            <v>25899.673610000002</v>
          </cell>
          <cell r="T64">
            <v>28373.255109999998</v>
          </cell>
          <cell r="U64">
            <v>31025.417440000001</v>
          </cell>
          <cell r="V64">
            <v>33857.70882</v>
          </cell>
          <cell r="W64">
            <v>36878.478490000001</v>
          </cell>
          <cell r="X64">
            <v>40124.534070000002</v>
          </cell>
          <cell r="Y64">
            <v>43633.543720000001</v>
          </cell>
          <cell r="Z64">
            <v>47442.512119999999</v>
          </cell>
          <cell r="AA64">
            <v>51568.090250000001</v>
          </cell>
          <cell r="AB64">
            <v>52865.248460000003</v>
          </cell>
          <cell r="AC64">
            <v>53725.428460000003</v>
          </cell>
          <cell r="AD64">
            <v>54568.831270000002</v>
          </cell>
          <cell r="AE64">
            <v>55475.56538</v>
          </cell>
          <cell r="AF64">
            <v>56427.982470000003</v>
          </cell>
          <cell r="AG64">
            <v>57384.324509999999</v>
          </cell>
          <cell r="AH64">
            <v>58327.735249999998</v>
          </cell>
          <cell r="AI64">
            <v>59244.920919999997</v>
          </cell>
          <cell r="AJ64">
            <v>60125.631370000003</v>
          </cell>
          <cell r="AK64">
            <v>60962.468610000004</v>
          </cell>
        </row>
        <row r="65">
          <cell r="B65">
            <v>7910.8118260000001</v>
          </cell>
          <cell r="C65">
            <v>8017.156086</v>
          </cell>
          <cell r="D65">
            <v>8125.0686809999997</v>
          </cell>
          <cell r="E65">
            <v>8239.7619699999996</v>
          </cell>
          <cell r="F65">
            <v>8350.2748410000004</v>
          </cell>
          <cell r="G65">
            <v>8468.0335230000001</v>
          </cell>
          <cell r="H65">
            <v>9483.7562780000007</v>
          </cell>
          <cell r="I65">
            <v>10615.544459999999</v>
          </cell>
          <cell r="J65">
            <v>11856.96514</v>
          </cell>
          <cell r="K65">
            <v>13216.75187</v>
          </cell>
          <cell r="L65">
            <v>14707.45859</v>
          </cell>
          <cell r="M65">
            <v>15834.354289999999</v>
          </cell>
          <cell r="N65">
            <v>17018.85238</v>
          </cell>
          <cell r="O65">
            <v>18290.559639999999</v>
          </cell>
          <cell r="P65">
            <v>19666.305810000002</v>
          </cell>
          <cell r="Q65">
            <v>21161.815019999998</v>
          </cell>
          <cell r="R65">
            <v>23208.141589999999</v>
          </cell>
          <cell r="S65">
            <v>25439.823369999998</v>
          </cell>
          <cell r="T65">
            <v>27858.638859999999</v>
          </cell>
          <cell r="U65">
            <v>30472.335490000001</v>
          </cell>
          <cell r="V65">
            <v>33286.838309999999</v>
          </cell>
          <cell r="W65">
            <v>36330.159590000003</v>
          </cell>
          <cell r="X65">
            <v>39627.753920000003</v>
          </cell>
          <cell r="Y65">
            <v>43212.700060000003</v>
          </cell>
          <cell r="Z65">
            <v>47124.411209999998</v>
          </cell>
          <cell r="AA65">
            <v>51389.416409999998</v>
          </cell>
          <cell r="AB65">
            <v>52849.82849</v>
          </cell>
          <cell r="AC65">
            <v>53869.349170000001</v>
          </cell>
          <cell r="AD65">
            <v>54879.46211</v>
          </cell>
          <cell r="AE65">
            <v>55977.699209999999</v>
          </cell>
          <cell r="AF65">
            <v>57161.151270000002</v>
          </cell>
          <cell r="AG65">
            <v>58404.932439999997</v>
          </cell>
          <cell r="AH65">
            <v>59685.147519999999</v>
          </cell>
          <cell r="AI65">
            <v>60982.444309999999</v>
          </cell>
          <cell r="AJ65">
            <v>62282.096579999998</v>
          </cell>
          <cell r="AK65">
            <v>63572.814160000002</v>
          </cell>
        </row>
        <row r="66">
          <cell r="B66">
            <v>109.8244874</v>
          </cell>
          <cell r="C66">
            <v>111.57576280000001</v>
          </cell>
          <cell r="D66">
            <v>113.289537</v>
          </cell>
          <cell r="E66">
            <v>115.16171900000001</v>
          </cell>
          <cell r="F66">
            <v>116.8951684</v>
          </cell>
          <cell r="G66">
            <v>118.6542491</v>
          </cell>
          <cell r="H66">
            <v>121.6362551</v>
          </cell>
          <cell r="I66">
            <v>125.6116612</v>
          </cell>
          <cell r="J66">
            <v>130.12855250000001</v>
          </cell>
          <cell r="K66">
            <v>135.6423126</v>
          </cell>
          <cell r="L66">
            <v>141.68533619999999</v>
          </cell>
          <cell r="M66">
            <v>147.11134910000001</v>
          </cell>
          <cell r="N66">
            <v>151.66147710000001</v>
          </cell>
          <cell r="O66">
            <v>156.00803869999999</v>
          </cell>
          <cell r="P66">
            <v>160.48185699999999</v>
          </cell>
          <cell r="Q66">
            <v>165.24568059999999</v>
          </cell>
          <cell r="R66">
            <v>169.655742</v>
          </cell>
          <cell r="S66">
            <v>174.51846850000001</v>
          </cell>
          <cell r="T66">
            <v>179.91217779999999</v>
          </cell>
          <cell r="U66">
            <v>185.9574327</v>
          </cell>
          <cell r="V66">
            <v>192.8204054</v>
          </cell>
          <cell r="W66">
            <v>200.63350980000001</v>
          </cell>
          <cell r="X66">
            <v>209.7161682</v>
          </cell>
          <cell r="Y66">
            <v>220.3595747</v>
          </cell>
          <cell r="Z66">
            <v>232.82451040000001</v>
          </cell>
          <cell r="AA66">
            <v>247.30135949999999</v>
          </cell>
          <cell r="AB66">
            <v>253.91866519999999</v>
          </cell>
          <cell r="AC66">
            <v>258.2183278</v>
          </cell>
          <cell r="AD66">
            <v>262.43891860000002</v>
          </cell>
          <cell r="AE66">
            <v>267.0193056</v>
          </cell>
          <cell r="AF66">
            <v>271.87584650000002</v>
          </cell>
          <cell r="AG66">
            <v>276.79101459999998</v>
          </cell>
          <cell r="AH66">
            <v>281.66741230000002</v>
          </cell>
          <cell r="AI66">
            <v>286.430678</v>
          </cell>
          <cell r="AJ66">
            <v>291.02348339999998</v>
          </cell>
          <cell r="AK66">
            <v>295.40366749999998</v>
          </cell>
        </row>
        <row r="67">
          <cell r="B67">
            <v>109.8244874</v>
          </cell>
          <cell r="C67">
            <v>111.57576280000001</v>
          </cell>
          <cell r="D67">
            <v>113.2895369</v>
          </cell>
          <cell r="E67">
            <v>115.16171900000001</v>
          </cell>
          <cell r="F67">
            <v>116.8951684</v>
          </cell>
          <cell r="G67">
            <v>118.6542491</v>
          </cell>
          <cell r="H67">
            <v>121.6695405</v>
          </cell>
          <cell r="I67">
            <v>125.5362602</v>
          </cell>
          <cell r="J67">
            <v>129.6754</v>
          </cell>
          <cell r="K67">
            <v>133.97506910000001</v>
          </cell>
          <cell r="L67">
            <v>138.36076399999999</v>
          </cell>
          <cell r="M67">
            <v>143.06008979999999</v>
          </cell>
          <cell r="N67">
            <v>147.3775613</v>
          </cell>
          <cell r="O67">
            <v>151.6560757</v>
          </cell>
          <cell r="P67">
            <v>156.03571239999999</v>
          </cell>
          <cell r="Q67">
            <v>160.6171105</v>
          </cell>
          <cell r="R67">
            <v>164.8490104</v>
          </cell>
          <cell r="S67">
            <v>169.53099460000001</v>
          </cell>
          <cell r="T67">
            <v>174.80660090000001</v>
          </cell>
          <cell r="U67">
            <v>180.8537618</v>
          </cell>
          <cell r="V67">
            <v>187.84405000000001</v>
          </cell>
          <cell r="W67">
            <v>196.00957890000001</v>
          </cell>
          <cell r="X67">
            <v>205.57934</v>
          </cell>
          <cell r="Y67">
            <v>216.79864670000001</v>
          </cell>
          <cell r="Z67">
            <v>229.9268155</v>
          </cell>
          <cell r="AA67">
            <v>245.19424029999999</v>
          </cell>
          <cell r="AB67">
            <v>252.62886069999999</v>
          </cell>
          <cell r="AC67">
            <v>257.71249289999997</v>
          </cell>
          <cell r="AD67">
            <v>262.73118620000002</v>
          </cell>
          <cell r="AE67">
            <v>268.20499519999998</v>
          </cell>
          <cell r="AF67">
            <v>274.122544</v>
          </cell>
          <cell r="AG67">
            <v>280.35534209999997</v>
          </cell>
          <cell r="AH67">
            <v>286.77927820000002</v>
          </cell>
          <cell r="AI67">
            <v>293.2938092</v>
          </cell>
          <cell r="AJ67">
            <v>299.82265960000001</v>
          </cell>
          <cell r="AK67">
            <v>306.30766840000001</v>
          </cell>
        </row>
      </sheetData>
      <sheetData sheetId="2">
        <row r="2">
          <cell r="B2">
            <v>5223771.5789999999</v>
          </cell>
          <cell r="C2">
            <v>5286303.6339999996</v>
          </cell>
          <cell r="D2">
            <v>5353313.9970000004</v>
          </cell>
          <cell r="E2">
            <v>5425722.7390000001</v>
          </cell>
          <cell r="F2">
            <v>5504253.0010000002</v>
          </cell>
          <cell r="G2">
            <v>5589449.6519999998</v>
          </cell>
          <cell r="H2">
            <v>5681833.523</v>
          </cell>
          <cell r="I2">
            <v>5780593.4560000002</v>
          </cell>
          <cell r="J2">
            <v>5885537.591</v>
          </cell>
          <cell r="K2">
            <v>5998278.5149999997</v>
          </cell>
          <cell r="L2">
            <v>6119471.8959999997</v>
          </cell>
          <cell r="M2">
            <v>6248367.5779999997</v>
          </cell>
          <cell r="N2">
            <v>6383756.6310000001</v>
          </cell>
          <cell r="O2">
            <v>6524552.557</v>
          </cell>
          <cell r="P2">
            <v>6670073.8430000003</v>
          </cell>
          <cell r="Q2">
            <v>6820016.3150000004</v>
          </cell>
          <cell r="R2">
            <v>6974247.6200000001</v>
          </cell>
          <cell r="S2">
            <v>7132961.3899999997</v>
          </cell>
          <cell r="T2">
            <v>7296622.9539999999</v>
          </cell>
          <cell r="U2">
            <v>7465901.2999999998</v>
          </cell>
          <cell r="V2">
            <v>7641527.6780000003</v>
          </cell>
          <cell r="W2">
            <v>7824412.4450000003</v>
          </cell>
          <cell r="X2">
            <v>8015569.9649999999</v>
          </cell>
          <cell r="Y2">
            <v>8216098.3229999999</v>
          </cell>
          <cell r="Z2">
            <v>8427135.8939999994</v>
          </cell>
          <cell r="AA2">
            <v>8649690.8849999998</v>
          </cell>
          <cell r="AB2">
            <v>8883778.2750000004</v>
          </cell>
          <cell r="AC2">
            <v>9129486.7850000001</v>
          </cell>
          <cell r="AD2">
            <v>9387173.6840000004</v>
          </cell>
          <cell r="AE2">
            <v>9657296.2760000005</v>
          </cell>
          <cell r="AF2">
            <v>9940235.4069999997</v>
          </cell>
          <cell r="AG2">
            <v>10236228.35</v>
          </cell>
          <cell r="AH2">
            <v>10545346.75</v>
          </cell>
          <cell r="AI2">
            <v>10867501.48</v>
          </cell>
          <cell r="AJ2">
            <v>11202443.42</v>
          </cell>
          <cell r="AK2">
            <v>11549760.26</v>
          </cell>
        </row>
        <row r="3">
          <cell r="B3">
            <v>5223771.5789999999</v>
          </cell>
          <cell r="C3">
            <v>5286303.6339999996</v>
          </cell>
          <cell r="D3">
            <v>5353313.9970000004</v>
          </cell>
          <cell r="E3">
            <v>5425722.7390000001</v>
          </cell>
          <cell r="F3">
            <v>5504253.0010000002</v>
          </cell>
          <cell r="G3">
            <v>5589449.6509999996</v>
          </cell>
          <cell r="H3">
            <v>5681718.852</v>
          </cell>
          <cell r="I3">
            <v>5781298.682</v>
          </cell>
          <cell r="J3">
            <v>5888368.3830000004</v>
          </cell>
          <cell r="K3">
            <v>6003107.2939999998</v>
          </cell>
          <cell r="L3">
            <v>6125491.301</v>
          </cell>
          <cell r="M3">
            <v>6254401.9960000003</v>
          </cell>
          <cell r="N3">
            <v>6388626.091</v>
          </cell>
          <cell r="O3">
            <v>6527151.5899999999</v>
          </cell>
          <cell r="P3">
            <v>6669274.0769999996</v>
          </cell>
          <cell r="Q3">
            <v>6814605.2170000002</v>
          </cell>
          <cell r="R3">
            <v>6963205.0609999998</v>
          </cell>
          <cell r="S3">
            <v>7115472.3300000001</v>
          </cell>
          <cell r="T3">
            <v>7272027.0970000001</v>
          </cell>
          <cell r="U3">
            <v>7433605.1969999997</v>
          </cell>
          <cell r="V3">
            <v>7600965.1390000004</v>
          </cell>
          <cell r="W3">
            <v>7774968.5389999999</v>
          </cell>
          <cell r="X3">
            <v>7956576.3600000003</v>
          </cell>
          <cell r="Y3">
            <v>8146824.2920000004</v>
          </cell>
          <cell r="Z3">
            <v>8346769.9380000001</v>
          </cell>
          <cell r="AA3">
            <v>8557323.9609999992</v>
          </cell>
          <cell r="AB3">
            <v>8778352.8100000005</v>
          </cell>
          <cell r="AC3">
            <v>9009844.148</v>
          </cell>
          <cell r="AD3">
            <v>9252073.0889999997</v>
          </cell>
          <cell r="AE3">
            <v>9505418.3770000003</v>
          </cell>
          <cell r="AF3">
            <v>9770184.2559999991</v>
          </cell>
          <cell r="AG3">
            <v>10046534.880000001</v>
          </cell>
          <cell r="AH3">
            <v>10334493.800000001</v>
          </cell>
          <cell r="AI3">
            <v>10633950.58</v>
          </cell>
          <cell r="AJ3">
            <v>10944663.6</v>
          </cell>
          <cell r="AK3">
            <v>11266258.1</v>
          </cell>
        </row>
        <row r="4">
          <cell r="B4">
            <v>47217.16259</v>
          </cell>
          <cell r="C4">
            <v>47788.181700000001</v>
          </cell>
          <cell r="D4">
            <v>48401.461770000002</v>
          </cell>
          <cell r="E4">
            <v>49070.927259999997</v>
          </cell>
          <cell r="F4">
            <v>49803.668299999998</v>
          </cell>
          <cell r="G4">
            <v>50605.359409999997</v>
          </cell>
          <cell r="H4">
            <v>51479.938779999997</v>
          </cell>
          <cell r="I4">
            <v>52422.923119999999</v>
          </cell>
          <cell r="J4">
            <v>53439.912380000002</v>
          </cell>
          <cell r="K4">
            <v>54559.350440000002</v>
          </cell>
          <cell r="L4">
            <v>55803.208379999996</v>
          </cell>
          <cell r="M4">
            <v>57152.275930000003</v>
          </cell>
          <cell r="N4">
            <v>58583.957150000002</v>
          </cell>
          <cell r="O4">
            <v>60079.645669999998</v>
          </cell>
          <cell r="P4">
            <v>61627.210950000001</v>
          </cell>
          <cell r="Q4">
            <v>63220.093180000003</v>
          </cell>
          <cell r="R4">
            <v>64858.069920000002</v>
          </cell>
          <cell r="S4">
            <v>66544.277199999997</v>
          </cell>
          <cell r="T4">
            <v>68284.437149999998</v>
          </cell>
          <cell r="U4">
            <v>70084.463310000006</v>
          </cell>
          <cell r="V4">
            <v>71950.752919999999</v>
          </cell>
          <cell r="W4">
            <v>73887.876369999998</v>
          </cell>
          <cell r="X4">
            <v>75901.622759999998</v>
          </cell>
          <cell r="Y4">
            <v>77998.533119999993</v>
          </cell>
          <cell r="Z4">
            <v>80184.968309999997</v>
          </cell>
          <cell r="AA4">
            <v>82464.029639999993</v>
          </cell>
          <cell r="AB4">
            <v>84834.480200000005</v>
          </cell>
          <cell r="AC4">
            <v>87296.285399999993</v>
          </cell>
          <cell r="AD4">
            <v>89850.63566</v>
          </cell>
          <cell r="AE4">
            <v>92498.398730000001</v>
          </cell>
          <cell r="AF4">
            <v>95238.807379999998</v>
          </cell>
          <cell r="AG4">
            <v>98067.563429999995</v>
          </cell>
          <cell r="AH4">
            <v>100978.9844</v>
          </cell>
          <cell r="AI4">
            <v>103966.3373</v>
          </cell>
          <cell r="AJ4">
            <v>107021.9424</v>
          </cell>
          <cell r="AK4">
            <v>110137.2335</v>
          </cell>
        </row>
        <row r="5">
          <cell r="B5">
            <v>47217.16259</v>
          </cell>
          <cell r="C5">
            <v>47788.181700000001</v>
          </cell>
          <cell r="D5">
            <v>48401.461770000002</v>
          </cell>
          <cell r="E5">
            <v>49070.927250000001</v>
          </cell>
          <cell r="F5">
            <v>49803.668299999998</v>
          </cell>
          <cell r="G5">
            <v>50605.359409999997</v>
          </cell>
          <cell r="H5">
            <v>51479.705439999998</v>
          </cell>
          <cell r="I5">
            <v>52429.476289999999</v>
          </cell>
          <cell r="J5">
            <v>53455.888729999999</v>
          </cell>
          <cell r="K5">
            <v>54559.425909999998</v>
          </cell>
          <cell r="L5">
            <v>55737.627800000002</v>
          </cell>
          <cell r="M5">
            <v>56975.518649999998</v>
          </cell>
          <cell r="N5">
            <v>58257.096149999998</v>
          </cell>
          <cell r="O5">
            <v>59568.489930000003</v>
          </cell>
          <cell r="P5">
            <v>60899.324699999997</v>
          </cell>
          <cell r="Q5">
            <v>62243.010719999998</v>
          </cell>
          <cell r="R5">
            <v>63596.757689999999</v>
          </cell>
          <cell r="S5">
            <v>64961.72653</v>
          </cell>
          <cell r="T5">
            <v>66342.054640000002</v>
          </cell>
          <cell r="U5">
            <v>67743.646609999996</v>
          </cell>
          <cell r="V5">
            <v>69172.794120000006</v>
          </cell>
          <cell r="W5">
            <v>70637.283100000001</v>
          </cell>
          <cell r="X5">
            <v>72145.898010000004</v>
          </cell>
          <cell r="Y5">
            <v>73707.829599999997</v>
          </cell>
          <cell r="Z5">
            <v>75331.870299999995</v>
          </cell>
          <cell r="AA5">
            <v>77023.871840000007</v>
          </cell>
          <cell r="AB5">
            <v>78789.627930000002</v>
          </cell>
          <cell r="AC5">
            <v>80635.47769</v>
          </cell>
          <cell r="AD5">
            <v>82568.070550000004</v>
          </cell>
          <cell r="AE5">
            <v>84592.977280000006</v>
          </cell>
          <cell r="AF5">
            <v>86713.617339999997</v>
          </cell>
          <cell r="AG5">
            <v>88931.176130000007</v>
          </cell>
          <cell r="AH5">
            <v>91244.956619999997</v>
          </cell>
          <cell r="AI5">
            <v>93652.632719999994</v>
          </cell>
          <cell r="AJ5">
            <v>96150.39417</v>
          </cell>
          <cell r="AK5">
            <v>98733.027709999995</v>
          </cell>
        </row>
        <row r="6">
          <cell r="B6">
            <v>1844.8040080000001</v>
          </cell>
          <cell r="C6">
            <v>1864.201135</v>
          </cell>
          <cell r="D6">
            <v>1881.3081099999999</v>
          </cell>
          <cell r="E6">
            <v>1896.066877</v>
          </cell>
          <cell r="F6">
            <v>1908.9919199999999</v>
          </cell>
          <cell r="G6">
            <v>1920.5685000000001</v>
          </cell>
          <cell r="H6">
            <v>1931.7172439999999</v>
          </cell>
          <cell r="I6">
            <v>1942.487488</v>
          </cell>
          <cell r="J6">
            <v>1952.820577</v>
          </cell>
          <cell r="K6">
            <v>1963.076879</v>
          </cell>
          <cell r="L6">
            <v>1973.473639</v>
          </cell>
          <cell r="M6">
            <v>1984.731172</v>
          </cell>
          <cell r="N6">
            <v>1997.4001949999999</v>
          </cell>
          <cell r="O6">
            <v>2011.8504069999999</v>
          </cell>
          <cell r="P6">
            <v>2028.3970400000001</v>
          </cell>
          <cell r="Q6">
            <v>2047.3541499999999</v>
          </cell>
          <cell r="R6">
            <v>2069.2309759999998</v>
          </cell>
          <cell r="S6">
            <v>2094.4842939999999</v>
          </cell>
          <cell r="T6">
            <v>2123.527748</v>
          </cell>
          <cell r="U6">
            <v>2156.7251339999998</v>
          </cell>
          <cell r="V6">
            <v>2194.4060850000001</v>
          </cell>
          <cell r="W6">
            <v>2236.97235</v>
          </cell>
          <cell r="X6">
            <v>2284.8268929999999</v>
          </cell>
          <cell r="Y6">
            <v>2338.3759230000001</v>
          </cell>
          <cell r="Z6">
            <v>2398.0480790000001</v>
          </cell>
          <cell r="AA6">
            <v>2464.2097010000002</v>
          </cell>
          <cell r="AB6">
            <v>2533.5818439999998</v>
          </cell>
          <cell r="AC6">
            <v>2604.044864</v>
          </cell>
          <cell r="AD6">
            <v>2674.757717</v>
          </cell>
          <cell r="AE6">
            <v>2745.4868980000001</v>
          </cell>
          <cell r="AF6">
            <v>2816.1742989999998</v>
          </cell>
          <cell r="AG6">
            <v>2886.758538</v>
          </cell>
          <cell r="AH6">
            <v>2957.139584</v>
          </cell>
          <cell r="AI6">
            <v>3027.1857850000001</v>
          </cell>
          <cell r="AJ6">
            <v>3096.7496099999998</v>
          </cell>
          <cell r="AK6">
            <v>3165.6792139999998</v>
          </cell>
        </row>
        <row r="7">
          <cell r="B7">
            <v>1844.8040080000001</v>
          </cell>
          <cell r="C7">
            <v>1864.201135</v>
          </cell>
          <cell r="D7">
            <v>1881.3081099999999</v>
          </cell>
          <cell r="E7">
            <v>1896.066877</v>
          </cell>
          <cell r="F7">
            <v>1908.9919199999999</v>
          </cell>
          <cell r="G7">
            <v>1920.5685000000001</v>
          </cell>
          <cell r="H7">
            <v>1931.7232939999999</v>
          </cell>
          <cell r="I7">
            <v>1943.0058879999999</v>
          </cell>
          <cell r="J7">
            <v>1954.786087</v>
          </cell>
          <cell r="K7">
            <v>1967.3556390000001</v>
          </cell>
          <cell r="L7">
            <v>1980.975432</v>
          </cell>
          <cell r="M7">
            <v>1995.5763979999999</v>
          </cell>
          <cell r="N7">
            <v>2011.1172529999999</v>
          </cell>
          <cell r="O7">
            <v>2027.660386</v>
          </cell>
          <cell r="P7">
            <v>2045.35268</v>
          </cell>
          <cell r="Q7">
            <v>2064.4003550000002</v>
          </cell>
          <cell r="R7">
            <v>2085.408923</v>
          </cell>
          <cell r="S7">
            <v>2108.8099619999998</v>
          </cell>
          <cell r="T7">
            <v>2134.9315700000002</v>
          </cell>
          <cell r="U7">
            <v>2164.0590440000001</v>
          </cell>
          <cell r="V7">
            <v>2196.4289819999999</v>
          </cell>
          <cell r="W7">
            <v>2232.3248210000002</v>
          </cell>
          <cell r="X7">
            <v>2272.0587810000002</v>
          </cell>
          <cell r="Y7">
            <v>2315.9715139999998</v>
          </cell>
          <cell r="Z7">
            <v>2364.4345720000001</v>
          </cell>
          <cell r="AA7">
            <v>2417.7568809999998</v>
          </cell>
          <cell r="AB7">
            <v>2473.2554049999999</v>
          </cell>
          <cell r="AC7">
            <v>2529.2710419999999</v>
          </cell>
          <cell r="AD7">
            <v>2585.2210289999998</v>
          </cell>
          <cell r="AE7">
            <v>2641.0358019999999</v>
          </cell>
          <cell r="AF7">
            <v>2696.800663</v>
          </cell>
          <cell r="AG7">
            <v>2752.6071339999999</v>
          </cell>
          <cell r="AH7">
            <v>2808.5167059999999</v>
          </cell>
          <cell r="AI7">
            <v>2864.5597929999999</v>
          </cell>
          <cell r="AJ7">
            <v>2920.7423640000002</v>
          </cell>
          <cell r="AK7">
            <v>2977.05159</v>
          </cell>
        </row>
        <row r="8">
          <cell r="B8">
            <v>74526.379499999995</v>
          </cell>
          <cell r="C8">
            <v>75425.121150000006</v>
          </cell>
          <cell r="D8">
            <v>76388.526440000001</v>
          </cell>
          <cell r="E8">
            <v>77436.830319999994</v>
          </cell>
          <cell r="F8">
            <v>78582.242610000001</v>
          </cell>
          <cell r="G8">
            <v>79834.465049999999</v>
          </cell>
          <cell r="H8">
            <v>81199.441890000002</v>
          </cell>
          <cell r="I8">
            <v>82670.525349999996</v>
          </cell>
          <cell r="J8">
            <v>84254.613679999995</v>
          </cell>
          <cell r="K8">
            <v>85987.541419999994</v>
          </cell>
          <cell r="L8">
            <v>87898.599459999998</v>
          </cell>
          <cell r="M8">
            <v>89967.737309999997</v>
          </cell>
          <cell r="N8">
            <v>92167.030570000003</v>
          </cell>
          <cell r="O8">
            <v>94470.606480000002</v>
          </cell>
          <cell r="P8">
            <v>96858.815090000004</v>
          </cell>
          <cell r="Q8">
            <v>99318.366949999996</v>
          </cell>
          <cell r="R8">
            <v>101842.0028</v>
          </cell>
          <cell r="S8">
            <v>104427.79240000001</v>
          </cell>
          <cell r="T8">
            <v>107078.45600000001</v>
          </cell>
          <cell r="U8">
            <v>109800.2349</v>
          </cell>
          <cell r="V8">
            <v>112600.0634</v>
          </cell>
          <cell r="W8">
            <v>115484.7114</v>
          </cell>
          <cell r="X8">
            <v>118463.177</v>
          </cell>
          <cell r="Y8">
            <v>121546.6486</v>
          </cell>
          <cell r="Z8">
            <v>124747.856</v>
          </cell>
          <cell r="AA8">
            <v>128076.3526</v>
          </cell>
          <cell r="AB8">
            <v>131537.5975</v>
          </cell>
          <cell r="AC8">
            <v>135140.7457</v>
          </cell>
          <cell r="AD8">
            <v>138898.87549999999</v>
          </cell>
          <cell r="AE8">
            <v>142827.128</v>
          </cell>
          <cell r="AF8">
            <v>146940.6918</v>
          </cell>
          <cell r="AG8">
            <v>151251.41390000001</v>
          </cell>
          <cell r="AH8">
            <v>155769.5392</v>
          </cell>
          <cell r="AI8">
            <v>160503.56649999999</v>
          </cell>
          <cell r="AJ8">
            <v>165459.89180000001</v>
          </cell>
          <cell r="AK8">
            <v>170642.48939999999</v>
          </cell>
        </row>
        <row r="9">
          <cell r="B9">
            <v>74526.379499999995</v>
          </cell>
          <cell r="C9">
            <v>75425.121140000003</v>
          </cell>
          <cell r="D9">
            <v>76388.526429999998</v>
          </cell>
          <cell r="E9">
            <v>77436.830310000005</v>
          </cell>
          <cell r="F9">
            <v>78582.242580000006</v>
          </cell>
          <cell r="G9">
            <v>79834.465020000003</v>
          </cell>
          <cell r="H9">
            <v>81201.553409999993</v>
          </cell>
          <cell r="I9">
            <v>82689.001550000001</v>
          </cell>
          <cell r="J9">
            <v>84299.977069999994</v>
          </cell>
          <cell r="K9">
            <v>86036.503819999998</v>
          </cell>
          <cell r="L9">
            <v>87897.184089999995</v>
          </cell>
          <cell r="M9">
            <v>89863.277440000005</v>
          </cell>
          <cell r="N9">
            <v>91913.291509999995</v>
          </cell>
          <cell r="O9">
            <v>94027.088499999998</v>
          </cell>
          <cell r="P9">
            <v>96188.122640000001</v>
          </cell>
          <cell r="Q9">
            <v>98384.397490000003</v>
          </cell>
          <cell r="R9">
            <v>100607.44680000001</v>
          </cell>
          <cell r="S9">
            <v>102855.3673</v>
          </cell>
          <cell r="T9">
            <v>105131.0077</v>
          </cell>
          <cell r="U9">
            <v>107440.2012</v>
          </cell>
          <cell r="V9">
            <v>109789.4915</v>
          </cell>
          <cell r="W9">
            <v>112188.4679</v>
          </cell>
          <cell r="X9">
            <v>114648.6247</v>
          </cell>
          <cell r="Y9">
            <v>117182.52959999999</v>
          </cell>
          <cell r="Z9">
            <v>119802.7457</v>
          </cell>
          <cell r="AA9">
            <v>122517.20849999999</v>
          </cell>
          <cell r="AB9">
            <v>125334.16310000001</v>
          </cell>
          <cell r="AC9">
            <v>128262.7568</v>
          </cell>
          <cell r="AD9">
            <v>131312.92610000001</v>
          </cell>
          <cell r="AE9">
            <v>134493.67480000001</v>
          </cell>
          <cell r="AF9">
            <v>137811.54250000001</v>
          </cell>
          <cell r="AG9">
            <v>141270.22039999999</v>
          </cell>
          <cell r="AH9">
            <v>144870.7323</v>
          </cell>
          <cell r="AI9">
            <v>148611.56140000001</v>
          </cell>
          <cell r="AJ9">
            <v>152488.71</v>
          </cell>
          <cell r="AK9">
            <v>156495.72769999999</v>
          </cell>
        </row>
        <row r="10">
          <cell r="B10">
            <v>401529.23320000002</v>
          </cell>
          <cell r="C10">
            <v>406784.33110000001</v>
          </cell>
          <cell r="D10">
            <v>412989.75229999999</v>
          </cell>
          <cell r="E10">
            <v>420194.05859999999</v>
          </cell>
          <cell r="F10">
            <v>428382.02279999998</v>
          </cell>
          <cell r="G10">
            <v>437507.48670000001</v>
          </cell>
          <cell r="H10">
            <v>447509.98060000001</v>
          </cell>
          <cell r="I10">
            <v>458066.07</v>
          </cell>
          <cell r="J10">
            <v>469047.63789999997</v>
          </cell>
          <cell r="K10">
            <v>480753.35440000001</v>
          </cell>
          <cell r="L10">
            <v>493137.81540000002</v>
          </cell>
          <cell r="M10">
            <v>505941.99449999997</v>
          </cell>
          <cell r="N10">
            <v>518898.52250000002</v>
          </cell>
          <cell r="O10">
            <v>531815.25320000004</v>
          </cell>
          <cell r="P10">
            <v>544618.92890000006</v>
          </cell>
          <cell r="Q10">
            <v>557322.5344</v>
          </cell>
          <cell r="R10">
            <v>569928.71869999997</v>
          </cell>
          <cell r="S10">
            <v>582503.7794</v>
          </cell>
          <cell r="T10">
            <v>595153.87390000001</v>
          </cell>
          <cell r="U10">
            <v>608006.77879999997</v>
          </cell>
          <cell r="V10">
            <v>621184.90619999997</v>
          </cell>
          <cell r="W10">
            <v>634827.87470000004</v>
          </cell>
          <cell r="X10">
            <v>649071.94290000002</v>
          </cell>
          <cell r="Y10">
            <v>664044.41619999998</v>
          </cell>
          <cell r="Z10">
            <v>679856.73179999995</v>
          </cell>
          <cell r="AA10">
            <v>696599.93579999998</v>
          </cell>
          <cell r="AB10">
            <v>714409.60829999996</v>
          </cell>
          <cell r="AC10">
            <v>733404.02110000001</v>
          </cell>
          <cell r="AD10">
            <v>753689.30229999998</v>
          </cell>
          <cell r="AE10">
            <v>775339.26489999995</v>
          </cell>
          <cell r="AF10">
            <v>798382.62479999999</v>
          </cell>
          <cell r="AG10">
            <v>822815.8578</v>
          </cell>
          <cell r="AH10">
            <v>848608.54630000005</v>
          </cell>
          <cell r="AI10">
            <v>875710.39780000004</v>
          </cell>
          <cell r="AJ10">
            <v>904055.91119999997</v>
          </cell>
          <cell r="AK10">
            <v>933566.34609999997</v>
          </cell>
        </row>
        <row r="11">
          <cell r="B11">
            <v>401529.23320000002</v>
          </cell>
          <cell r="C11">
            <v>406784.33110000001</v>
          </cell>
          <cell r="D11">
            <v>412989.75229999999</v>
          </cell>
          <cell r="E11">
            <v>420194.05859999999</v>
          </cell>
          <cell r="F11">
            <v>428382.02279999998</v>
          </cell>
          <cell r="G11">
            <v>437507.48670000001</v>
          </cell>
          <cell r="H11">
            <v>447500.98440000002</v>
          </cell>
          <cell r="I11">
            <v>458291.11949999997</v>
          </cell>
          <cell r="J11">
            <v>469826.17060000001</v>
          </cell>
          <cell r="K11">
            <v>482075.01559999998</v>
          </cell>
          <cell r="L11">
            <v>494958.9143</v>
          </cell>
          <cell r="M11">
            <v>508196.79109999997</v>
          </cell>
          <cell r="N11">
            <v>521553.35119999998</v>
          </cell>
          <cell r="O11">
            <v>534877.58970000001</v>
          </cell>
          <cell r="P11">
            <v>548105.16280000005</v>
          </cell>
          <cell r="Q11">
            <v>561241.11970000004</v>
          </cell>
          <cell r="R11">
            <v>574356.48549999995</v>
          </cell>
          <cell r="S11">
            <v>587564.29319999996</v>
          </cell>
          <cell r="T11">
            <v>600993.93790000002</v>
          </cell>
          <cell r="U11">
            <v>614771.79020000005</v>
          </cell>
          <cell r="V11">
            <v>629015.57990000001</v>
          </cell>
          <cell r="W11">
            <v>643839.84669999999</v>
          </cell>
          <cell r="X11">
            <v>659360.57490000001</v>
          </cell>
          <cell r="Y11">
            <v>675690.45779999997</v>
          </cell>
          <cell r="Z11">
            <v>692927.25349999999</v>
          </cell>
          <cell r="AA11">
            <v>711146.32460000005</v>
          </cell>
          <cell r="AB11">
            <v>730418.71059999999</v>
          </cell>
          <cell r="AC11">
            <v>750823.59580000001</v>
          </cell>
          <cell r="AD11">
            <v>772441.19030000002</v>
          </cell>
          <cell r="AE11">
            <v>795325.11289999995</v>
          </cell>
          <cell r="AF11">
            <v>819487.01729999995</v>
          </cell>
          <cell r="AG11">
            <v>844903.60450000002</v>
          </cell>
          <cell r="AH11">
            <v>871530.36100000003</v>
          </cell>
          <cell r="AI11">
            <v>899310.03700000001</v>
          </cell>
          <cell r="AJ11">
            <v>928176.69990000001</v>
          </cell>
          <cell r="AK11">
            <v>958057.02339999995</v>
          </cell>
        </row>
        <row r="13">
          <cell r="B13">
            <v>16084.260979999999</v>
          </cell>
          <cell r="C13">
            <v>16280.333989999999</v>
          </cell>
          <cell r="D13">
            <v>16492.534220000001</v>
          </cell>
          <cell r="E13">
            <v>16724.21443</v>
          </cell>
          <cell r="F13">
            <v>16976.468379999998</v>
          </cell>
          <cell r="G13">
            <v>17250.457640000001</v>
          </cell>
          <cell r="H13">
            <v>17548.05846</v>
          </cell>
          <cell r="I13">
            <v>17870.822049999999</v>
          </cell>
          <cell r="J13">
            <v>18219.758450000001</v>
          </cell>
          <cell r="K13">
            <v>18595.721219999999</v>
          </cell>
          <cell r="L13">
            <v>18998.685730000001</v>
          </cell>
          <cell r="M13">
            <v>19424.913479999999</v>
          </cell>
          <cell r="N13">
            <v>19870.504219999999</v>
          </cell>
          <cell r="O13">
            <v>20332.431420000001</v>
          </cell>
          <cell r="P13">
            <v>20808.897720000001</v>
          </cell>
          <cell r="Q13">
            <v>21299.30327</v>
          </cell>
          <cell r="R13">
            <v>21803.647130000001</v>
          </cell>
          <cell r="S13">
            <v>22323.303459999999</v>
          </cell>
          <cell r="T13">
            <v>22860.55228</v>
          </cell>
          <cell r="U13">
            <v>23418.126540000001</v>
          </cell>
          <cell r="V13">
            <v>23998.854060000001</v>
          </cell>
          <cell r="W13">
            <v>24605.789789999999</v>
          </cell>
          <cell r="X13">
            <v>25242.252219999998</v>
          </cell>
          <cell r="Y13">
            <v>25911.727569999999</v>
          </cell>
          <cell r="Z13">
            <v>26617.67597</v>
          </cell>
          <cell r="AA13">
            <v>27363.029070000001</v>
          </cell>
          <cell r="AB13">
            <v>28148.120800000001</v>
          </cell>
          <cell r="AC13">
            <v>28972.894840000001</v>
          </cell>
          <cell r="AD13">
            <v>29837.818940000001</v>
          </cell>
          <cell r="AE13">
            <v>30743.56481</v>
          </cell>
          <cell r="AF13">
            <v>31690.525180000001</v>
          </cell>
          <cell r="AG13">
            <v>32678.644329999999</v>
          </cell>
          <cell r="AH13">
            <v>33707.448750000003</v>
          </cell>
          <cell r="AI13">
            <v>34776.091260000001</v>
          </cell>
          <cell r="AJ13">
            <v>35883.377849999997</v>
          </cell>
          <cell r="AK13">
            <v>37027.775399999999</v>
          </cell>
        </row>
        <row r="14">
          <cell r="B14">
            <v>13394.45233</v>
          </cell>
          <cell r="C14">
            <v>13558.589749999999</v>
          </cell>
          <cell r="D14">
            <v>13738.98789</v>
          </cell>
          <cell r="E14">
            <v>13938.2325</v>
          </cell>
          <cell r="F14">
            <v>14157.911330000001</v>
          </cell>
          <cell r="G14">
            <v>14399.11008</v>
          </cell>
          <cell r="H14">
            <v>14662.43792</v>
          </cell>
          <cell r="I14">
            <v>14942.85606</v>
          </cell>
          <cell r="J14">
            <v>15238.649009999999</v>
          </cell>
          <cell r="K14">
            <v>15556.194869999999</v>
          </cell>
          <cell r="L14">
            <v>15895.79745</v>
          </cell>
          <cell r="M14">
            <v>16250.20789</v>
          </cell>
          <cell r="N14">
            <v>16611.853090000001</v>
          </cell>
          <cell r="O14">
            <v>16975.230749999999</v>
          </cell>
          <cell r="P14">
            <v>17337.587869999999</v>
          </cell>
          <cell r="Q14">
            <v>17698.179919999999</v>
          </cell>
          <cell r="R14">
            <v>18056.962329999998</v>
          </cell>
          <cell r="S14">
            <v>18415.130290000001</v>
          </cell>
          <cell r="T14">
            <v>18774.833050000001</v>
          </cell>
          <cell r="U14">
            <v>19138.867389999999</v>
          </cell>
          <cell r="V14">
            <v>19510.1116</v>
          </cell>
          <cell r="W14">
            <v>19891.655320000002</v>
          </cell>
          <cell r="X14">
            <v>20286.894939999998</v>
          </cell>
          <cell r="Y14">
            <v>20699.37744</v>
          </cell>
          <cell r="Z14">
            <v>21132.516650000001</v>
          </cell>
          <cell r="AA14">
            <v>21589.145329999999</v>
          </cell>
          <cell r="AB14">
            <v>22071.667509999999</v>
          </cell>
          <cell r="AC14">
            <v>22582.618760000001</v>
          </cell>
          <cell r="AD14">
            <v>23124.649979999998</v>
          </cell>
          <cell r="AE14">
            <v>23699.975989999999</v>
          </cell>
          <cell r="AF14">
            <v>24309.96977</v>
          </cell>
          <cell r="AG14">
            <v>24955.098150000002</v>
          </cell>
          <cell r="AH14">
            <v>25635.194729999999</v>
          </cell>
          <cell r="AI14">
            <v>26349.572550000001</v>
          </cell>
          <cell r="AJ14">
            <v>27097.07763</v>
          </cell>
          <cell r="AK14">
            <v>27876.119699999999</v>
          </cell>
        </row>
        <row r="15">
          <cell r="B15">
            <v>13394.45233</v>
          </cell>
          <cell r="C15">
            <v>13558.589749999999</v>
          </cell>
          <cell r="D15">
            <v>13738.98789</v>
          </cell>
          <cell r="E15">
            <v>13938.2325</v>
          </cell>
          <cell r="F15">
            <v>14157.911330000001</v>
          </cell>
          <cell r="G15">
            <v>14399.11008</v>
          </cell>
          <cell r="H15">
            <v>14662.30154</v>
          </cell>
          <cell r="I15">
            <v>14947.35412</v>
          </cell>
          <cell r="J15">
            <v>15253.79701</v>
          </cell>
          <cell r="K15">
            <v>15581.028969999999</v>
          </cell>
          <cell r="L15">
            <v>15927.214809999999</v>
          </cell>
          <cell r="M15">
            <v>16286.02298</v>
          </cell>
          <cell r="N15">
            <v>16651.48734</v>
          </cell>
          <cell r="O15">
            <v>17019.07704</v>
          </cell>
          <cell r="P15">
            <v>17385.981540000001</v>
          </cell>
          <cell r="Q15">
            <v>17750.962619999998</v>
          </cell>
          <cell r="R15">
            <v>18114.324369999998</v>
          </cell>
          <cell r="S15">
            <v>18477.794880000001</v>
          </cell>
          <cell r="T15">
            <v>18844.004840000001</v>
          </cell>
          <cell r="U15">
            <v>19215.980670000001</v>
          </cell>
          <cell r="V15">
            <v>19596.810509999999</v>
          </cell>
          <cell r="W15">
            <v>19989.752120000001</v>
          </cell>
          <cell r="X15">
            <v>20398.223539999999</v>
          </cell>
          <cell r="Y15">
            <v>20825.638760000002</v>
          </cell>
          <cell r="Z15">
            <v>21275.130450000001</v>
          </cell>
          <cell r="AA15">
            <v>21749.130939999999</v>
          </cell>
          <cell r="AB15">
            <v>22249.64976</v>
          </cell>
          <cell r="AC15">
            <v>22778.766459999999</v>
          </cell>
          <cell r="AD15">
            <v>23338.59145</v>
          </cell>
          <cell r="AE15">
            <v>23930.716039999999</v>
          </cell>
          <cell r="AF15">
            <v>24555.83483</v>
          </cell>
          <cell r="AG15">
            <v>25213.792850000002</v>
          </cell>
          <cell r="AH15">
            <v>25903.795600000001</v>
          </cell>
          <cell r="AI15">
            <v>26624.55487</v>
          </cell>
          <cell r="AJ15">
            <v>27374.37369</v>
          </cell>
          <cell r="AK15">
            <v>28151.193630000002</v>
          </cell>
        </row>
        <row r="16">
          <cell r="B16">
            <v>36395.97825</v>
          </cell>
          <cell r="C16">
            <v>36851.973319999997</v>
          </cell>
          <cell r="D16">
            <v>37364.734629999999</v>
          </cell>
          <cell r="E16">
            <v>37940.355580000003</v>
          </cell>
          <cell r="F16">
            <v>38582.076399999998</v>
          </cell>
          <cell r="G16">
            <v>39291.660219999998</v>
          </cell>
          <cell r="H16">
            <v>40069.911540000001</v>
          </cell>
          <cell r="I16">
            <v>40892.70566</v>
          </cell>
          <cell r="J16">
            <v>41751.983760000003</v>
          </cell>
          <cell r="K16">
            <v>42667.782679999997</v>
          </cell>
          <cell r="L16">
            <v>43637.872640000001</v>
          </cell>
          <cell r="M16">
            <v>44637.715320000003</v>
          </cell>
          <cell r="N16">
            <v>45643.232960000001</v>
          </cell>
          <cell r="O16">
            <v>46638.403250000003</v>
          </cell>
          <cell r="P16">
            <v>47616.973019999998</v>
          </cell>
          <cell r="Q16">
            <v>48579.311800000003</v>
          </cell>
          <cell r="R16">
            <v>49530.194629999998</v>
          </cell>
          <cell r="S16">
            <v>50476.142769999999</v>
          </cell>
          <cell r="T16">
            <v>51425.632680000002</v>
          </cell>
          <cell r="U16">
            <v>52388.315820000003</v>
          </cell>
          <cell r="V16">
            <v>53374.003449999997</v>
          </cell>
          <cell r="W16">
            <v>54392.978660000001</v>
          </cell>
          <cell r="X16">
            <v>55456.25963</v>
          </cell>
          <cell r="Y16">
            <v>56575.054300000003</v>
          </cell>
          <cell r="Z16">
            <v>57759.791599999997</v>
          </cell>
          <cell r="AA16">
            <v>59019.264600000002</v>
          </cell>
          <cell r="AB16">
            <v>60360.817280000003</v>
          </cell>
          <cell r="AC16">
            <v>61792.653859999999</v>
          </cell>
          <cell r="AD16">
            <v>63323.124839999997</v>
          </cell>
          <cell r="AE16">
            <v>64958.677470000002</v>
          </cell>
          <cell r="AF16">
            <v>66702.626650000006</v>
          </cell>
          <cell r="AG16">
            <v>68555.310809999995</v>
          </cell>
          <cell r="AH16">
            <v>70515.172959999996</v>
          </cell>
          <cell r="AI16">
            <v>72579.171390000003</v>
          </cell>
          <cell r="AJ16">
            <v>74742.950930000006</v>
          </cell>
          <cell r="AK16">
            <v>77000.917589999997</v>
          </cell>
        </row>
        <row r="17">
          <cell r="B17">
            <v>36395.97825</v>
          </cell>
          <cell r="C17">
            <v>36851.973319999997</v>
          </cell>
          <cell r="D17">
            <v>37364.734629999999</v>
          </cell>
          <cell r="E17">
            <v>37940.355580000003</v>
          </cell>
          <cell r="F17">
            <v>38582.076399999998</v>
          </cell>
          <cell r="G17">
            <v>39291.660230000001</v>
          </cell>
          <cell r="H17">
            <v>40069.925909999998</v>
          </cell>
          <cell r="I17">
            <v>40915.970370000003</v>
          </cell>
          <cell r="J17">
            <v>41827.838989999997</v>
          </cell>
          <cell r="K17">
            <v>42803.11982</v>
          </cell>
          <cell r="L17">
            <v>43834.696929999998</v>
          </cell>
          <cell r="M17">
            <v>44899.955970000003</v>
          </cell>
          <cell r="N17">
            <v>45979.013729999999</v>
          </cell>
          <cell r="O17">
            <v>47057.91156</v>
          </cell>
          <cell r="P17">
            <v>48129.113060000003</v>
          </cell>
          <cell r="Q17">
            <v>49190.551509999998</v>
          </cell>
          <cell r="R17">
            <v>50244.487699999998</v>
          </cell>
          <cell r="S17">
            <v>51297.728199999998</v>
          </cell>
          <cell r="T17">
            <v>52360.015200000002</v>
          </cell>
          <cell r="U17">
            <v>53442.203090000003</v>
          </cell>
          <cell r="V17">
            <v>54555.246950000001</v>
          </cell>
          <cell r="W17">
            <v>55710.136200000001</v>
          </cell>
          <cell r="X17">
            <v>56918.040529999998</v>
          </cell>
          <cell r="Y17">
            <v>58189.790200000003</v>
          </cell>
          <cell r="Z17">
            <v>59534.956449999998</v>
          </cell>
          <cell r="AA17">
            <v>60961.104950000001</v>
          </cell>
          <cell r="AB17">
            <v>62474.856379999997</v>
          </cell>
          <cell r="AC17">
            <v>64083.082139999999</v>
          </cell>
          <cell r="AD17">
            <v>65792.499840000004</v>
          </cell>
          <cell r="AE17">
            <v>67607.689190000005</v>
          </cell>
          <cell r="AF17">
            <v>69529.934670000002</v>
          </cell>
          <cell r="AG17">
            <v>71557.640910000002</v>
          </cell>
          <cell r="AH17">
            <v>73687.242299999998</v>
          </cell>
          <cell r="AI17">
            <v>75913.778779999993</v>
          </cell>
          <cell r="AJ17">
            <v>78231.200270000001</v>
          </cell>
          <cell r="AK17">
            <v>80632.513359999997</v>
          </cell>
        </row>
        <row r="18">
          <cell r="B18">
            <v>13360.14651</v>
          </cell>
          <cell r="C18">
            <v>13527.758019999999</v>
          </cell>
          <cell r="D18">
            <v>13716.055</v>
          </cell>
          <cell r="E18">
            <v>13927.749089999999</v>
          </cell>
          <cell r="F18">
            <v>14163.86038</v>
          </cell>
          <cell r="G18">
            <v>14424.76802</v>
          </cell>
          <cell r="H18">
            <v>14710.58901</v>
          </cell>
          <cell r="I18">
            <v>15015.30596</v>
          </cell>
          <cell r="J18">
            <v>15337.71299</v>
          </cell>
          <cell r="K18">
            <v>15686.861430000001</v>
          </cell>
          <cell r="L18">
            <v>16064.838229999999</v>
          </cell>
          <cell r="M18">
            <v>16463.626189999999</v>
          </cell>
          <cell r="N18">
            <v>16874.297320000001</v>
          </cell>
          <cell r="O18">
            <v>17290.24512</v>
          </cell>
          <cell r="P18">
            <v>17708.259429999998</v>
          </cell>
          <cell r="Q18">
            <v>18127.672689999999</v>
          </cell>
          <cell r="R18">
            <v>18548.6679</v>
          </cell>
          <cell r="S18">
            <v>18972.930079999998</v>
          </cell>
          <cell r="T18">
            <v>19403.231159999999</v>
          </cell>
          <cell r="U18">
            <v>19842.961139999999</v>
          </cell>
          <cell r="V18">
            <v>20295.61565</v>
          </cell>
          <cell r="W18">
            <v>20764.73243</v>
          </cell>
          <cell r="X18">
            <v>21254.074769999999</v>
          </cell>
          <cell r="Y18">
            <v>21767.553199999998</v>
          </cell>
          <cell r="Z18">
            <v>22308.972730000001</v>
          </cell>
          <cell r="AA18">
            <v>22881.721430000001</v>
          </cell>
          <cell r="AB18">
            <v>23488.170999999998</v>
          </cell>
          <cell r="AC18">
            <v>24130.900659999999</v>
          </cell>
          <cell r="AD18">
            <v>24812.89374</v>
          </cell>
          <cell r="AE18">
            <v>25536.864079999999</v>
          </cell>
          <cell r="AF18">
            <v>26304.730920000002</v>
          </cell>
          <cell r="AG18">
            <v>27117.4912</v>
          </cell>
          <cell r="AH18">
            <v>27975.486199999999</v>
          </cell>
          <cell r="AI18">
            <v>28878.54549</v>
          </cell>
          <cell r="AJ18">
            <v>29826.041249999998</v>
          </cell>
          <cell r="AK18">
            <v>30816.896479999999</v>
          </cell>
        </row>
        <row r="19">
          <cell r="B19">
            <v>13360.14651</v>
          </cell>
          <cell r="C19">
            <v>13527.758019999999</v>
          </cell>
          <cell r="D19">
            <v>13716.055</v>
          </cell>
          <cell r="E19">
            <v>13927.749089999999</v>
          </cell>
          <cell r="F19">
            <v>14163.86038</v>
          </cell>
          <cell r="G19">
            <v>14424.76802</v>
          </cell>
          <cell r="H19">
            <v>14710.496800000001</v>
          </cell>
          <cell r="I19">
            <v>15020.74092</v>
          </cell>
          <cell r="J19">
            <v>15354.96285</v>
          </cell>
          <cell r="K19">
            <v>15712.563819999999</v>
          </cell>
          <cell r="L19">
            <v>16091.443139999999</v>
          </cell>
          <cell r="M19">
            <v>16484.202519999999</v>
          </cell>
          <cell r="N19">
            <v>16884.100429999999</v>
          </cell>
          <cell r="O19">
            <v>17286.302370000001</v>
          </cell>
          <cell r="P19">
            <v>17688.119579999999</v>
          </cell>
          <cell r="Q19">
            <v>18088.72723</v>
          </cell>
          <cell r="R19">
            <v>18488.972880000001</v>
          </cell>
          <cell r="S19">
            <v>18891.133570000002</v>
          </cell>
          <cell r="T19">
            <v>19298.3969</v>
          </cell>
          <cell r="U19">
            <v>19714.326059999999</v>
          </cell>
          <cell r="V19">
            <v>20142.562620000001</v>
          </cell>
          <cell r="W19">
            <v>20586.858270000001</v>
          </cell>
          <cell r="X19">
            <v>21051.136419999999</v>
          </cell>
          <cell r="Y19">
            <v>21539.312249999999</v>
          </cell>
          <cell r="Z19">
            <v>22054.965779999999</v>
          </cell>
          <cell r="AA19">
            <v>22601.015609999999</v>
          </cell>
          <cell r="AB19">
            <v>23179.224539999999</v>
          </cell>
          <cell r="AC19">
            <v>23791.398120000002</v>
          </cell>
          <cell r="AD19">
            <v>24439.511719999999</v>
          </cell>
          <cell r="AE19">
            <v>25125.024359999999</v>
          </cell>
          <cell r="AF19">
            <v>25848.39747</v>
          </cell>
          <cell r="AG19">
            <v>26609.156080000001</v>
          </cell>
          <cell r="AH19">
            <v>27406.154149999998</v>
          </cell>
          <cell r="AI19">
            <v>28237.754949999999</v>
          </cell>
          <cell r="AJ19">
            <v>29101.93074</v>
          </cell>
          <cell r="AK19">
            <v>29996.313679999999</v>
          </cell>
        </row>
        <row r="20">
          <cell r="B20">
            <v>66530.371169999999</v>
          </cell>
          <cell r="C20">
            <v>67356.720759999997</v>
          </cell>
          <cell r="D20">
            <v>68280.221269999995</v>
          </cell>
          <cell r="E20">
            <v>69312.681140000001</v>
          </cell>
          <cell r="F20">
            <v>70459.518209999995</v>
          </cell>
          <cell r="G20">
            <v>71723.828739999997</v>
          </cell>
          <cell r="H20">
            <v>73107.858800000002</v>
          </cell>
          <cell r="I20">
            <v>74575.124620000002</v>
          </cell>
          <cell r="J20">
            <v>76111.540349999996</v>
          </cell>
          <cell r="K20">
            <v>77749.764349999998</v>
          </cell>
          <cell r="L20">
            <v>79487.063389999996</v>
          </cell>
          <cell r="M20">
            <v>81283.654500000004</v>
          </cell>
          <cell r="N20">
            <v>83100.529760000005</v>
          </cell>
          <cell r="O20">
            <v>84911.895250000001</v>
          </cell>
          <cell r="P20">
            <v>86708.356870000003</v>
          </cell>
          <cell r="Q20">
            <v>88491.931360000002</v>
          </cell>
          <cell r="R20">
            <v>90269.647029999993</v>
          </cell>
          <cell r="S20">
            <v>92052.9522</v>
          </cell>
          <cell r="T20">
            <v>93857.135850000006</v>
          </cell>
          <cell r="U20">
            <v>95699.973790000004</v>
          </cell>
          <cell r="V20">
            <v>97599.620110000003</v>
          </cell>
          <cell r="W20">
            <v>99575.406489999994</v>
          </cell>
          <cell r="X20">
            <v>101648.1174</v>
          </cell>
          <cell r="Y20">
            <v>103839.0594</v>
          </cell>
          <cell r="Z20">
            <v>106168.52529999999</v>
          </cell>
          <cell r="AA20">
            <v>108654.43730000001</v>
          </cell>
          <cell r="AB20">
            <v>111308.63649999999</v>
          </cell>
          <cell r="AC20">
            <v>114143.47070000001</v>
          </cell>
          <cell r="AD20">
            <v>117172.1427</v>
          </cell>
          <cell r="AE20">
            <v>120405.4954</v>
          </cell>
          <cell r="AF20">
            <v>123849.56939999999</v>
          </cell>
          <cell r="AG20">
            <v>127505.6467</v>
          </cell>
          <cell r="AH20">
            <v>131371.58259999999</v>
          </cell>
          <cell r="AI20">
            <v>135442.40150000001</v>
          </cell>
          <cell r="AJ20">
            <v>139710.60949999999</v>
          </cell>
          <cell r="AK20">
            <v>144166.35380000001</v>
          </cell>
        </row>
        <row r="21">
          <cell r="B21">
            <v>66530.371169999999</v>
          </cell>
          <cell r="C21">
            <v>67356.720759999997</v>
          </cell>
          <cell r="D21">
            <v>68280.221269999995</v>
          </cell>
          <cell r="E21">
            <v>69312.681140000001</v>
          </cell>
          <cell r="F21">
            <v>70459.518209999995</v>
          </cell>
          <cell r="G21">
            <v>71723.828739999997</v>
          </cell>
          <cell r="H21">
            <v>73106.592229999995</v>
          </cell>
          <cell r="I21">
            <v>74606.665999999997</v>
          </cell>
          <cell r="J21">
            <v>76221.749660000001</v>
          </cell>
          <cell r="K21">
            <v>77949.315019999995</v>
          </cell>
          <cell r="L21">
            <v>79779.435859999998</v>
          </cell>
          <cell r="M21">
            <v>81676.430770000006</v>
          </cell>
          <cell r="N21">
            <v>83607.675199999998</v>
          </cell>
          <cell r="O21">
            <v>85550.131349999996</v>
          </cell>
          <cell r="P21">
            <v>87491.581319999998</v>
          </cell>
          <cell r="Q21">
            <v>89429.127810000005</v>
          </cell>
          <cell r="R21">
            <v>91368.717210000003</v>
          </cell>
          <cell r="S21">
            <v>93323.401299999998</v>
          </cell>
          <cell r="T21">
            <v>95310.641350000005</v>
          </cell>
          <cell r="U21">
            <v>97349.546040000001</v>
          </cell>
          <cell r="V21">
            <v>99459.456860000006</v>
          </cell>
          <cell r="W21">
            <v>101659.8515</v>
          </cell>
          <cell r="X21">
            <v>103970.8222</v>
          </cell>
          <cell r="Y21">
            <v>106412.3319</v>
          </cell>
          <cell r="Z21">
            <v>109002.6897</v>
          </cell>
          <cell r="AA21">
            <v>111757.342</v>
          </cell>
          <cell r="AB21">
            <v>114685.7856</v>
          </cell>
          <cell r="AC21">
            <v>117797.17819999999</v>
          </cell>
          <cell r="AD21">
            <v>121101.3052</v>
          </cell>
          <cell r="AE21">
            <v>124605.4105</v>
          </cell>
          <cell r="AF21">
            <v>128311.8162</v>
          </cell>
          <cell r="AG21">
            <v>132218.16769999999</v>
          </cell>
          <cell r="AH21">
            <v>136318.74540000001</v>
          </cell>
          <cell r="AI21">
            <v>140605.39509999999</v>
          </cell>
          <cell r="AJ21">
            <v>145068.0533</v>
          </cell>
          <cell r="AK21">
            <v>149695.0049</v>
          </cell>
        </row>
        <row r="22">
          <cell r="B22">
            <v>129149.2589</v>
          </cell>
          <cell r="C22">
            <v>130820.47960000001</v>
          </cell>
          <cell r="D22">
            <v>132757.97769999999</v>
          </cell>
          <cell r="E22">
            <v>134978.93900000001</v>
          </cell>
          <cell r="F22">
            <v>137488.61249999999</v>
          </cell>
          <cell r="G22">
            <v>140286.53090000001</v>
          </cell>
          <cell r="H22">
            <v>143369.90969999999</v>
          </cell>
          <cell r="I22">
            <v>146631.8512</v>
          </cell>
          <cell r="J22">
            <v>150039.24249999999</v>
          </cell>
          <cell r="K22">
            <v>153687.07579999999</v>
          </cell>
          <cell r="L22">
            <v>157565.62299999999</v>
          </cell>
          <cell r="M22">
            <v>161575.6666</v>
          </cell>
          <cell r="N22">
            <v>165619.17240000001</v>
          </cell>
          <cell r="O22">
            <v>169631.50330000001</v>
          </cell>
          <cell r="P22">
            <v>173589.57089999999</v>
          </cell>
          <cell r="Q22">
            <v>177497.77359999999</v>
          </cell>
          <cell r="R22">
            <v>181367.8811</v>
          </cell>
          <cell r="S22">
            <v>185224.4394</v>
          </cell>
          <cell r="T22">
            <v>189101.174</v>
          </cell>
          <cell r="U22">
            <v>193036.20850000001</v>
          </cell>
          <cell r="V22">
            <v>197068.7493</v>
          </cell>
          <cell r="W22">
            <v>201240.48499999999</v>
          </cell>
          <cell r="X22">
            <v>205594.98639999999</v>
          </cell>
          <cell r="Y22">
            <v>210175.88920000001</v>
          </cell>
          <cell r="Z22">
            <v>215023.30970000001</v>
          </cell>
          <cell r="AA22">
            <v>220172.58989999999</v>
          </cell>
          <cell r="AB22">
            <v>225648.98860000001</v>
          </cell>
          <cell r="AC22">
            <v>231482.81289999999</v>
          </cell>
          <cell r="AD22">
            <v>237706.20139999999</v>
          </cell>
          <cell r="AE22">
            <v>244344.05540000001</v>
          </cell>
          <cell r="AF22">
            <v>251408.87160000001</v>
          </cell>
          <cell r="AG22">
            <v>258902.8174</v>
          </cell>
          <cell r="AH22">
            <v>266820.33929999999</v>
          </cell>
          <cell r="AI22">
            <v>275150.18199999997</v>
          </cell>
          <cell r="AJ22">
            <v>283876.29340000002</v>
          </cell>
          <cell r="AK22">
            <v>292978.10379999998</v>
          </cell>
        </row>
        <row r="23">
          <cell r="B23">
            <v>129149.2589</v>
          </cell>
          <cell r="C23">
            <v>130820.47960000001</v>
          </cell>
          <cell r="D23">
            <v>132757.97769999999</v>
          </cell>
          <cell r="E23">
            <v>134978.93900000001</v>
          </cell>
          <cell r="F23">
            <v>137488.61249999999</v>
          </cell>
          <cell r="G23">
            <v>140286.53090000001</v>
          </cell>
          <cell r="H23">
            <v>143368.37059999999</v>
          </cell>
          <cell r="I23">
            <v>146726.755</v>
          </cell>
          <cell r="J23">
            <v>150353.81589999999</v>
          </cell>
          <cell r="K23">
            <v>154242.2156</v>
          </cell>
          <cell r="L23">
            <v>158364.21720000001</v>
          </cell>
          <cell r="M23">
            <v>162624.726</v>
          </cell>
          <cell r="N23">
            <v>166943.11600000001</v>
          </cell>
          <cell r="O23">
            <v>171265.51699999999</v>
          </cell>
          <cell r="P23">
            <v>175565.7291</v>
          </cell>
          <cell r="Q23">
            <v>179840.0759</v>
          </cell>
          <cell r="R23">
            <v>184103.9571</v>
          </cell>
          <cell r="S23">
            <v>188387.4975</v>
          </cell>
          <cell r="T23">
            <v>192729.67</v>
          </cell>
          <cell r="U23">
            <v>197172.05549999999</v>
          </cell>
          <cell r="V23">
            <v>201756.59529999999</v>
          </cell>
          <cell r="W23">
            <v>206524.98540000001</v>
          </cell>
          <cell r="X23">
            <v>211520.43719999999</v>
          </cell>
          <cell r="Y23">
            <v>216785.62940000001</v>
          </cell>
          <cell r="Z23">
            <v>222358.60630000001</v>
          </cell>
          <cell r="AA23">
            <v>228271.41709999999</v>
          </cell>
          <cell r="AB23">
            <v>234549.1018</v>
          </cell>
          <cell r="AC23">
            <v>241218.49290000001</v>
          </cell>
          <cell r="AD23">
            <v>248306.96090000001</v>
          </cell>
          <cell r="AE23">
            <v>255833.2739</v>
          </cell>
          <cell r="AF23">
            <v>263802.3982</v>
          </cell>
          <cell r="AG23">
            <v>272207.55310000002</v>
          </cell>
          <cell r="AH23">
            <v>281034.3959</v>
          </cell>
          <cell r="AI23">
            <v>290263.54830000002</v>
          </cell>
          <cell r="AJ23">
            <v>299871.8198</v>
          </cell>
          <cell r="AK23">
            <v>309832.67920000001</v>
          </cell>
        </row>
        <row r="24">
          <cell r="B24">
            <v>144873.28820000001</v>
          </cell>
          <cell r="C24">
            <v>146623.1574</v>
          </cell>
          <cell r="D24">
            <v>148524.45370000001</v>
          </cell>
          <cell r="E24">
            <v>150607.76749999999</v>
          </cell>
          <cell r="F24">
            <v>152895.296</v>
          </cell>
          <cell r="G24">
            <v>155402.09080000001</v>
          </cell>
          <cell r="H24">
            <v>158137.64079999999</v>
          </cell>
          <cell r="I24">
            <v>161060.97949999999</v>
          </cell>
          <cell r="J24">
            <v>164158.29550000001</v>
          </cell>
          <cell r="K24">
            <v>167492.75109999999</v>
          </cell>
          <cell r="L24">
            <v>171077.3602</v>
          </cell>
          <cell r="M24">
            <v>174863.64480000001</v>
          </cell>
          <cell r="N24">
            <v>178790.11859999999</v>
          </cell>
          <cell r="O24">
            <v>182807.04209999999</v>
          </cell>
          <cell r="P24">
            <v>186886.5815</v>
          </cell>
          <cell r="Q24">
            <v>191018.76070000001</v>
          </cell>
          <cell r="R24">
            <v>195196.91949999999</v>
          </cell>
          <cell r="S24">
            <v>199428.7812</v>
          </cell>
          <cell r="T24">
            <v>203732.46530000001</v>
          </cell>
          <cell r="U24">
            <v>208132.6594</v>
          </cell>
          <cell r="V24">
            <v>212655.69260000001</v>
          </cell>
          <cell r="W24">
            <v>217331.79199999999</v>
          </cell>
          <cell r="X24">
            <v>222193.51250000001</v>
          </cell>
          <cell r="Y24">
            <v>227274.63099999999</v>
          </cell>
          <cell r="Z24">
            <v>232607.97210000001</v>
          </cell>
          <cell r="AA24">
            <v>238220.78829999999</v>
          </cell>
          <cell r="AB24">
            <v>244140.0128</v>
          </cell>
          <cell r="AC24">
            <v>250389.79810000001</v>
          </cell>
          <cell r="AD24">
            <v>256994.49069999999</v>
          </cell>
          <cell r="AE24">
            <v>263974.98869999999</v>
          </cell>
          <cell r="AF24">
            <v>271345.11749999999</v>
          </cell>
          <cell r="AG24">
            <v>279111.28889999999</v>
          </cell>
          <cell r="AH24">
            <v>287273.5625</v>
          </cell>
          <cell r="AI24">
            <v>295826.67680000002</v>
          </cell>
          <cell r="AJ24">
            <v>304760.5246</v>
          </cell>
          <cell r="AK24">
            <v>314060.3014</v>
          </cell>
        </row>
        <row r="25">
          <cell r="B25">
            <v>144873.28820000001</v>
          </cell>
          <cell r="C25">
            <v>146623.1574</v>
          </cell>
          <cell r="D25">
            <v>148524.45370000001</v>
          </cell>
          <cell r="E25">
            <v>150607.76749999999</v>
          </cell>
          <cell r="F25">
            <v>152895.296</v>
          </cell>
          <cell r="G25">
            <v>155402.09080000001</v>
          </cell>
          <cell r="H25">
            <v>158134.50640000001</v>
          </cell>
          <cell r="I25">
            <v>161093.7634</v>
          </cell>
          <cell r="J25">
            <v>164279.37549999999</v>
          </cell>
          <cell r="K25">
            <v>167690.66329999999</v>
          </cell>
          <cell r="L25">
            <v>171316.70379999999</v>
          </cell>
          <cell r="M25">
            <v>175105.1103</v>
          </cell>
          <cell r="N25">
            <v>179003.58170000001</v>
          </cell>
          <cell r="O25">
            <v>182970.9901</v>
          </cell>
          <cell r="P25">
            <v>186980.90460000001</v>
          </cell>
          <cell r="Q25">
            <v>191020.81580000001</v>
          </cell>
          <cell r="R25">
            <v>195093.9705</v>
          </cell>
          <cell r="S25">
            <v>199215.88099999999</v>
          </cell>
          <cell r="T25">
            <v>203409.8861</v>
          </cell>
          <cell r="U25">
            <v>207702.81049999999</v>
          </cell>
          <cell r="V25">
            <v>212121.88140000001</v>
          </cell>
          <cell r="W25">
            <v>216696.33590000001</v>
          </cell>
          <cell r="X25">
            <v>221457.5031</v>
          </cell>
          <cell r="Y25">
            <v>226437.49350000001</v>
          </cell>
          <cell r="Z25">
            <v>231666.6899</v>
          </cell>
          <cell r="AA25">
            <v>237169.08100000001</v>
          </cell>
          <cell r="AB25">
            <v>242963.60879999999</v>
          </cell>
          <cell r="AC25">
            <v>249069.38070000001</v>
          </cell>
          <cell r="AD25">
            <v>255506.55799999999</v>
          </cell>
          <cell r="AE25">
            <v>262291.68959999998</v>
          </cell>
          <cell r="AF25">
            <v>269433.89750000002</v>
          </cell>
          <cell r="AG25">
            <v>276934.81800000003</v>
          </cell>
          <cell r="AH25">
            <v>284790.22350000002</v>
          </cell>
          <cell r="AI25">
            <v>292991.19870000001</v>
          </cell>
          <cell r="AJ25">
            <v>301524.76549999998</v>
          </cell>
          <cell r="AK25">
            <v>310374.13290000003</v>
          </cell>
        </row>
        <row r="26">
          <cell r="B26">
            <v>1694004.9469999999</v>
          </cell>
          <cell r="C26">
            <v>1713886.0360000001</v>
          </cell>
          <cell r="D26">
            <v>1734707.594</v>
          </cell>
          <cell r="E26">
            <v>1756805.07</v>
          </cell>
          <cell r="F26">
            <v>1780491.871</v>
          </cell>
          <cell r="G26">
            <v>1806049.11</v>
          </cell>
          <cell r="H26">
            <v>1833768.2749999999</v>
          </cell>
          <cell r="I26">
            <v>1863759.1580000001</v>
          </cell>
          <cell r="J26">
            <v>1896131.564</v>
          </cell>
          <cell r="K26">
            <v>1931240.09</v>
          </cell>
          <cell r="L26">
            <v>1969452.8130000001</v>
          </cell>
          <cell r="M26">
            <v>2010952.0209999999</v>
          </cell>
          <cell r="N26">
            <v>2055736.459</v>
          </cell>
          <cell r="O26">
            <v>2103717.977</v>
          </cell>
          <cell r="P26">
            <v>2154802.4539999999</v>
          </cell>
          <cell r="Q26">
            <v>2208930.7570000002</v>
          </cell>
          <cell r="R26">
            <v>2266084.233</v>
          </cell>
          <cell r="S26">
            <v>2326307.9870000002</v>
          </cell>
          <cell r="T26">
            <v>2389714.7119999998</v>
          </cell>
          <cell r="U26">
            <v>2456480.9360000002</v>
          </cell>
          <cell r="V26">
            <v>2526822.2420000001</v>
          </cell>
          <cell r="W26">
            <v>2601028.8769999999</v>
          </cell>
          <cell r="X26">
            <v>2679443.7439999999</v>
          </cell>
          <cell r="Y26">
            <v>2762459.727</v>
          </cell>
          <cell r="Z26">
            <v>2850514.6170000001</v>
          </cell>
          <cell r="AA26">
            <v>2944044.0550000002</v>
          </cell>
          <cell r="AB26">
            <v>3043132.327</v>
          </cell>
          <cell r="AC26">
            <v>3147753.4180000001</v>
          </cell>
          <cell r="AD26">
            <v>3257928.04</v>
          </cell>
          <cell r="AE26">
            <v>3373740.9339999999</v>
          </cell>
          <cell r="AF26">
            <v>3495302.469</v>
          </cell>
          <cell r="AG26">
            <v>3622716.8820000002</v>
          </cell>
          <cell r="AH26">
            <v>3756047.9559999998</v>
          </cell>
          <cell r="AI26">
            <v>3895304.835</v>
          </cell>
          <cell r="AJ26">
            <v>4040433.3620000002</v>
          </cell>
          <cell r="AK26">
            <v>4191309.4539999999</v>
          </cell>
        </row>
        <row r="27">
          <cell r="B27">
            <v>1694004.9469999999</v>
          </cell>
          <cell r="C27">
            <v>1713886.0360000001</v>
          </cell>
          <cell r="D27">
            <v>1734707.594</v>
          </cell>
          <cell r="E27">
            <v>1756805.07</v>
          </cell>
          <cell r="F27">
            <v>1780491.871</v>
          </cell>
          <cell r="G27">
            <v>1806049.11</v>
          </cell>
          <cell r="H27">
            <v>1833731.946</v>
          </cell>
          <cell r="I27">
            <v>1863756.9110000001</v>
          </cell>
          <cell r="J27">
            <v>1896316.5390000001</v>
          </cell>
          <cell r="K27">
            <v>1931597.862</v>
          </cell>
          <cell r="L27">
            <v>1969771.618</v>
          </cell>
          <cell r="M27">
            <v>2010827.5209999999</v>
          </cell>
          <cell r="N27">
            <v>2054649.199</v>
          </cell>
          <cell r="O27">
            <v>2101086.4049999998</v>
          </cell>
          <cell r="P27">
            <v>2150000.6150000002</v>
          </cell>
          <cell r="Q27">
            <v>2201289.889</v>
          </cell>
          <cell r="R27">
            <v>2254948.3930000002</v>
          </cell>
          <cell r="S27">
            <v>2311056.1800000002</v>
          </cell>
          <cell r="T27">
            <v>2369760.3250000002</v>
          </cell>
          <cell r="U27">
            <v>2431254.88</v>
          </cell>
          <cell r="V27">
            <v>2495755.3790000002</v>
          </cell>
          <cell r="W27">
            <v>2563515.929</v>
          </cell>
          <cell r="X27">
            <v>2634833.2400000002</v>
          </cell>
          <cell r="Y27">
            <v>2710048.372</v>
          </cell>
          <cell r="Z27">
            <v>2789542.8330000001</v>
          </cell>
          <cell r="AA27">
            <v>2873693.3939999999</v>
          </cell>
          <cell r="AB27">
            <v>2962518.53</v>
          </cell>
          <cell r="AC27">
            <v>3055943.5019999999</v>
          </cell>
          <cell r="AD27">
            <v>3153955.8089999999</v>
          </cell>
          <cell r="AE27">
            <v>3256620.6</v>
          </cell>
          <cell r="AF27">
            <v>3364042.1329999999</v>
          </cell>
          <cell r="AG27">
            <v>3476325.835</v>
          </cell>
          <cell r="AH27">
            <v>3593555.0070000002</v>
          </cell>
          <cell r="AI27">
            <v>3715777.4819999998</v>
          </cell>
          <cell r="AJ27">
            <v>3842997.1230000001</v>
          </cell>
          <cell r="AK27">
            <v>3975166.9920000001</v>
          </cell>
        </row>
        <row r="28">
          <cell r="B28">
            <v>4359.8148870000005</v>
          </cell>
          <cell r="C28">
            <v>4411.6948110000003</v>
          </cell>
          <cell r="D28">
            <v>4466.6666400000004</v>
          </cell>
          <cell r="E28">
            <v>4525.325323</v>
          </cell>
          <cell r="F28">
            <v>4588.1275530000003</v>
          </cell>
          <cell r="G28">
            <v>4655.3974980000003</v>
          </cell>
          <cell r="H28">
            <v>4727.3553179999999</v>
          </cell>
          <cell r="I28">
            <v>4803.0090710000004</v>
          </cell>
          <cell r="J28">
            <v>4882.0648339999998</v>
          </cell>
          <cell r="K28">
            <v>4965.843441</v>
          </cell>
          <cell r="L28">
            <v>5054.7916509999995</v>
          </cell>
          <cell r="M28">
            <v>5147.901527</v>
          </cell>
          <cell r="N28">
            <v>5243.9163909999997</v>
          </cell>
          <cell r="O28">
            <v>5341.8091839999997</v>
          </cell>
          <cell r="P28">
            <v>5440.9834209999999</v>
          </cell>
          <cell r="Q28">
            <v>5541.2058539999998</v>
          </cell>
          <cell r="R28">
            <v>5642.4801360000001</v>
          </cell>
          <cell r="S28">
            <v>5745.0408120000002</v>
          </cell>
          <cell r="T28">
            <v>5849.3239199999998</v>
          </cell>
          <cell r="U28">
            <v>5955.8781440000002</v>
          </cell>
          <cell r="V28">
            <v>6065.2763770000001</v>
          </cell>
          <cell r="W28">
            <v>6178.1382590000003</v>
          </cell>
          <cell r="X28">
            <v>6295.1268849999997</v>
          </cell>
          <cell r="Y28">
            <v>6416.9112130000003</v>
          </cell>
          <cell r="Z28">
            <v>6544.1130359999997</v>
          </cell>
          <cell r="AA28">
            <v>6677.1575990000001</v>
          </cell>
          <cell r="AB28">
            <v>6816.2757890000003</v>
          </cell>
          <cell r="AC28">
            <v>6961.6993210000001</v>
          </cell>
          <cell r="AD28">
            <v>7113.691632</v>
          </cell>
          <cell r="AE28">
            <v>7272.4429730000002</v>
          </cell>
          <cell r="AF28">
            <v>7437.9838540000001</v>
          </cell>
          <cell r="AG28">
            <v>7610.1606339999998</v>
          </cell>
          <cell r="AH28">
            <v>7788.6875899999995</v>
          </cell>
          <cell r="AI28">
            <v>7973.1746000000003</v>
          </cell>
          <cell r="AJ28">
            <v>8163.1446089999999</v>
          </cell>
          <cell r="AK28">
            <v>8358.0450669999991</v>
          </cell>
        </row>
        <row r="29">
          <cell r="B29">
            <v>4359.8148870000005</v>
          </cell>
          <cell r="C29">
            <v>4411.6948110000003</v>
          </cell>
          <cell r="D29">
            <v>4466.6666400000004</v>
          </cell>
          <cell r="E29">
            <v>4525.325323</v>
          </cell>
          <cell r="F29">
            <v>4588.1275530000003</v>
          </cell>
          <cell r="G29">
            <v>4655.3974980000003</v>
          </cell>
          <cell r="H29">
            <v>4727.2700500000001</v>
          </cell>
          <cell r="I29">
            <v>4803.7635739999996</v>
          </cell>
          <cell r="J29">
            <v>4884.8431330000003</v>
          </cell>
          <cell r="K29">
            <v>4970.4605869999996</v>
          </cell>
          <cell r="L29">
            <v>5060.3639979999998</v>
          </cell>
          <cell r="M29">
            <v>5153.4035219999996</v>
          </cell>
          <cell r="N29">
            <v>5248.4328390000001</v>
          </cell>
          <cell r="O29">
            <v>5344.5454749999999</v>
          </cell>
          <cell r="P29">
            <v>5441.1499009999998</v>
          </cell>
          <cell r="Q29">
            <v>5537.95784</v>
          </cell>
          <cell r="R29">
            <v>5635.0255079999997</v>
          </cell>
          <cell r="S29">
            <v>5732.673221</v>
          </cell>
          <cell r="T29">
            <v>5831.3932199999999</v>
          </cell>
          <cell r="U29">
            <v>5931.7551970000004</v>
          </cell>
          <cell r="V29">
            <v>6034.3237879999997</v>
          </cell>
          <cell r="W29">
            <v>6139.7182030000004</v>
          </cell>
          <cell r="X29">
            <v>6248.5993310000003</v>
          </cell>
          <cell r="Y29">
            <v>6361.6362900000004</v>
          </cell>
          <cell r="Z29">
            <v>6479.4522239999997</v>
          </cell>
          <cell r="AA29">
            <v>6602.4853430000003</v>
          </cell>
          <cell r="AB29">
            <v>6731.0195640000002</v>
          </cell>
          <cell r="AC29">
            <v>6865.3775969999997</v>
          </cell>
          <cell r="AD29">
            <v>7005.9331990000001</v>
          </cell>
          <cell r="AE29">
            <v>7152.9946719999998</v>
          </cell>
          <cell r="AF29">
            <v>7306.7160160000003</v>
          </cell>
          <cell r="AG29">
            <v>7467.093124</v>
          </cell>
          <cell r="AH29">
            <v>7633.9975919999997</v>
          </cell>
          <cell r="AI29">
            <v>7807.2026470000001</v>
          </cell>
          <cell r="AJ29">
            <v>7986.3986400000003</v>
          </cell>
          <cell r="AK29">
            <v>8171.201556</v>
          </cell>
        </row>
        <row r="30">
          <cell r="B30">
            <v>43525.393369999998</v>
          </cell>
          <cell r="C30">
            <v>44041.222840000002</v>
          </cell>
          <cell r="D30">
            <v>44586.510670000003</v>
          </cell>
          <cell r="E30">
            <v>45166.774619999997</v>
          </cell>
          <cell r="F30">
            <v>45787.11073</v>
          </cell>
          <cell r="G30">
            <v>46451.25793</v>
          </cell>
          <cell r="H30">
            <v>47161.740519999999</v>
          </cell>
          <cell r="I30">
            <v>47907.400759999997</v>
          </cell>
          <cell r="J30">
            <v>48683.627469999999</v>
          </cell>
          <cell r="K30">
            <v>49501.286070000002</v>
          </cell>
          <cell r="L30">
            <v>50361.644979999997</v>
          </cell>
          <cell r="M30">
            <v>51255.40812</v>
          </cell>
          <cell r="N30">
            <v>52170.890149999999</v>
          </cell>
          <cell r="O30">
            <v>53098.583189999998</v>
          </cell>
          <cell r="P30">
            <v>54033.077169999997</v>
          </cell>
          <cell r="Q30">
            <v>54972.373910000002</v>
          </cell>
          <cell r="R30">
            <v>55916.444710000003</v>
          </cell>
          <cell r="S30">
            <v>56867.445780000002</v>
          </cell>
          <cell r="T30">
            <v>57829.484779999999</v>
          </cell>
          <cell r="U30">
            <v>58807.995779999997</v>
          </cell>
          <cell r="V30">
            <v>59808.616950000003</v>
          </cell>
          <cell r="W30">
            <v>60837.991840000002</v>
          </cell>
          <cell r="X30">
            <v>61903.195639999998</v>
          </cell>
          <cell r="Y30">
            <v>63011.373899999999</v>
          </cell>
          <cell r="Z30">
            <v>64169.246590000002</v>
          </cell>
          <cell r="AA30">
            <v>65381.73504</v>
          </cell>
          <cell r="AB30">
            <v>66652.347200000004</v>
          </cell>
          <cell r="AC30">
            <v>67984.630160000001</v>
          </cell>
          <cell r="AD30">
            <v>69382.431909999999</v>
          </cell>
          <cell r="AE30">
            <v>70848.876109999997</v>
          </cell>
          <cell r="AF30">
            <v>72385.515199999994</v>
          </cell>
          <cell r="AG30">
            <v>73992.302840000004</v>
          </cell>
          <cell r="AH30">
            <v>75667.821230000001</v>
          </cell>
          <cell r="AI30">
            <v>77409.510939999993</v>
          </cell>
          <cell r="AJ30">
            <v>79213.812430000005</v>
          </cell>
          <cell r="AK30">
            <v>81076.254700000005</v>
          </cell>
        </row>
        <row r="31">
          <cell r="B31">
            <v>43525.393369999998</v>
          </cell>
          <cell r="C31">
            <v>44041.222840000002</v>
          </cell>
          <cell r="D31">
            <v>44586.510670000003</v>
          </cell>
          <cell r="E31">
            <v>45166.774619999997</v>
          </cell>
          <cell r="F31">
            <v>45787.11073</v>
          </cell>
          <cell r="G31">
            <v>46451.25793</v>
          </cell>
          <cell r="H31">
            <v>47160.592980000001</v>
          </cell>
          <cell r="I31">
            <v>47915.001259999997</v>
          </cell>
          <cell r="J31">
            <v>48713.86954</v>
          </cell>
          <cell r="K31">
            <v>49556.498460000003</v>
          </cell>
          <cell r="L31">
            <v>50440.21269</v>
          </cell>
          <cell r="M31">
            <v>51353.473409999999</v>
          </cell>
          <cell r="N31">
            <v>52284.822890000003</v>
          </cell>
          <cell r="O31">
            <v>53225.213170000003</v>
          </cell>
          <cell r="P31">
            <v>54168.734420000001</v>
          </cell>
          <cell r="Q31">
            <v>55112.486360000003</v>
          </cell>
          <cell r="R31">
            <v>56057.391259999997</v>
          </cell>
          <cell r="S31">
            <v>57007.12528</v>
          </cell>
          <cell r="T31">
            <v>57967.053959999997</v>
          </cell>
          <cell r="U31">
            <v>58943.231670000001</v>
          </cell>
          <cell r="V31">
            <v>59941.581919999997</v>
          </cell>
          <cell r="W31">
            <v>60968.477460000002</v>
          </cell>
          <cell r="X31">
            <v>62030.636330000001</v>
          </cell>
          <cell r="Y31">
            <v>63134.815049999997</v>
          </cell>
          <cell r="Z31">
            <v>64287.289859999997</v>
          </cell>
          <cell r="AA31">
            <v>65492.533179999999</v>
          </cell>
          <cell r="AB31">
            <v>66753.504459999996</v>
          </cell>
          <cell r="AC31">
            <v>68073.535090000005</v>
          </cell>
          <cell r="AD31">
            <v>69456.448910000006</v>
          </cell>
          <cell r="AE31">
            <v>70905.413579999993</v>
          </cell>
          <cell r="AF31">
            <v>72422.062879999998</v>
          </cell>
          <cell r="AG31">
            <v>74006.457869999998</v>
          </cell>
          <cell r="AH31">
            <v>75657.419070000004</v>
          </cell>
          <cell r="AI31">
            <v>77372.779190000001</v>
          </cell>
          <cell r="AJ31">
            <v>79149.53168</v>
          </cell>
          <cell r="AK31">
            <v>80983.909419999996</v>
          </cell>
        </row>
        <row r="32">
          <cell r="B32">
            <v>25746.898130000001</v>
          </cell>
          <cell r="C32">
            <v>26087.630580000001</v>
          </cell>
          <cell r="D32">
            <v>26489.537329999999</v>
          </cell>
          <cell r="E32">
            <v>26955.420419999999</v>
          </cell>
          <cell r="F32">
            <v>27484.788</v>
          </cell>
          <cell r="G32">
            <v>28076.668109999999</v>
          </cell>
          <cell r="H32">
            <v>28730.013900000002</v>
          </cell>
          <cell r="I32">
            <v>29417.826720000001</v>
          </cell>
          <cell r="J32">
            <v>30131.33668</v>
          </cell>
          <cell r="K32">
            <v>30890.852500000001</v>
          </cell>
          <cell r="L32">
            <v>31691.223429999998</v>
          </cell>
          <cell r="M32">
            <v>32504.706030000001</v>
          </cell>
          <cell r="N32">
            <v>33308.230100000001</v>
          </cell>
          <cell r="O32">
            <v>34088.903160000002</v>
          </cell>
          <cell r="P32">
            <v>34844.218099999998</v>
          </cell>
          <cell r="Q32">
            <v>35577.824520000002</v>
          </cell>
          <cell r="R32">
            <v>36297.476349999997</v>
          </cell>
          <cell r="S32">
            <v>37011.145340000003</v>
          </cell>
          <cell r="T32">
            <v>37727.596530000003</v>
          </cell>
          <cell r="U32">
            <v>38455.784359999998</v>
          </cell>
          <cell r="V32">
            <v>39204.856809999997</v>
          </cell>
          <cell r="W32">
            <v>39984.02317</v>
          </cell>
          <cell r="X32">
            <v>40803.2696</v>
          </cell>
          <cell r="Y32">
            <v>41672.617299999998</v>
          </cell>
          <cell r="Z32">
            <v>42601.08685</v>
          </cell>
          <cell r="AA32">
            <v>43596.575360000003</v>
          </cell>
          <cell r="AB32">
            <v>44666.593430000001</v>
          </cell>
          <cell r="AC32">
            <v>45819.435290000001</v>
          </cell>
          <cell r="AD32">
            <v>47063.331180000001</v>
          </cell>
          <cell r="AE32">
            <v>48404.366280000002</v>
          </cell>
          <cell r="AF32">
            <v>49845.423329999998</v>
          </cell>
          <cell r="AG32">
            <v>51386.746229999997</v>
          </cell>
          <cell r="AH32">
            <v>53027.041539999998</v>
          </cell>
          <cell r="AI32">
            <v>54763.835700000003</v>
          </cell>
          <cell r="AJ32">
            <v>56593.579400000002</v>
          </cell>
          <cell r="AK32">
            <v>58511.636570000002</v>
          </cell>
        </row>
        <row r="33">
          <cell r="B33">
            <v>25746.898130000001</v>
          </cell>
          <cell r="C33">
            <v>26087.630580000001</v>
          </cell>
          <cell r="D33">
            <v>26489.537339999999</v>
          </cell>
          <cell r="E33">
            <v>26955.420419999999</v>
          </cell>
          <cell r="F33">
            <v>27484.788</v>
          </cell>
          <cell r="G33">
            <v>28076.668119999998</v>
          </cell>
          <cell r="H33">
            <v>28729.738109999998</v>
          </cell>
          <cell r="I33">
            <v>29442.063139999998</v>
          </cell>
          <cell r="J33">
            <v>30211.216649999998</v>
          </cell>
          <cell r="K33">
            <v>31034.713319999999</v>
          </cell>
          <cell r="L33">
            <v>31905.084900000002</v>
          </cell>
          <cell r="M33">
            <v>32799.302779999998</v>
          </cell>
          <cell r="N33">
            <v>33698.538379999998</v>
          </cell>
          <cell r="O33">
            <v>34590.727160000002</v>
          </cell>
          <cell r="P33">
            <v>35470.564050000001</v>
          </cell>
          <cell r="Q33">
            <v>36338.102590000002</v>
          </cell>
          <cell r="R33">
            <v>37197.563020000001</v>
          </cell>
          <cell r="S33">
            <v>38056.592660000002</v>
          </cell>
          <cell r="T33">
            <v>38924.951939999999</v>
          </cell>
          <cell r="U33">
            <v>39812.91113</v>
          </cell>
          <cell r="V33">
            <v>40730.666539999998</v>
          </cell>
          <cell r="W33">
            <v>41687.982539999997</v>
          </cell>
          <cell r="X33">
            <v>42694.618540000003</v>
          </cell>
          <cell r="Y33">
            <v>43759.882169999997</v>
          </cell>
          <cell r="Z33">
            <v>44891.734149999997</v>
          </cell>
          <cell r="AA33">
            <v>46096.789210000003</v>
          </cell>
          <cell r="AB33">
            <v>47381.032220000001</v>
          </cell>
          <cell r="AC33">
            <v>48750.857580000004</v>
          </cell>
          <cell r="AD33">
            <v>50212.442000000003</v>
          </cell>
          <cell r="AE33">
            <v>51769.653579999998</v>
          </cell>
          <cell r="AF33">
            <v>53423.009400000003</v>
          </cell>
          <cell r="AG33">
            <v>55170.317920000001</v>
          </cell>
          <cell r="AH33">
            <v>57007.751499999998</v>
          </cell>
          <cell r="AI33">
            <v>58930.474979999999</v>
          </cell>
          <cell r="AJ33">
            <v>60932.94339</v>
          </cell>
          <cell r="AK33">
            <v>63009.008979999999</v>
          </cell>
        </row>
        <row r="34">
          <cell r="B34">
            <v>14916.842500000001</v>
          </cell>
          <cell r="C34">
            <v>15104.23878</v>
          </cell>
          <cell r="D34">
            <v>15314.893340000001</v>
          </cell>
          <cell r="E34">
            <v>15551.597690000001</v>
          </cell>
          <cell r="F34">
            <v>15815.59132</v>
          </cell>
          <cell r="G34">
            <v>16108.90056</v>
          </cell>
          <cell r="H34">
            <v>16433.438999999998</v>
          </cell>
          <cell r="I34">
            <v>16783.312559999998</v>
          </cell>
          <cell r="J34">
            <v>17154.52003</v>
          </cell>
          <cell r="K34">
            <v>17551.147679999998</v>
          </cell>
          <cell r="L34">
            <v>17968.034070000002</v>
          </cell>
          <cell r="M34">
            <v>18391.321489999998</v>
          </cell>
          <cell r="N34">
            <v>18813.301459999999</v>
          </cell>
          <cell r="O34">
            <v>19231.04667</v>
          </cell>
          <cell r="P34">
            <v>19644.713199999998</v>
          </cell>
          <cell r="Q34">
            <v>20055.790860000001</v>
          </cell>
          <cell r="R34">
            <v>20465.788700000001</v>
          </cell>
          <cell r="S34">
            <v>20876.06063</v>
          </cell>
          <cell r="T34">
            <v>21288.293099999999</v>
          </cell>
          <cell r="U34">
            <v>21704.88926</v>
          </cell>
          <cell r="V34">
            <v>22129.142970000001</v>
          </cell>
          <cell r="W34">
            <v>22565.451840000002</v>
          </cell>
          <cell r="X34">
            <v>23019.64472</v>
          </cell>
          <cell r="Y34">
            <v>23498.00157</v>
          </cell>
          <cell r="Z34">
            <v>24006.58756</v>
          </cell>
          <cell r="AA34">
            <v>24550.319769999998</v>
          </cell>
          <cell r="AB34">
            <v>25134.273840000002</v>
          </cell>
          <cell r="AC34">
            <v>25764.095880000001</v>
          </cell>
          <cell r="AD34">
            <v>26445.625489999999</v>
          </cell>
          <cell r="AE34">
            <v>27184.112150000001</v>
          </cell>
          <cell r="AF34">
            <v>27983.695</v>
          </cell>
          <cell r="AG34">
            <v>28847.34779</v>
          </cell>
          <cell r="AH34">
            <v>29777.419259999999</v>
          </cell>
          <cell r="AI34">
            <v>30775.331109999999</v>
          </cell>
          <cell r="AJ34">
            <v>31841.367010000002</v>
          </cell>
          <cell r="AK34">
            <v>32974.563600000001</v>
          </cell>
        </row>
        <row r="35">
          <cell r="B35">
            <v>14916.842500000001</v>
          </cell>
          <cell r="C35">
            <v>15104.23878</v>
          </cell>
          <cell r="D35">
            <v>15314.893340000001</v>
          </cell>
          <cell r="E35">
            <v>15551.597690000001</v>
          </cell>
          <cell r="F35">
            <v>15815.59132</v>
          </cell>
          <cell r="G35">
            <v>16108.90056</v>
          </cell>
          <cell r="H35">
            <v>16432.923330000001</v>
          </cell>
          <cell r="I35">
            <v>16788.568940000001</v>
          </cell>
          <cell r="J35">
            <v>17176.14215</v>
          </cell>
          <cell r="K35">
            <v>17595.711060000001</v>
          </cell>
          <cell r="L35">
            <v>18045.75172</v>
          </cell>
          <cell r="M35">
            <v>18518.69887</v>
          </cell>
          <cell r="N35">
            <v>19007.113959999999</v>
          </cell>
          <cell r="O35">
            <v>19504.885450000002</v>
          </cell>
          <cell r="P35">
            <v>20007.66056</v>
          </cell>
          <cell r="Q35">
            <v>20512.82416</v>
          </cell>
          <cell r="R35">
            <v>21019.997230000001</v>
          </cell>
          <cell r="S35">
            <v>21530.47539</v>
          </cell>
          <cell r="T35">
            <v>22046.690910000001</v>
          </cell>
          <cell r="U35">
            <v>22571.683959999998</v>
          </cell>
          <cell r="V35">
            <v>23108.6492</v>
          </cell>
          <cell r="W35">
            <v>23661.370470000002</v>
          </cell>
          <cell r="X35">
            <v>24234.06883</v>
          </cell>
          <cell r="Y35">
            <v>24831.165560000001</v>
          </cell>
          <cell r="Z35">
            <v>25456.909009999999</v>
          </cell>
          <cell r="AA35">
            <v>26114.477490000001</v>
          </cell>
          <cell r="AB35">
            <v>26807.131679999999</v>
          </cell>
          <cell r="AC35">
            <v>27538.360690000001</v>
          </cell>
          <cell r="AD35">
            <v>28311.72869</v>
          </cell>
          <cell r="AE35">
            <v>29130.17382</v>
          </cell>
          <cell r="AF35">
            <v>29995.527440000002</v>
          </cell>
          <cell r="AG35">
            <v>30908.542720000001</v>
          </cell>
          <cell r="AH35">
            <v>31869.103459999998</v>
          </cell>
          <cell r="AI35">
            <v>32876.34491</v>
          </cell>
          <cell r="AJ35">
            <v>33928.705549999999</v>
          </cell>
          <cell r="AK35">
            <v>35023.9424</v>
          </cell>
        </row>
        <row r="36">
          <cell r="B36">
            <v>1988977.7560000001</v>
          </cell>
          <cell r="C36">
            <v>2012691.713</v>
          </cell>
          <cell r="D36">
            <v>2038027.6680000001</v>
          </cell>
          <cell r="E36">
            <v>2065386.564</v>
          </cell>
          <cell r="F36">
            <v>2095101.807</v>
          </cell>
          <cell r="G36">
            <v>2127420.398</v>
          </cell>
          <cell r="H36">
            <v>2162515.122</v>
          </cell>
          <cell r="I36">
            <v>2200045.9190000002</v>
          </cell>
          <cell r="J36">
            <v>2239892.7719999999</v>
          </cell>
          <cell r="K36">
            <v>2282614.7799999998</v>
          </cell>
          <cell r="L36">
            <v>2328455.1630000002</v>
          </cell>
          <cell r="M36">
            <v>2377082.5109999999</v>
          </cell>
          <cell r="N36">
            <v>2427930.4610000001</v>
          </cell>
          <cell r="O36">
            <v>2480451.0389999999</v>
          </cell>
          <cell r="P36">
            <v>2534239.6159999999</v>
          </cell>
          <cell r="Q36">
            <v>2589041.2289999998</v>
          </cell>
          <cell r="R36">
            <v>2644689.7549999999</v>
          </cell>
          <cell r="S36">
            <v>2701163.077</v>
          </cell>
          <cell r="T36">
            <v>2758558.824</v>
          </cell>
          <cell r="U36">
            <v>2817062.406</v>
          </cell>
          <cell r="V36">
            <v>2876879.5219999999</v>
          </cell>
          <cell r="W36">
            <v>2938282.4989999998</v>
          </cell>
          <cell r="X36">
            <v>3001576.3489999999</v>
          </cell>
          <cell r="Y36">
            <v>3067091.08</v>
          </cell>
          <cell r="Z36">
            <v>3135162.6409999998</v>
          </cell>
          <cell r="AA36">
            <v>3206042.3169999998</v>
          </cell>
          <cell r="AB36">
            <v>3279900.5419999999</v>
          </cell>
          <cell r="AC36">
            <v>3356913.4720000001</v>
          </cell>
          <cell r="AD36">
            <v>3437300.7659999998</v>
          </cell>
          <cell r="AE36">
            <v>3521284.571</v>
          </cell>
          <cell r="AF36">
            <v>3609042.7590000001</v>
          </cell>
          <cell r="AG36">
            <v>3700687.446</v>
          </cell>
          <cell r="AH36">
            <v>3796264.8840000001</v>
          </cell>
          <cell r="AI36">
            <v>3895762.2059999998</v>
          </cell>
          <cell r="AJ36">
            <v>3999109.6940000001</v>
          </cell>
          <cell r="AK36">
            <v>4106181.1680000001</v>
          </cell>
        </row>
        <row r="37">
          <cell r="B37">
            <v>1988977.7560000001</v>
          </cell>
          <cell r="C37">
            <v>2012691.713</v>
          </cell>
          <cell r="D37">
            <v>2038027.6680000001</v>
          </cell>
          <cell r="E37">
            <v>2065386.564</v>
          </cell>
          <cell r="F37">
            <v>2095101.8060000001</v>
          </cell>
          <cell r="G37">
            <v>2127420.398</v>
          </cell>
          <cell r="H37">
            <v>2162459.5440000002</v>
          </cell>
          <cell r="I37">
            <v>2200261.0869999998</v>
          </cell>
          <cell r="J37">
            <v>2240838.9619999998</v>
          </cell>
          <cell r="K37">
            <v>2284199.0060000001</v>
          </cell>
          <cell r="L37">
            <v>2330271.0260000001</v>
          </cell>
          <cell r="M37">
            <v>2378570.7450000001</v>
          </cell>
          <cell r="N37">
            <v>2428552.8489999999</v>
          </cell>
          <cell r="O37">
            <v>2479728.628</v>
          </cell>
          <cell r="P37">
            <v>2531718.5950000002</v>
          </cell>
          <cell r="Q37">
            <v>2584267.3539999998</v>
          </cell>
          <cell r="R37">
            <v>2637308.1660000002</v>
          </cell>
          <cell r="S37">
            <v>2690917.1910000001</v>
          </cell>
          <cell r="T37">
            <v>2745265.7769999998</v>
          </cell>
          <cell r="U37">
            <v>2800577.8149999999</v>
          </cell>
          <cell r="V37">
            <v>2857083.84</v>
          </cell>
          <cell r="W37">
            <v>2915066.1579999998</v>
          </cell>
          <cell r="X37">
            <v>2974844.1409999998</v>
          </cell>
          <cell r="Y37">
            <v>3036758.71</v>
          </cell>
          <cell r="Z37">
            <v>3101147.7220000001</v>
          </cell>
          <cell r="AA37">
            <v>3168255.1970000002</v>
          </cell>
          <cell r="AB37">
            <v>3238245.074</v>
          </cell>
          <cell r="AC37">
            <v>3311301.4539999999</v>
          </cell>
          <cell r="AD37">
            <v>3387646.753</v>
          </cell>
          <cell r="AE37">
            <v>3467492.3459999999</v>
          </cell>
          <cell r="AF37">
            <v>3550991.55</v>
          </cell>
          <cell r="AG37">
            <v>3638226.301</v>
          </cell>
          <cell r="AH37">
            <v>3729212.6710000001</v>
          </cell>
          <cell r="AI37">
            <v>3823906.5920000002</v>
          </cell>
          <cell r="AJ37">
            <v>3922207.173</v>
          </cell>
          <cell r="AK37">
            <v>4023958.1069999998</v>
          </cell>
        </row>
        <row r="38">
          <cell r="B38">
            <v>436529.04729999998</v>
          </cell>
          <cell r="C38">
            <v>441571.39039999997</v>
          </cell>
          <cell r="D38">
            <v>446712.56099999999</v>
          </cell>
          <cell r="E38">
            <v>451962.24570000003</v>
          </cell>
          <cell r="F38">
            <v>457342.3688</v>
          </cell>
          <cell r="G38">
            <v>462866.64720000001</v>
          </cell>
          <cell r="H38">
            <v>468542.3848</v>
          </cell>
          <cell r="I38">
            <v>474343.1446</v>
          </cell>
          <cell r="J38">
            <v>480259.46600000001</v>
          </cell>
          <cell r="K38">
            <v>486308.57299999997</v>
          </cell>
          <cell r="L38">
            <v>492497.20669999998</v>
          </cell>
          <cell r="M38">
            <v>498860.0453</v>
          </cell>
          <cell r="N38">
            <v>505408.44170000002</v>
          </cell>
          <cell r="O38">
            <v>512145.06329999998</v>
          </cell>
          <cell r="P38">
            <v>519071.84100000001</v>
          </cell>
          <cell r="Q38">
            <v>526192.15029999998</v>
          </cell>
          <cell r="R38">
            <v>533507.63390000002</v>
          </cell>
          <cell r="S38">
            <v>541024.4166</v>
          </cell>
          <cell r="T38">
            <v>548751.56550000003</v>
          </cell>
          <cell r="U38">
            <v>556701.01899999997</v>
          </cell>
          <cell r="V38">
            <v>564880.30759999994</v>
          </cell>
          <cell r="W38">
            <v>573302.90800000005</v>
          </cell>
          <cell r="X38">
            <v>581977.81880000001</v>
          </cell>
          <cell r="Y38">
            <v>590911.06370000006</v>
          </cell>
          <cell r="Z38">
            <v>600106.58270000003</v>
          </cell>
          <cell r="AA38">
            <v>609561.41029999999</v>
          </cell>
          <cell r="AB38">
            <v>619271.31689999998</v>
          </cell>
          <cell r="AC38">
            <v>629231.16040000005</v>
          </cell>
          <cell r="AD38">
            <v>639438.49289999995</v>
          </cell>
          <cell r="AE38">
            <v>649892.64359999995</v>
          </cell>
          <cell r="AF38">
            <v>660593.23459999997</v>
          </cell>
          <cell r="AG38">
            <v>671541.478</v>
          </cell>
          <cell r="AH38">
            <v>682736.89080000005</v>
          </cell>
          <cell r="AI38">
            <v>694178.06319999998</v>
          </cell>
          <cell r="AJ38">
            <v>705863.04449999996</v>
          </cell>
          <cell r="AK38">
            <v>717789.45299999998</v>
          </cell>
        </row>
        <row r="39">
          <cell r="B39">
            <v>436529.04729999998</v>
          </cell>
          <cell r="C39">
            <v>441571.39039999997</v>
          </cell>
          <cell r="D39">
            <v>446712.56099999999</v>
          </cell>
          <cell r="E39">
            <v>451962.24570000003</v>
          </cell>
          <cell r="F39">
            <v>457342.3688</v>
          </cell>
          <cell r="G39">
            <v>462866.64720000001</v>
          </cell>
          <cell r="H39">
            <v>468535.2537</v>
          </cell>
          <cell r="I39">
            <v>474344.37770000001</v>
          </cell>
          <cell r="J39">
            <v>480294.6053</v>
          </cell>
          <cell r="K39">
            <v>486390.62390000001</v>
          </cell>
          <cell r="L39">
            <v>492639.09610000002</v>
          </cell>
          <cell r="M39">
            <v>499034.43650000001</v>
          </cell>
          <cell r="N39">
            <v>505571.22600000002</v>
          </cell>
          <cell r="O39">
            <v>512247.00229999999</v>
          </cell>
          <cell r="P39">
            <v>519062.53649999999</v>
          </cell>
          <cell r="Q39">
            <v>526021.21189999999</v>
          </cell>
          <cell r="R39">
            <v>533135.93980000005</v>
          </cell>
          <cell r="S39">
            <v>540421.99340000004</v>
          </cell>
          <cell r="T39">
            <v>547892.75430000003</v>
          </cell>
          <cell r="U39">
            <v>555557.82389999996</v>
          </cell>
          <cell r="V39">
            <v>563421.21120000002</v>
          </cell>
          <cell r="W39">
            <v>571485.58909999998</v>
          </cell>
          <cell r="X39">
            <v>579752.51930000004</v>
          </cell>
          <cell r="Y39">
            <v>588222.67890000006</v>
          </cell>
          <cell r="Z39">
            <v>596895.72439999995</v>
          </cell>
          <cell r="AA39">
            <v>605765.09239999996</v>
          </cell>
          <cell r="AB39">
            <v>614820.36609999998</v>
          </cell>
          <cell r="AC39">
            <v>624054.91850000003</v>
          </cell>
          <cell r="AD39">
            <v>633467.19290000002</v>
          </cell>
          <cell r="AE39">
            <v>643058.42969999998</v>
          </cell>
          <cell r="AF39">
            <v>652830.68319999997</v>
          </cell>
          <cell r="AG39">
            <v>662786.25349999999</v>
          </cell>
          <cell r="AH39">
            <v>672927.75540000002</v>
          </cell>
          <cell r="AI39">
            <v>683258.06920000003</v>
          </cell>
          <cell r="AJ39">
            <v>693780.10789999994</v>
          </cell>
          <cell r="AK39">
            <v>704496.46779999998</v>
          </cell>
        </row>
        <row r="40">
          <cell r="B40">
            <v>5635.4146430000001</v>
          </cell>
          <cell r="C40">
            <v>5701.9320809999999</v>
          </cell>
          <cell r="D40">
            <v>5772.7482730000002</v>
          </cell>
          <cell r="E40">
            <v>5848.7086529999997</v>
          </cell>
          <cell r="F40">
            <v>5930.6808799999999</v>
          </cell>
          <cell r="G40">
            <v>6019.4306939999997</v>
          </cell>
          <cell r="H40">
            <v>6115.4813610000001</v>
          </cell>
          <cell r="I40">
            <v>6215.6167949999999</v>
          </cell>
          <cell r="J40">
            <v>6317.9723979999999</v>
          </cell>
          <cell r="K40">
            <v>6422.9196080000002</v>
          </cell>
          <cell r="L40">
            <v>6529.4988629999998</v>
          </cell>
          <cell r="M40">
            <v>6635.9862629999998</v>
          </cell>
          <cell r="N40">
            <v>6740.7597310000001</v>
          </cell>
          <cell r="O40">
            <v>6842.7439880000002</v>
          </cell>
          <cell r="P40">
            <v>6941.5485870000002</v>
          </cell>
          <cell r="Q40">
            <v>7037.2966159999996</v>
          </cell>
          <cell r="R40">
            <v>7131.1191360000003</v>
          </cell>
          <cell r="S40">
            <v>7223.8563869999998</v>
          </cell>
          <cell r="T40">
            <v>7316.2843000000003</v>
          </cell>
          <cell r="U40">
            <v>7409.011058</v>
          </cell>
          <cell r="V40">
            <v>7502.8870999999999</v>
          </cell>
          <cell r="W40">
            <v>7599.0006039999998</v>
          </cell>
          <cell r="X40">
            <v>7698.5872170000002</v>
          </cell>
          <cell r="Y40">
            <v>7802.9246450000001</v>
          </cell>
          <cell r="Z40">
            <v>7913.2273679999998</v>
          </cell>
          <cell r="AA40">
            <v>8030.4964460000001</v>
          </cell>
          <cell r="AB40">
            <v>8155.0581279999997</v>
          </cell>
          <cell r="AC40">
            <v>8287.4632849999998</v>
          </cell>
          <cell r="AD40">
            <v>8428.4179230000009</v>
          </cell>
          <cell r="AE40">
            <v>8578.566143</v>
          </cell>
          <cell r="AF40">
            <v>8738.3297110000003</v>
          </cell>
          <cell r="AG40">
            <v>8907.9150740000005</v>
          </cell>
          <cell r="AH40">
            <v>9087.3458520000004</v>
          </cell>
          <cell r="AI40">
            <v>9276.4792020000004</v>
          </cell>
          <cell r="AJ40">
            <v>9475.0158699999993</v>
          </cell>
          <cell r="AK40">
            <v>9682.5075899999993</v>
          </cell>
        </row>
        <row r="41">
          <cell r="B41">
            <v>5635.4146430000001</v>
          </cell>
          <cell r="C41">
            <v>5701.9320799999996</v>
          </cell>
          <cell r="D41">
            <v>5772.7482730000002</v>
          </cell>
          <cell r="E41">
            <v>5848.7086529999997</v>
          </cell>
          <cell r="F41">
            <v>5930.6808799999999</v>
          </cell>
          <cell r="G41">
            <v>6019.4306939999997</v>
          </cell>
          <cell r="H41">
            <v>6115.2881710000001</v>
          </cell>
          <cell r="I41">
            <v>6218.2397209999999</v>
          </cell>
          <cell r="J41">
            <v>6328.0917929999996</v>
          </cell>
          <cell r="K41">
            <v>6444.5749649999998</v>
          </cell>
          <cell r="L41">
            <v>6567.0190030000003</v>
          </cell>
          <cell r="M41">
            <v>6693.3907390000004</v>
          </cell>
          <cell r="N41">
            <v>6821.6117770000001</v>
          </cell>
          <cell r="O41">
            <v>6950.065353</v>
          </cell>
          <cell r="P41">
            <v>7077.7535829999997</v>
          </cell>
          <cell r="Q41">
            <v>7204.2650659999999</v>
          </cell>
          <cell r="R41">
            <v>7329.908023</v>
          </cell>
          <cell r="S41">
            <v>7455.5501679999998</v>
          </cell>
          <cell r="T41">
            <v>7582.4014440000001</v>
          </cell>
          <cell r="U41">
            <v>7711.8097180000004</v>
          </cell>
          <cell r="V41">
            <v>7845.1214110000001</v>
          </cell>
          <cell r="W41">
            <v>7983.7078339999998</v>
          </cell>
          <cell r="X41">
            <v>8128.9661699999997</v>
          </cell>
          <cell r="Y41">
            <v>8282.2724230000003</v>
          </cell>
          <cell r="Z41">
            <v>8444.8959350000005</v>
          </cell>
          <cell r="AA41">
            <v>8617.8526529999999</v>
          </cell>
          <cell r="AB41">
            <v>8801.6617740000002</v>
          </cell>
          <cell r="AC41">
            <v>8996.8250669999998</v>
          </cell>
          <cell r="AD41">
            <v>9203.9239170000001</v>
          </cell>
          <cell r="AE41">
            <v>9423.4350730000006</v>
          </cell>
          <cell r="AF41">
            <v>9655.5684739999997</v>
          </cell>
          <cell r="AG41">
            <v>9900.2485340000003</v>
          </cell>
          <cell r="AH41">
            <v>10157.16769</v>
          </cell>
          <cell r="AI41">
            <v>10425.83295</v>
          </cell>
          <cell r="AJ41">
            <v>10705.596949999999</v>
          </cell>
          <cell r="AK41">
            <v>10995.67758</v>
          </cell>
        </row>
        <row r="42">
          <cell r="B42">
            <v>22390.983779999999</v>
          </cell>
          <cell r="C42">
            <v>22641.42152</v>
          </cell>
          <cell r="D42">
            <v>22890.721819999999</v>
          </cell>
          <cell r="E42">
            <v>23140.044880000001</v>
          </cell>
          <cell r="F42">
            <v>23394.286690000001</v>
          </cell>
          <cell r="G42">
            <v>23658.890159999999</v>
          </cell>
          <cell r="H42">
            <v>23939.53097</v>
          </cell>
          <cell r="I42">
            <v>24231.81566</v>
          </cell>
          <cell r="J42">
            <v>24530.054090000001</v>
          </cell>
          <cell r="K42">
            <v>24834.09763</v>
          </cell>
          <cell r="L42">
            <v>25136.45966</v>
          </cell>
          <cell r="M42">
            <v>25432.474979999999</v>
          </cell>
          <cell r="N42">
            <v>25719.281950000001</v>
          </cell>
          <cell r="O42">
            <v>25995.52478</v>
          </cell>
          <cell r="P42">
            <v>26261.294519999999</v>
          </cell>
          <cell r="Q42">
            <v>26517.502499999999</v>
          </cell>
          <cell r="R42">
            <v>26760.074850000001</v>
          </cell>
          <cell r="S42">
            <v>26988.250690000001</v>
          </cell>
          <cell r="T42">
            <v>27198.078839999998</v>
          </cell>
          <cell r="U42">
            <v>27376.824629999999</v>
          </cell>
          <cell r="V42">
            <v>27521.083419999999</v>
          </cell>
          <cell r="W42">
            <v>27630.43938</v>
          </cell>
          <cell r="X42">
            <v>27705.3675</v>
          </cell>
          <cell r="Y42">
            <v>27746.645380000002</v>
          </cell>
          <cell r="Z42">
            <v>27755.12599</v>
          </cell>
          <cell r="AA42">
            <v>27731.555359999998</v>
          </cell>
          <cell r="AB42">
            <v>27674.720600000001</v>
          </cell>
          <cell r="AC42">
            <v>27584.5962</v>
          </cell>
          <cell r="AD42">
            <v>27462.636009999998</v>
          </cell>
          <cell r="AE42">
            <v>27311.003720000001</v>
          </cell>
          <cell r="AF42">
            <v>27132.08094</v>
          </cell>
          <cell r="AG42">
            <v>26928.565409999999</v>
          </cell>
          <cell r="AH42">
            <v>26703.476429999999</v>
          </cell>
          <cell r="AI42">
            <v>26460.15409</v>
          </cell>
          <cell r="AJ42">
            <v>26202.22409</v>
          </cell>
          <cell r="AK42">
            <v>25933.52061</v>
          </cell>
        </row>
        <row r="43">
          <cell r="B43">
            <v>22390.983769999999</v>
          </cell>
          <cell r="C43">
            <v>22641.42151</v>
          </cell>
          <cell r="D43">
            <v>22890.721799999999</v>
          </cell>
          <cell r="E43">
            <v>23140.044860000002</v>
          </cell>
          <cell r="F43">
            <v>23394.286670000001</v>
          </cell>
          <cell r="G43">
            <v>23658.89013</v>
          </cell>
          <cell r="H43">
            <v>23938.696169999999</v>
          </cell>
          <cell r="I43">
            <v>24235.97912</v>
          </cell>
          <cell r="J43">
            <v>24551.673169999998</v>
          </cell>
          <cell r="K43">
            <v>24886.070009999999</v>
          </cell>
          <cell r="L43">
            <v>25238.209610000002</v>
          </cell>
          <cell r="M43">
            <v>25602.868190000001</v>
          </cell>
          <cell r="N43">
            <v>25974.536380000001</v>
          </cell>
          <cell r="O43">
            <v>26348.789519999998</v>
          </cell>
          <cell r="P43">
            <v>26722.61981</v>
          </cell>
          <cell r="Q43">
            <v>27094.363840000002</v>
          </cell>
          <cell r="R43">
            <v>27464.100350000001</v>
          </cell>
          <cell r="S43">
            <v>27833.971460000001</v>
          </cell>
          <cell r="T43">
            <v>28207.195909999999</v>
          </cell>
          <cell r="U43">
            <v>28587.343659999999</v>
          </cell>
          <cell r="V43">
            <v>28977.95146</v>
          </cell>
          <cell r="W43">
            <v>29382.650590000001</v>
          </cell>
          <cell r="X43">
            <v>29805.192510000001</v>
          </cell>
          <cell r="Y43">
            <v>30249.386210000001</v>
          </cell>
          <cell r="Z43">
            <v>30718.93146</v>
          </cell>
          <cell r="AA43">
            <v>31217.11492</v>
          </cell>
          <cell r="AB43">
            <v>31742.620060000001</v>
          </cell>
          <cell r="AC43">
            <v>32295.178469999999</v>
          </cell>
          <cell r="AD43">
            <v>32876.085650000001</v>
          </cell>
          <cell r="AE43">
            <v>33487.08167</v>
          </cell>
          <cell r="AF43">
            <v>34129.478139999999</v>
          </cell>
          <cell r="AG43">
            <v>34803.881529999999</v>
          </cell>
          <cell r="AH43">
            <v>35510.219010000001</v>
          </cell>
          <cell r="AI43">
            <v>36247.792479999996</v>
          </cell>
          <cell r="AJ43">
            <v>37015.312420000002</v>
          </cell>
          <cell r="AK43">
            <v>37810.913110000001</v>
          </cell>
        </row>
        <row r="44">
          <cell r="B44">
            <v>1608.1515999999999</v>
          </cell>
          <cell r="C44">
            <v>1625.6669890000001</v>
          </cell>
          <cell r="D44">
            <v>1642.3911740000001</v>
          </cell>
          <cell r="E44">
            <v>1658.39995</v>
          </cell>
          <cell r="F44">
            <v>1674.086184</v>
          </cell>
          <cell r="G44">
            <v>1689.8944260000001</v>
          </cell>
          <cell r="H44">
            <v>1706.1126819999999</v>
          </cell>
          <cell r="I44">
            <v>1722.5188029999999</v>
          </cell>
          <cell r="J44">
            <v>1738.778296</v>
          </cell>
          <cell r="K44">
            <v>1754.6723999999999</v>
          </cell>
          <cell r="L44">
            <v>1769.781166</v>
          </cell>
          <cell r="M44">
            <v>1784.164239</v>
          </cell>
          <cell r="N44">
            <v>1797.9075069999999</v>
          </cell>
          <cell r="O44">
            <v>1811.0706990000001</v>
          </cell>
          <cell r="P44">
            <v>1823.6929640000001</v>
          </cell>
          <cell r="Q44">
            <v>1835.794672</v>
          </cell>
          <cell r="R44">
            <v>1847.2791500000001</v>
          </cell>
          <cell r="S44">
            <v>1858.1052239999999</v>
          </cell>
          <cell r="T44">
            <v>1873.589579</v>
          </cell>
          <cell r="U44">
            <v>1910.1516280000001</v>
          </cell>
          <cell r="V44">
            <v>1976.341304</v>
          </cell>
          <cell r="W44">
            <v>2078.680899</v>
          </cell>
          <cell r="X44">
            <v>2223.6633489999999</v>
          </cell>
          <cell r="Y44">
            <v>2418.4047150000001</v>
          </cell>
          <cell r="Z44">
            <v>2670.8044799999998</v>
          </cell>
          <cell r="AA44">
            <v>2989.4459219999999</v>
          </cell>
          <cell r="AB44">
            <v>3383.354441</v>
          </cell>
          <cell r="AC44">
            <v>3861.7565559999998</v>
          </cell>
          <cell r="AD44">
            <v>4433.6822039999997</v>
          </cell>
          <cell r="AE44">
            <v>5107.4189649999998</v>
          </cell>
          <cell r="AF44">
            <v>5889.8977420000001</v>
          </cell>
          <cell r="AG44">
            <v>6786.2152580000002</v>
          </cell>
          <cell r="AH44">
            <v>7799.1072690000001</v>
          </cell>
          <cell r="AI44">
            <v>8928.5492460000005</v>
          </cell>
          <cell r="AJ44">
            <v>10171.52902</v>
          </cell>
          <cell r="AK44">
            <v>11522.011060000001</v>
          </cell>
        </row>
        <row r="45">
          <cell r="B45">
            <v>1608.1515999999999</v>
          </cell>
          <cell r="C45">
            <v>1625.6669890000001</v>
          </cell>
          <cell r="D45">
            <v>1642.3911740000001</v>
          </cell>
          <cell r="E45">
            <v>1658.39995</v>
          </cell>
          <cell r="F45">
            <v>1674.086184</v>
          </cell>
          <cell r="G45">
            <v>1689.8944260000001</v>
          </cell>
          <cell r="H45">
            <v>1706.0869130000001</v>
          </cell>
          <cell r="I45">
            <v>1722.8204310000001</v>
          </cell>
          <cell r="J45">
            <v>1740.182213</v>
          </cell>
          <cell r="K45">
            <v>1758.2103420000001</v>
          </cell>
          <cell r="L45">
            <v>1776.881453</v>
          </cell>
          <cell r="M45">
            <v>1796.1567110000001</v>
          </cell>
          <cell r="N45">
            <v>1815.880498</v>
          </cell>
          <cell r="O45">
            <v>1835.8718040000001</v>
          </cell>
          <cell r="P45">
            <v>1855.9706450000001</v>
          </cell>
          <cell r="Q45">
            <v>1876.054421</v>
          </cell>
          <cell r="R45">
            <v>1896.023633</v>
          </cell>
          <cell r="S45">
            <v>1915.9157090000001</v>
          </cell>
          <cell r="T45">
            <v>1935.8386740000001</v>
          </cell>
          <cell r="U45">
            <v>1955.9238580000001</v>
          </cell>
          <cell r="V45">
            <v>1976.3017159999999</v>
          </cell>
          <cell r="W45">
            <v>1997.105804</v>
          </cell>
          <cell r="X45">
            <v>2018.473506</v>
          </cell>
          <cell r="Y45">
            <v>2040.5444930000001</v>
          </cell>
          <cell r="Z45">
            <v>2063.4554450000001</v>
          </cell>
          <cell r="AA45">
            <v>2087.3246100000001</v>
          </cell>
          <cell r="AB45">
            <v>2112.2224930000002</v>
          </cell>
          <cell r="AC45">
            <v>2138.2237180000002</v>
          </cell>
          <cell r="AD45">
            <v>2165.4154619999999</v>
          </cell>
          <cell r="AE45">
            <v>2193.8803680000001</v>
          </cell>
          <cell r="AF45">
            <v>2223.679392</v>
          </cell>
          <cell r="AG45">
            <v>2254.8452309999998</v>
          </cell>
          <cell r="AH45">
            <v>2287.382016</v>
          </cell>
          <cell r="AI45">
            <v>2321.2653719999998</v>
          </cell>
          <cell r="AJ45">
            <v>2356.4421010000001</v>
          </cell>
          <cell r="AK45">
            <v>2392.8297809999999</v>
          </cell>
        </row>
        <row r="46">
          <cell r="B46">
            <v>534.21671709999998</v>
          </cell>
          <cell r="C46">
            <v>540.02574179999999</v>
          </cell>
          <cell r="D46">
            <v>545.73936419999995</v>
          </cell>
          <cell r="E46">
            <v>551.3547337</v>
          </cell>
          <cell r="F46">
            <v>557.03756829999998</v>
          </cell>
          <cell r="G46">
            <v>562.95184429999995</v>
          </cell>
          <cell r="H46">
            <v>569.97140820000004</v>
          </cell>
          <cell r="I46">
            <v>578.20882240000003</v>
          </cell>
          <cell r="J46">
            <v>587.56892149999999</v>
          </cell>
          <cell r="K46">
            <v>598.04693610000004</v>
          </cell>
          <cell r="L46">
            <v>608.93706870000005</v>
          </cell>
          <cell r="M46">
            <v>619.44488060000003</v>
          </cell>
          <cell r="N46">
            <v>629.24645239999995</v>
          </cell>
          <cell r="O46">
            <v>638.26399070000002</v>
          </cell>
          <cell r="P46">
            <v>646.52715980000005</v>
          </cell>
          <cell r="Q46">
            <v>654.10886340000002</v>
          </cell>
          <cell r="R46">
            <v>659.67818269999998</v>
          </cell>
          <cell r="S46">
            <v>662.73667809999995</v>
          </cell>
          <cell r="T46">
            <v>663.09600999999998</v>
          </cell>
          <cell r="U46">
            <v>660.69943220000005</v>
          </cell>
          <cell r="V46">
            <v>655.60724930000003</v>
          </cell>
          <cell r="W46">
            <v>648.01199410000004</v>
          </cell>
          <cell r="X46">
            <v>638.22840020000001</v>
          </cell>
          <cell r="Y46">
            <v>626.68909120000001</v>
          </cell>
          <cell r="Z46">
            <v>613.93137669999999</v>
          </cell>
          <cell r="AA46">
            <v>600.56955319999997</v>
          </cell>
          <cell r="AB46">
            <v>586.93900150000002</v>
          </cell>
          <cell r="AC46">
            <v>573.51476100000002</v>
          </cell>
          <cell r="AD46">
            <v>560.8869631</v>
          </cell>
          <cell r="AE46">
            <v>549.64598169999999</v>
          </cell>
          <cell r="AF46">
            <v>540.31302919999996</v>
          </cell>
          <cell r="AG46">
            <v>533.31837599999994</v>
          </cell>
          <cell r="AH46">
            <v>528.99592819999998</v>
          </cell>
          <cell r="AI46">
            <v>527.58919309999999</v>
          </cell>
          <cell r="AJ46">
            <v>529.26054720000002</v>
          </cell>
          <cell r="AK46">
            <v>534.10116189999997</v>
          </cell>
        </row>
        <row r="47">
          <cell r="B47">
            <v>534.21671519999995</v>
          </cell>
          <cell r="C47">
            <v>540.02573740000003</v>
          </cell>
          <cell r="D47">
            <v>545.73935749999998</v>
          </cell>
          <cell r="E47">
            <v>551.35472470000002</v>
          </cell>
          <cell r="F47">
            <v>557.03755720000004</v>
          </cell>
          <cell r="G47">
            <v>562.95183120000002</v>
          </cell>
          <cell r="H47">
            <v>569.78926049999995</v>
          </cell>
          <cell r="I47">
            <v>577.86340900000005</v>
          </cell>
          <cell r="J47">
            <v>587.32519049999996</v>
          </cell>
          <cell r="K47">
            <v>598.28289359999997</v>
          </cell>
          <cell r="L47">
            <v>610.82555190000005</v>
          </cell>
          <cell r="M47">
            <v>624.23454600000002</v>
          </cell>
          <cell r="N47">
            <v>638.09613149999996</v>
          </cell>
          <cell r="O47">
            <v>652.22679070000004</v>
          </cell>
          <cell r="P47">
            <v>666.56114400000001</v>
          </cell>
          <cell r="Q47">
            <v>681.09857030000001</v>
          </cell>
          <cell r="R47">
            <v>695.97801990000005</v>
          </cell>
          <cell r="S47">
            <v>711.37797190000003</v>
          </cell>
          <cell r="T47">
            <v>727.47722659999999</v>
          </cell>
          <cell r="U47">
            <v>744.44720729999995</v>
          </cell>
          <cell r="V47">
            <v>762.44889839999996</v>
          </cell>
          <cell r="W47">
            <v>781.65169130000004</v>
          </cell>
          <cell r="X47">
            <v>802.23574029999997</v>
          </cell>
          <cell r="Y47">
            <v>824.39322830000003</v>
          </cell>
          <cell r="Z47">
            <v>848.32653059999996</v>
          </cell>
          <cell r="AA47">
            <v>874.2316343</v>
          </cell>
          <cell r="AB47">
            <v>901.40287760000001</v>
          </cell>
          <cell r="AC47">
            <v>929.30268469999999</v>
          </cell>
          <cell r="AD47">
            <v>957.73699090000002</v>
          </cell>
          <cell r="AE47">
            <v>986.69784849999996</v>
          </cell>
          <cell r="AF47">
            <v>1016.229888</v>
          </cell>
          <cell r="AG47">
            <v>1046.369602</v>
          </cell>
          <cell r="AH47">
            <v>1077.1278749999999</v>
          </cell>
          <cell r="AI47">
            <v>1108.4883050000001</v>
          </cell>
          <cell r="AJ47">
            <v>1140.4101149999999</v>
          </cell>
          <cell r="AK47">
            <v>1172.8316070000001</v>
          </cell>
        </row>
        <row r="48">
          <cell r="B48">
            <v>333.56603260000003</v>
          </cell>
          <cell r="C48">
            <v>337.18804039999998</v>
          </cell>
          <cell r="D48">
            <v>340.74664660000002</v>
          </cell>
          <cell r="E48">
            <v>344.23809399999999</v>
          </cell>
          <cell r="F48">
            <v>347.76666319999998</v>
          </cell>
          <cell r="G48">
            <v>351.43483259999999</v>
          </cell>
          <cell r="H48">
            <v>355.78721050000001</v>
          </cell>
          <cell r="I48">
            <v>360.8899682</v>
          </cell>
          <cell r="J48">
            <v>366.68030549999997</v>
          </cell>
          <cell r="K48">
            <v>373.15092850000002</v>
          </cell>
          <cell r="L48">
            <v>381.66998669999998</v>
          </cell>
          <cell r="M48">
            <v>392.43889990000002</v>
          </cell>
          <cell r="N48">
            <v>405.53442680000001</v>
          </cell>
          <cell r="O48">
            <v>421.0553074</v>
          </cell>
          <cell r="P48">
            <v>439.12906179999999</v>
          </cell>
          <cell r="Q48">
            <v>459.8977198</v>
          </cell>
          <cell r="R48">
            <v>486.91283879999997</v>
          </cell>
          <cell r="S48">
            <v>522.06001060000006</v>
          </cell>
          <cell r="T48">
            <v>566.62373249999996</v>
          </cell>
          <cell r="U48">
            <v>621.61310379999998</v>
          </cell>
          <cell r="V48">
            <v>687.84139430000005</v>
          </cell>
          <cell r="W48">
            <v>765.92667570000003</v>
          </cell>
          <cell r="X48">
            <v>856.18654549999997</v>
          </cell>
          <cell r="Y48">
            <v>958.54058599999996</v>
          </cell>
          <cell r="Z48">
            <v>1072.4188799999999</v>
          </cell>
          <cell r="AA48">
            <v>1196.6623219999999</v>
          </cell>
          <cell r="AB48">
            <v>1327.33817</v>
          </cell>
          <cell r="AC48">
            <v>1460.2462370000001</v>
          </cell>
          <cell r="AD48">
            <v>1591.6707329999999</v>
          </cell>
          <cell r="AE48">
            <v>1718.2904080000001</v>
          </cell>
          <cell r="AF48">
            <v>1837.084636</v>
          </cell>
          <cell r="AG48">
            <v>1945.4137820000001</v>
          </cell>
          <cell r="AH48">
            <v>2041.1039699999999</v>
          </cell>
          <cell r="AI48">
            <v>2122.5291950000001</v>
          </cell>
          <cell r="AJ48">
            <v>2188.6415189999998</v>
          </cell>
          <cell r="AK48">
            <v>2238.9503629999999</v>
          </cell>
        </row>
        <row r="49">
          <cell r="B49">
            <v>333.5660373</v>
          </cell>
          <cell r="C49">
            <v>337.18805120000002</v>
          </cell>
          <cell r="D49">
            <v>340.74666389999999</v>
          </cell>
          <cell r="E49">
            <v>344.2381178</v>
          </cell>
          <cell r="F49">
            <v>347.76669340000001</v>
          </cell>
          <cell r="G49">
            <v>351.43486899999999</v>
          </cell>
          <cell r="H49">
            <v>355.67272839999998</v>
          </cell>
          <cell r="I49">
            <v>360.67387689999998</v>
          </cell>
          <cell r="J49">
            <v>366.53099090000001</v>
          </cell>
          <cell r="K49">
            <v>373.3105582</v>
          </cell>
          <cell r="L49">
            <v>381.06752710000001</v>
          </cell>
          <cell r="M49">
            <v>389.35494870000002</v>
          </cell>
          <cell r="N49">
            <v>397.91694869999998</v>
          </cell>
          <cell r="O49">
            <v>406.6416696</v>
          </cell>
          <cell r="P49">
            <v>415.49099740000003</v>
          </cell>
          <cell r="Q49">
            <v>424.46699539999997</v>
          </cell>
          <cell r="R49">
            <v>433.659201</v>
          </cell>
          <cell r="S49">
            <v>443.18126530000001</v>
          </cell>
          <cell r="T49">
            <v>453.14622170000001</v>
          </cell>
          <cell r="U49">
            <v>463.66163230000001</v>
          </cell>
          <cell r="V49">
            <v>474.82771000000002</v>
          </cell>
          <cell r="W49">
            <v>486.74917549999998</v>
          </cell>
          <cell r="X49">
            <v>499.53685380000002</v>
          </cell>
          <cell r="Y49">
            <v>513.30853569999999</v>
          </cell>
          <cell r="Z49">
            <v>528.18790209999997</v>
          </cell>
          <cell r="AA49">
            <v>544.29413839999995</v>
          </cell>
          <cell r="AB49">
            <v>561.18543320000003</v>
          </cell>
          <cell r="AC49">
            <v>578.52489679999996</v>
          </cell>
          <cell r="AD49">
            <v>596.18974370000001</v>
          </cell>
          <cell r="AE49">
            <v>614.17332429999999</v>
          </cell>
          <cell r="AF49">
            <v>632.50209089999998</v>
          </cell>
          <cell r="AG49">
            <v>651.1979225</v>
          </cell>
          <cell r="AH49">
            <v>670.26733969999998</v>
          </cell>
          <cell r="AI49">
            <v>689.70049979999999</v>
          </cell>
          <cell r="AJ49">
            <v>709.47301570000002</v>
          </cell>
          <cell r="AK49">
            <v>729.54808539999999</v>
          </cell>
        </row>
        <row r="50">
          <cell r="B50">
            <v>27533.44846</v>
          </cell>
          <cell r="C50">
            <v>27861.79234</v>
          </cell>
          <cell r="D50">
            <v>28203.11217</v>
          </cell>
          <cell r="E50">
            <v>28559.705679999999</v>
          </cell>
          <cell r="F50">
            <v>28929.578119999998</v>
          </cell>
          <cell r="G50">
            <v>29312.00304</v>
          </cell>
          <cell r="H50">
            <v>29689.462670000001</v>
          </cell>
          <cell r="I50">
            <v>30068.231489999998</v>
          </cell>
          <cell r="J50">
            <v>30454.117869999998</v>
          </cell>
          <cell r="K50">
            <v>30858.325830000002</v>
          </cell>
          <cell r="L50">
            <v>31285.43188</v>
          </cell>
          <cell r="M50">
            <v>31715.795870000002</v>
          </cell>
          <cell r="N50">
            <v>32124.258119999999</v>
          </cell>
          <cell r="O50">
            <v>32494.60296</v>
          </cell>
          <cell r="P50">
            <v>32818.467940000002</v>
          </cell>
          <cell r="Q50">
            <v>33092.10168</v>
          </cell>
          <cell r="R50">
            <v>33303.987849999998</v>
          </cell>
          <cell r="S50">
            <v>33450.412920000002</v>
          </cell>
          <cell r="T50">
            <v>33531.081980000003</v>
          </cell>
          <cell r="U50">
            <v>33547.780310000002</v>
          </cell>
          <cell r="V50">
            <v>33504.101799999997</v>
          </cell>
          <cell r="W50">
            <v>33404.667739999997</v>
          </cell>
          <cell r="X50">
            <v>33256.190340000001</v>
          </cell>
          <cell r="Y50">
            <v>33066.884669999999</v>
          </cell>
          <cell r="Z50">
            <v>32845.500829999997</v>
          </cell>
          <cell r="AA50">
            <v>32600.161329999999</v>
          </cell>
          <cell r="AB50">
            <v>32392.12887</v>
          </cell>
          <cell r="AC50">
            <v>32224.209889999998</v>
          </cell>
          <cell r="AD50">
            <v>32095.63753</v>
          </cell>
          <cell r="AE50">
            <v>32007.78944</v>
          </cell>
          <cell r="AF50">
            <v>31962.10482</v>
          </cell>
          <cell r="AG50">
            <v>31958.54753</v>
          </cell>
          <cell r="AH50">
            <v>31995.960009999999</v>
          </cell>
          <cell r="AI50">
            <v>32072.361089999999</v>
          </cell>
          <cell r="AJ50">
            <v>32185.163980000001</v>
          </cell>
          <cell r="AK50">
            <v>32331.3518</v>
          </cell>
        </row>
        <row r="51">
          <cell r="B51">
            <v>27533.44846</v>
          </cell>
          <cell r="C51">
            <v>27861.79234</v>
          </cell>
          <cell r="D51">
            <v>28203.11217</v>
          </cell>
          <cell r="E51">
            <v>28559.705679999999</v>
          </cell>
          <cell r="F51">
            <v>28929.578119999998</v>
          </cell>
          <cell r="G51">
            <v>29312.00303</v>
          </cell>
          <cell r="H51">
            <v>29689.984130000001</v>
          </cell>
          <cell r="I51">
            <v>30067.747380000001</v>
          </cell>
          <cell r="J51">
            <v>30446.51583</v>
          </cell>
          <cell r="K51">
            <v>30824.19067</v>
          </cell>
          <cell r="L51">
            <v>31196.15078</v>
          </cell>
          <cell r="M51">
            <v>31555.042219999999</v>
          </cell>
          <cell r="N51">
            <v>31887.591690000001</v>
          </cell>
          <cell r="O51">
            <v>32183.994210000001</v>
          </cell>
          <cell r="P51">
            <v>32437.740539999999</v>
          </cell>
          <cell r="Q51">
            <v>32644.742269999999</v>
          </cell>
          <cell r="R51">
            <v>32793.796909999997</v>
          </cell>
          <cell r="S51">
            <v>32881.562729999998</v>
          </cell>
          <cell r="T51">
            <v>32908.774819999999</v>
          </cell>
          <cell r="U51">
            <v>32878.847529999999</v>
          </cell>
          <cell r="V51">
            <v>32796.930039999999</v>
          </cell>
          <cell r="W51">
            <v>32669.752570000001</v>
          </cell>
          <cell r="X51">
            <v>32505.048889999998</v>
          </cell>
          <cell r="Y51">
            <v>32311.068589999999</v>
          </cell>
          <cell r="Z51">
            <v>32096.129809999999</v>
          </cell>
          <cell r="AA51">
            <v>31867.938600000001</v>
          </cell>
          <cell r="AB51">
            <v>31685.514640000001</v>
          </cell>
          <cell r="AC51">
            <v>31550.693869999999</v>
          </cell>
          <cell r="AD51">
            <v>31462.263889999998</v>
          </cell>
          <cell r="AE51">
            <v>31421.837530000001</v>
          </cell>
          <cell r="AF51">
            <v>31431.777669999999</v>
          </cell>
          <cell r="AG51">
            <v>31493.751179999999</v>
          </cell>
          <cell r="AH51">
            <v>31608.341710000001</v>
          </cell>
          <cell r="AI51">
            <v>31775.113969999999</v>
          </cell>
          <cell r="AJ51">
            <v>31992.81106</v>
          </cell>
          <cell r="AK51">
            <v>32259.544399999999</v>
          </cell>
        </row>
        <row r="52">
          <cell r="B52">
            <v>548.73776199999998</v>
          </cell>
          <cell r="C52">
            <v>555.28160939999998</v>
          </cell>
          <cell r="D52">
            <v>562.08406560000003</v>
          </cell>
          <cell r="E52">
            <v>569.19092420000004</v>
          </cell>
          <cell r="F52">
            <v>576.56243010000003</v>
          </cell>
          <cell r="G52">
            <v>584.18410489999997</v>
          </cell>
          <cell r="H52">
            <v>586.51834970000004</v>
          </cell>
          <cell r="I52">
            <v>581.68019779999997</v>
          </cell>
          <cell r="J52">
            <v>568.86933850000003</v>
          </cell>
          <cell r="K52">
            <v>547.63218730000006</v>
          </cell>
          <cell r="L52">
            <v>517.4451957</v>
          </cell>
          <cell r="M52">
            <v>487.20185950000001</v>
          </cell>
          <cell r="N52">
            <v>458.52677940000001</v>
          </cell>
          <cell r="O52">
            <v>431.7127855</v>
          </cell>
          <cell r="P52">
            <v>406.74867189999998</v>
          </cell>
          <cell r="Q52">
            <v>383.55054969999998</v>
          </cell>
          <cell r="R52">
            <v>359.59156239999999</v>
          </cell>
          <cell r="S52">
            <v>335.1572817</v>
          </cell>
          <cell r="T52">
            <v>311.01113470000001</v>
          </cell>
          <cell r="U52">
            <v>287.72887700000001</v>
          </cell>
          <cell r="V52">
            <v>265.65038149999998</v>
          </cell>
          <cell r="W52">
            <v>244.94130100000001</v>
          </cell>
          <cell r="X52">
            <v>225.65469189999999</v>
          </cell>
          <cell r="Y52">
            <v>207.77521060000001</v>
          </cell>
          <cell r="Z52">
            <v>191.24864199999999</v>
          </cell>
          <cell r="AA52">
            <v>176.00069619999999</v>
          </cell>
          <cell r="AB52">
            <v>161.95839050000001</v>
          </cell>
          <cell r="AC52">
            <v>149.0317484</v>
          </cell>
          <cell r="AD52">
            <v>137.13382490000001</v>
          </cell>
          <cell r="AE52">
            <v>126.1835675</v>
          </cell>
          <cell r="AF52">
            <v>116.1060052</v>
          </cell>
          <cell r="AG52">
            <v>106.831948</v>
          </cell>
          <cell r="AH52">
            <v>98.297601749999998</v>
          </cell>
          <cell r="AI52">
            <v>90.444176339999999</v>
          </cell>
          <cell r="AJ52">
            <v>83.217508989999999</v>
          </cell>
          <cell r="AK52">
            <v>76.567711169999995</v>
          </cell>
        </row>
        <row r="53">
          <cell r="B53">
            <v>548.73776199999998</v>
          </cell>
          <cell r="C53">
            <v>555.28160939999998</v>
          </cell>
          <cell r="D53">
            <v>562.08406560000003</v>
          </cell>
          <cell r="E53">
            <v>569.19092420000004</v>
          </cell>
          <cell r="F53">
            <v>576.56242999999995</v>
          </cell>
          <cell r="G53">
            <v>584.18410489999997</v>
          </cell>
          <cell r="H53">
            <v>586.5277486</v>
          </cell>
          <cell r="I53">
            <v>581.67411900000002</v>
          </cell>
          <cell r="J53">
            <v>568.77727609999999</v>
          </cell>
          <cell r="K53">
            <v>547.3154571</v>
          </cell>
          <cell r="L53">
            <v>516.88110029999996</v>
          </cell>
          <cell r="M53">
            <v>486.38269489999999</v>
          </cell>
          <cell r="N53">
            <v>457.45982279999998</v>
          </cell>
          <cell r="O53">
            <v>430.41429410000001</v>
          </cell>
          <cell r="P53">
            <v>405.23501060000001</v>
          </cell>
          <cell r="Q53">
            <v>381.83367659999999</v>
          </cell>
          <cell r="R53">
            <v>357.76888750000001</v>
          </cell>
          <cell r="S53">
            <v>333.31770540000002</v>
          </cell>
          <cell r="T53">
            <v>309.2157464</v>
          </cell>
          <cell r="U53">
            <v>286.0146752</v>
          </cell>
          <cell r="V53">
            <v>264.03686920000001</v>
          </cell>
          <cell r="W53">
            <v>243.43654179999999</v>
          </cell>
          <cell r="X53">
            <v>224.2594215</v>
          </cell>
          <cell r="Y53">
            <v>206.48592640000001</v>
          </cell>
          <cell r="Z53">
            <v>190.0596831</v>
          </cell>
          <cell r="AA53">
            <v>174.9055008</v>
          </cell>
          <cell r="AB53">
            <v>160.9499553</v>
          </cell>
          <cell r="AC53">
            <v>148.1034052</v>
          </cell>
          <cell r="AD53">
            <v>136.27935239999999</v>
          </cell>
          <cell r="AE53">
            <v>125.3971963</v>
          </cell>
          <cell r="AF53">
            <v>115.3823998</v>
          </cell>
          <cell r="AG53">
            <v>106.16618149999999</v>
          </cell>
          <cell r="AH53">
            <v>97.685126350000004</v>
          </cell>
          <cell r="AI53">
            <v>89.880793980000007</v>
          </cell>
          <cell r="AJ53">
            <v>82.6993449</v>
          </cell>
          <cell r="AK53">
            <v>76.091189689999993</v>
          </cell>
        </row>
        <row r="54">
          <cell r="B54">
            <v>797.40814899999998</v>
          </cell>
          <cell r="C54">
            <v>806.9174587</v>
          </cell>
          <cell r="D54">
            <v>816.80257019999999</v>
          </cell>
          <cell r="E54">
            <v>827.13002959999994</v>
          </cell>
          <cell r="F54">
            <v>837.84206600000005</v>
          </cell>
          <cell r="G54">
            <v>848.91763990000004</v>
          </cell>
          <cell r="H54">
            <v>871.66261789999999</v>
          </cell>
          <cell r="I54">
            <v>911.3326174</v>
          </cell>
          <cell r="J54">
            <v>971.39178800000002</v>
          </cell>
          <cell r="K54">
            <v>1055.4626559999999</v>
          </cell>
          <cell r="L54">
            <v>1167.3697239999999</v>
          </cell>
          <cell r="M54">
            <v>1294.6053489999999</v>
          </cell>
          <cell r="N54">
            <v>1430.9078489999999</v>
          </cell>
          <cell r="O54">
            <v>1573.3635859999999</v>
          </cell>
          <cell r="P54">
            <v>1720.525926</v>
          </cell>
          <cell r="Q54">
            <v>1871.572439</v>
          </cell>
          <cell r="R54">
            <v>2022.613233</v>
          </cell>
          <cell r="S54">
            <v>2171.8104709999998</v>
          </cell>
          <cell r="T54">
            <v>2318.1477110000001</v>
          </cell>
          <cell r="U54">
            <v>2460.999793</v>
          </cell>
          <cell r="V54">
            <v>2600.0351249999999</v>
          </cell>
          <cell r="W54">
            <v>2735.118285</v>
          </cell>
          <cell r="X54">
            <v>2866.4712279999999</v>
          </cell>
          <cell r="Y54">
            <v>2994.6361059999999</v>
          </cell>
          <cell r="Z54">
            <v>3120.3686720000001</v>
          </cell>
          <cell r="AA54">
            <v>3244.4747189999998</v>
          </cell>
          <cell r="AB54">
            <v>3367.8180819999998</v>
          </cell>
          <cell r="AC54">
            <v>3488.0915869999999</v>
          </cell>
          <cell r="AD54">
            <v>3604.4157650000002</v>
          </cell>
          <cell r="AE54">
            <v>3716.8939719999998</v>
          </cell>
          <cell r="AF54">
            <v>3825.8532599999999</v>
          </cell>
          <cell r="AG54">
            <v>3931.4612400000001</v>
          </cell>
          <cell r="AH54">
            <v>4033.7411240000001</v>
          </cell>
          <cell r="AI54">
            <v>4132.6075300000002</v>
          </cell>
          <cell r="AJ54">
            <v>4227.8989449999999</v>
          </cell>
          <cell r="AK54">
            <v>4319.4062000000004</v>
          </cell>
        </row>
        <row r="55">
          <cell r="B55">
            <v>797.40814899999998</v>
          </cell>
          <cell r="C55">
            <v>806.9174587</v>
          </cell>
          <cell r="D55">
            <v>816.80257019999999</v>
          </cell>
          <cell r="E55">
            <v>827.13002959999994</v>
          </cell>
          <cell r="F55">
            <v>837.84206589999997</v>
          </cell>
          <cell r="G55">
            <v>848.91763979999996</v>
          </cell>
          <cell r="H55">
            <v>871.67998299999999</v>
          </cell>
          <cell r="I55">
            <v>911.31028990000004</v>
          </cell>
          <cell r="J55">
            <v>971.03037900000004</v>
          </cell>
          <cell r="K55">
            <v>1053.5853629999999</v>
          </cell>
          <cell r="L55">
            <v>1161.7260719999999</v>
          </cell>
          <cell r="M55">
            <v>1283.5299910000001</v>
          </cell>
          <cell r="N55">
            <v>1413.5630160000001</v>
          </cell>
          <cell r="O55">
            <v>1549.428823</v>
          </cell>
          <cell r="P55">
            <v>1689.858892</v>
          </cell>
          <cell r="Q55">
            <v>1834.013739</v>
          </cell>
          <cell r="R55">
            <v>1978.1183699999999</v>
          </cell>
          <cell r="S55">
            <v>2120.418087</v>
          </cell>
          <cell r="T55">
            <v>2260.0463089999998</v>
          </cell>
          <cell r="U55">
            <v>2396.6133789999999</v>
          </cell>
          <cell r="V55">
            <v>2530.0415410000001</v>
          </cell>
          <cell r="W55">
            <v>2660.552432</v>
          </cell>
          <cell r="X55">
            <v>2788.6158519999999</v>
          </cell>
          <cell r="Y55">
            <v>2914.9037490000001</v>
          </cell>
          <cell r="Z55">
            <v>3040.2395329999999</v>
          </cell>
          <cell r="AA55">
            <v>3165.4987390000001</v>
          </cell>
          <cell r="AB55">
            <v>3291.4363429999999</v>
          </cell>
          <cell r="AC55">
            <v>3415.6396960000002</v>
          </cell>
          <cell r="AD55">
            <v>3537.1564830000002</v>
          </cell>
          <cell r="AE55">
            <v>3656.1119359999998</v>
          </cell>
          <cell r="AF55">
            <v>3772.9580879999999</v>
          </cell>
          <cell r="AG55">
            <v>3888.1053900000002</v>
          </cell>
          <cell r="AH55">
            <v>4001.81648</v>
          </cell>
          <cell r="AI55">
            <v>4114.2035619999997</v>
          </cell>
          <cell r="AJ55">
            <v>4225.2578320000002</v>
          </cell>
          <cell r="AK55">
            <v>4334.8813099999998</v>
          </cell>
        </row>
        <row r="56">
          <cell r="B56">
            <v>724.44982070000003</v>
          </cell>
          <cell r="C56">
            <v>733.08908240000005</v>
          </cell>
          <cell r="D56">
            <v>742.06976220000001</v>
          </cell>
          <cell r="E56">
            <v>751.45231760000001</v>
          </cell>
          <cell r="F56">
            <v>761.1842633</v>
          </cell>
          <cell r="G56">
            <v>771.24648490000004</v>
          </cell>
          <cell r="H56">
            <v>773.89455669999995</v>
          </cell>
          <cell r="I56">
            <v>766.47461239999996</v>
          </cell>
          <cell r="J56">
            <v>747.86534449999999</v>
          </cell>
          <cell r="K56">
            <v>717.42532600000004</v>
          </cell>
          <cell r="L56">
            <v>674.35421559999997</v>
          </cell>
          <cell r="M56">
            <v>631.51192579999997</v>
          </cell>
          <cell r="N56">
            <v>590.99342709999996</v>
          </cell>
          <cell r="O56">
            <v>553.14039390000005</v>
          </cell>
          <cell r="P56">
            <v>517.9109704</v>
          </cell>
          <cell r="Q56">
            <v>485.1734677</v>
          </cell>
          <cell r="R56">
            <v>454.89861079999997</v>
          </cell>
          <cell r="S56">
            <v>426.96704640000002</v>
          </cell>
          <cell r="T56">
            <v>401.24038580000001</v>
          </cell>
          <cell r="U56">
            <v>377.58477900000003</v>
          </cell>
          <cell r="V56">
            <v>355.87829979999998</v>
          </cell>
          <cell r="W56">
            <v>336.01116769999999</v>
          </cell>
          <cell r="X56">
            <v>317.890556</v>
          </cell>
          <cell r="Y56">
            <v>301.44008159999998</v>
          </cell>
          <cell r="Z56">
            <v>286.59781270000002</v>
          </cell>
          <cell r="AA56">
            <v>273.31300320000003</v>
          </cell>
          <cell r="AB56">
            <v>261.3568247</v>
          </cell>
          <cell r="AC56">
            <v>250.5467763</v>
          </cell>
          <cell r="AD56">
            <v>240.78459290000001</v>
          </cell>
          <cell r="AE56">
            <v>232.0146809</v>
          </cell>
          <cell r="AF56">
            <v>224.1952435</v>
          </cell>
          <cell r="AG56">
            <v>217.2853705</v>
          </cell>
          <cell r="AH56">
            <v>211.2442278</v>
          </cell>
          <cell r="AI56">
            <v>206.03128050000001</v>
          </cell>
          <cell r="AJ56">
            <v>201.60655819999999</v>
          </cell>
          <cell r="AK56">
            <v>197.93086349999999</v>
          </cell>
        </row>
        <row r="57">
          <cell r="B57">
            <v>724.44982070000003</v>
          </cell>
          <cell r="C57">
            <v>733.08908240000005</v>
          </cell>
          <cell r="D57">
            <v>742.06976220000001</v>
          </cell>
          <cell r="E57">
            <v>751.45231760000001</v>
          </cell>
          <cell r="F57">
            <v>761.1842633</v>
          </cell>
          <cell r="G57">
            <v>771.24648490000004</v>
          </cell>
          <cell r="H57">
            <v>773.90688209999996</v>
          </cell>
          <cell r="I57">
            <v>766.46688440000003</v>
          </cell>
          <cell r="J57">
            <v>747.74872570000002</v>
          </cell>
          <cell r="K57">
            <v>717.0370805</v>
          </cell>
          <cell r="L57">
            <v>673.71029720000001</v>
          </cell>
          <cell r="M57">
            <v>630.62047189999998</v>
          </cell>
          <cell r="N57">
            <v>589.86882949999995</v>
          </cell>
          <cell r="O57">
            <v>551.80265840000004</v>
          </cell>
          <cell r="P57">
            <v>516.37893320000001</v>
          </cell>
          <cell r="Q57">
            <v>483.4611926</v>
          </cell>
          <cell r="R57">
            <v>453.0132711</v>
          </cell>
          <cell r="S57">
            <v>424.9131567</v>
          </cell>
          <cell r="T57">
            <v>399.0232709</v>
          </cell>
          <cell r="U57">
            <v>375.21317019999998</v>
          </cell>
          <cell r="V57">
            <v>353.3648465</v>
          </cell>
          <cell r="W57">
            <v>333.37515289999999</v>
          </cell>
          <cell r="X57">
            <v>315.15547529999998</v>
          </cell>
          <cell r="Y57">
            <v>298.63127220000001</v>
          </cell>
          <cell r="Z57">
            <v>283.7415967</v>
          </cell>
          <cell r="AA57">
            <v>270.43752649999999</v>
          </cell>
          <cell r="AB57">
            <v>258.49248970000002</v>
          </cell>
          <cell r="AC57">
            <v>247.72377420000001</v>
          </cell>
          <cell r="AD57">
            <v>238.03261269999999</v>
          </cell>
          <cell r="AE57">
            <v>229.3651654</v>
          </cell>
          <cell r="AF57">
            <v>221.68440079999999</v>
          </cell>
          <cell r="AG57">
            <v>214.95793990000001</v>
          </cell>
          <cell r="AH57">
            <v>209.1542982</v>
          </cell>
          <cell r="AI57">
            <v>204.2421866</v>
          </cell>
          <cell r="AJ57">
            <v>200.1907119</v>
          </cell>
          <cell r="AK57">
            <v>196.9696423</v>
          </cell>
        </row>
        <row r="58">
          <cell r="B58">
            <v>1425.7046110000001</v>
          </cell>
          <cell r="C58">
            <v>1442.706385</v>
          </cell>
          <cell r="D58">
            <v>1460.3800209999999</v>
          </cell>
          <cell r="E58">
            <v>1478.8445300000001</v>
          </cell>
          <cell r="F58">
            <v>1497.996633</v>
          </cell>
          <cell r="G58">
            <v>1517.7987169999999</v>
          </cell>
          <cell r="H58">
            <v>1582.3836289999999</v>
          </cell>
          <cell r="I58">
            <v>1713.339436</v>
          </cell>
          <cell r="J58">
            <v>1926.5851740000001</v>
          </cell>
          <cell r="K58">
            <v>2238.6160789999999</v>
          </cell>
          <cell r="L58">
            <v>2667.3112160000001</v>
          </cell>
          <cell r="M58">
            <v>3191.262377</v>
          </cell>
          <cell r="N58">
            <v>3802.6270850000001</v>
          </cell>
          <cell r="O58">
            <v>4502.069544</v>
          </cell>
          <cell r="P58">
            <v>5294.7514160000001</v>
          </cell>
          <cell r="Q58">
            <v>6188.3404520000004</v>
          </cell>
          <cell r="R58">
            <v>7177.8259250000001</v>
          </cell>
          <cell r="S58">
            <v>8264.7659870000007</v>
          </cell>
          <cell r="T58">
            <v>9453.6719570000005</v>
          </cell>
          <cell r="U58">
            <v>10750.793019999999</v>
          </cell>
          <cell r="V58">
            <v>12164.15186</v>
          </cell>
          <cell r="W58">
            <v>13703.391750000001</v>
          </cell>
          <cell r="X58">
            <v>15381.477500000001</v>
          </cell>
          <cell r="Y58">
            <v>17215.306349999999</v>
          </cell>
          <cell r="Z58">
            <v>19225.73763</v>
          </cell>
          <cell r="AA58">
            <v>21436.849030000001</v>
          </cell>
          <cell r="AB58">
            <v>23684.497340000002</v>
          </cell>
          <cell r="AC58">
            <v>25878.79376</v>
          </cell>
          <cell r="AD58">
            <v>27985.718410000001</v>
          </cell>
          <cell r="AE58">
            <v>29995.90652</v>
          </cell>
          <cell r="AF58">
            <v>31907.742040000001</v>
          </cell>
          <cell r="AG58">
            <v>33720.31753</v>
          </cell>
          <cell r="AH58">
            <v>35432.561399999999</v>
          </cell>
          <cell r="AI58">
            <v>37043.223019999998</v>
          </cell>
          <cell r="AJ58">
            <v>38551.031450000002</v>
          </cell>
          <cell r="AK58">
            <v>39954.882360000003</v>
          </cell>
        </row>
        <row r="59">
          <cell r="B59">
            <v>1425.7046110000001</v>
          </cell>
          <cell r="C59">
            <v>1442.706385</v>
          </cell>
          <cell r="D59">
            <v>1460.3800209999999</v>
          </cell>
          <cell r="E59">
            <v>1478.8445300000001</v>
          </cell>
          <cell r="F59">
            <v>1497.996633</v>
          </cell>
          <cell r="G59">
            <v>1517.798716</v>
          </cell>
          <cell r="H59">
            <v>1582.4192579999999</v>
          </cell>
          <cell r="I59">
            <v>1713.282011</v>
          </cell>
          <cell r="J59">
            <v>1925.6344019999999</v>
          </cell>
          <cell r="K59">
            <v>2233.2931600000002</v>
          </cell>
          <cell r="L59">
            <v>2650.3121390000001</v>
          </cell>
          <cell r="M59">
            <v>3156.0430630000001</v>
          </cell>
          <cell r="N59">
            <v>3744.573155</v>
          </cell>
          <cell r="O59">
            <v>4417.884564</v>
          </cell>
          <cell r="P59">
            <v>5181.4329639999996</v>
          </cell>
          <cell r="Q59">
            <v>6042.4167669999997</v>
          </cell>
          <cell r="R59">
            <v>6995.8559990000003</v>
          </cell>
          <cell r="S59">
            <v>8043.2817009999999</v>
          </cell>
          <cell r="T59">
            <v>9189.6363450000008</v>
          </cell>
          <cell r="U59">
            <v>10442.313700000001</v>
          </cell>
          <cell r="V59">
            <v>11810.95038</v>
          </cell>
          <cell r="W59">
            <v>13308.00181</v>
          </cell>
          <cell r="X59">
            <v>14949.09204</v>
          </cell>
          <cell r="Y59">
            <v>16753.389350000001</v>
          </cell>
          <cell r="Z59">
            <v>18743.925279999999</v>
          </cell>
          <cell r="AA59">
            <v>20947.377899999999</v>
          </cell>
          <cell r="AB59">
            <v>23202.279259999999</v>
          </cell>
          <cell r="AC59">
            <v>25418.66173</v>
          </cell>
          <cell r="AD59">
            <v>27561.938190000001</v>
          </cell>
          <cell r="AE59">
            <v>29622.93433</v>
          </cell>
          <cell r="AF59">
            <v>31601.21991</v>
          </cell>
          <cell r="AG59">
            <v>33498.253980000001</v>
          </cell>
          <cell r="AH59">
            <v>35315.220679999999</v>
          </cell>
          <cell r="AI59">
            <v>37052.602850000003</v>
          </cell>
          <cell r="AJ59">
            <v>38710.314050000001</v>
          </cell>
          <cell r="AK59">
            <v>40287.933389999998</v>
          </cell>
        </row>
        <row r="60">
          <cell r="B60">
            <v>518.29807900000003</v>
          </cell>
          <cell r="C60">
            <v>524.47892490000004</v>
          </cell>
          <cell r="D60">
            <v>530.90403400000002</v>
          </cell>
          <cell r="E60">
            <v>537.61665960000005</v>
          </cell>
          <cell r="F60">
            <v>544.57925190000003</v>
          </cell>
          <cell r="G60">
            <v>551.77813579999997</v>
          </cell>
          <cell r="H60">
            <v>579.35038420000001</v>
          </cell>
          <cell r="I60">
            <v>637.51257910000004</v>
          </cell>
          <cell r="J60">
            <v>734.06953569999996</v>
          </cell>
          <cell r="K60">
            <v>877.05548680000004</v>
          </cell>
          <cell r="L60">
            <v>1075.1542790000001</v>
          </cell>
          <cell r="M60">
            <v>1318.949572</v>
          </cell>
          <cell r="N60">
            <v>1605.2604389999999</v>
          </cell>
          <cell r="O60">
            <v>1934.9196790000001</v>
          </cell>
          <cell r="P60">
            <v>2310.9370819999999</v>
          </cell>
          <cell r="Q60">
            <v>2737.589747</v>
          </cell>
          <cell r="R60">
            <v>3231.5575290000002</v>
          </cell>
          <cell r="S60">
            <v>3805.832805</v>
          </cell>
          <cell r="T60">
            <v>4472.8700559999997</v>
          </cell>
          <cell r="U60">
            <v>5246.1982429999998</v>
          </cell>
          <cell r="V60">
            <v>6141.4098700000004</v>
          </cell>
          <cell r="W60">
            <v>7176.6439209999999</v>
          </cell>
          <cell r="X60">
            <v>8374.1169250000003</v>
          </cell>
          <cell r="Y60">
            <v>9761.1908509999994</v>
          </cell>
          <cell r="Z60">
            <v>11371.196679999999</v>
          </cell>
          <cell r="AA60">
            <v>13243.77932</v>
          </cell>
          <cell r="AB60">
            <v>15182.72171</v>
          </cell>
          <cell r="AC60">
            <v>17088.289120000001</v>
          </cell>
          <cell r="AD60">
            <v>18921.8943</v>
          </cell>
          <cell r="AE60">
            <v>20670.748909999998</v>
          </cell>
          <cell r="AF60">
            <v>22330.701550000002</v>
          </cell>
          <cell r="AG60">
            <v>23899.36001</v>
          </cell>
          <cell r="AH60">
            <v>25374.889169999999</v>
          </cell>
          <cell r="AI60">
            <v>26755.785090000001</v>
          </cell>
          <cell r="AJ60">
            <v>28040.890289999999</v>
          </cell>
          <cell r="AK60">
            <v>29229.46977</v>
          </cell>
        </row>
        <row r="61">
          <cell r="B61">
            <v>518.29807900000003</v>
          </cell>
          <cell r="C61">
            <v>524.47892490000004</v>
          </cell>
          <cell r="D61">
            <v>530.90403389999994</v>
          </cell>
          <cell r="E61">
            <v>537.61665960000005</v>
          </cell>
          <cell r="F61">
            <v>544.57925190000003</v>
          </cell>
          <cell r="G61">
            <v>551.77813579999997</v>
          </cell>
          <cell r="H61">
            <v>579.36412069999994</v>
          </cell>
          <cell r="I61">
            <v>637.48860649999995</v>
          </cell>
          <cell r="J61">
            <v>733.66927369999996</v>
          </cell>
          <cell r="K61">
            <v>874.7630034</v>
          </cell>
          <cell r="L61">
            <v>1067.7074600000001</v>
          </cell>
          <cell r="M61">
            <v>1303.3539820000001</v>
          </cell>
          <cell r="N61">
            <v>1579.3462219999999</v>
          </cell>
          <cell r="O61">
            <v>1897.0886290000001</v>
          </cell>
          <cell r="P61">
            <v>2259.7050880000002</v>
          </cell>
          <cell r="Q61">
            <v>2671.2337379999999</v>
          </cell>
          <cell r="R61">
            <v>3147.759654</v>
          </cell>
          <cell r="S61">
            <v>3701.8505580000001</v>
          </cell>
          <cell r="T61">
            <v>4345.8396590000002</v>
          </cell>
          <cell r="U61">
            <v>5093.5667450000001</v>
          </cell>
          <cell r="V61">
            <v>5961.2882810000001</v>
          </cell>
          <cell r="W61">
            <v>6968.662934</v>
          </cell>
          <cell r="X61">
            <v>8139.5847899999999</v>
          </cell>
          <cell r="Y61">
            <v>9503.1048570000003</v>
          </cell>
          <cell r="Z61">
            <v>11094.43677</v>
          </cell>
          <cell r="AA61">
            <v>12955.70701</v>
          </cell>
          <cell r="AB61">
            <v>14894.2924</v>
          </cell>
          <cell r="AC61">
            <v>16810.906370000001</v>
          </cell>
          <cell r="AD61">
            <v>18666.671340000001</v>
          </cell>
          <cell r="AE61">
            <v>20448.97797</v>
          </cell>
          <cell r="AF61">
            <v>22154.57677</v>
          </cell>
          <cell r="AG61">
            <v>23782.859990000001</v>
          </cell>
          <cell r="AH61">
            <v>25333.668010000001</v>
          </cell>
          <cell r="AI61">
            <v>26806.746599999999</v>
          </cell>
          <cell r="AJ61">
            <v>28201.74382</v>
          </cell>
          <cell r="AK61">
            <v>29518.32719</v>
          </cell>
        </row>
        <row r="62">
          <cell r="B62">
            <v>3989.9370239999998</v>
          </cell>
          <cell r="C62">
            <v>4037.5181109999999</v>
          </cell>
          <cell r="D62">
            <v>4086.9795720000002</v>
          </cell>
          <cell r="E62">
            <v>4138.6543799999999</v>
          </cell>
          <cell r="F62">
            <v>4192.2534690000002</v>
          </cell>
          <cell r="G62">
            <v>4247.671566</v>
          </cell>
          <cell r="H62">
            <v>4302.170967</v>
          </cell>
          <cell r="I62">
            <v>4356.581486</v>
          </cell>
          <cell r="J62">
            <v>4411.7023419999996</v>
          </cell>
          <cell r="K62">
            <v>4469.1190980000001</v>
          </cell>
          <cell r="L62">
            <v>4529.4550209999998</v>
          </cell>
          <cell r="M62">
            <v>4602.4012380000004</v>
          </cell>
          <cell r="N62">
            <v>4688.6288130000003</v>
          </cell>
          <cell r="O62">
            <v>4787.0922399999999</v>
          </cell>
          <cell r="P62">
            <v>4896.858303</v>
          </cell>
          <cell r="Q62">
            <v>5017.3016509999998</v>
          </cell>
          <cell r="R62">
            <v>5156.9616690000003</v>
          </cell>
          <cell r="S62">
            <v>5318.9389389999997</v>
          </cell>
          <cell r="T62">
            <v>5504.5481570000002</v>
          </cell>
          <cell r="U62">
            <v>5714.726928</v>
          </cell>
          <cell r="V62">
            <v>5950.5837689999998</v>
          </cell>
          <cell r="W62">
            <v>6213.477774</v>
          </cell>
          <cell r="X62">
            <v>6505.5109160000002</v>
          </cell>
          <cell r="Y62">
            <v>6829.6108530000001</v>
          </cell>
          <cell r="Z62">
            <v>7189.438427</v>
          </cell>
          <cell r="AA62">
            <v>7589.104859</v>
          </cell>
          <cell r="AB62">
            <v>8006.1410669999996</v>
          </cell>
          <cell r="AC62">
            <v>8425.3351710000006</v>
          </cell>
          <cell r="AD62">
            <v>8840.8652239999992</v>
          </cell>
          <cell r="AE62">
            <v>9251.3947399999997</v>
          </cell>
          <cell r="AF62">
            <v>9656.8148970000002</v>
          </cell>
          <cell r="AG62">
            <v>10056.788979999999</v>
          </cell>
          <cell r="AH62">
            <v>10450.656660000001</v>
          </cell>
          <cell r="AI62">
            <v>10837.48682</v>
          </cell>
          <cell r="AJ62">
            <v>11216.15264</v>
          </cell>
          <cell r="AK62">
            <v>11585.407929999999</v>
          </cell>
        </row>
        <row r="63">
          <cell r="B63">
            <v>3989.9370239999998</v>
          </cell>
          <cell r="C63">
            <v>4037.5181109999999</v>
          </cell>
          <cell r="D63">
            <v>4086.9795720000002</v>
          </cell>
          <cell r="E63">
            <v>4138.6543799999999</v>
          </cell>
          <cell r="F63">
            <v>4192.2534690000002</v>
          </cell>
          <cell r="G63">
            <v>4247.671566</v>
          </cell>
          <cell r="H63">
            <v>4302.2464950000003</v>
          </cell>
          <cell r="I63">
            <v>4356.511469</v>
          </cell>
          <cell r="J63">
            <v>4410.6030250000003</v>
          </cell>
          <cell r="K63">
            <v>4464.1868009999998</v>
          </cell>
          <cell r="L63">
            <v>4516.5655210000004</v>
          </cell>
          <cell r="M63">
            <v>4578.8757640000003</v>
          </cell>
          <cell r="N63">
            <v>4653.2915890000004</v>
          </cell>
          <cell r="O63">
            <v>4739.6283729999996</v>
          </cell>
          <cell r="P63">
            <v>4837.198574</v>
          </cell>
          <cell r="Q63">
            <v>4945.290086</v>
          </cell>
          <cell r="R63">
            <v>5072.1017279999996</v>
          </cell>
          <cell r="S63">
            <v>5220.6219160000001</v>
          </cell>
          <cell r="T63">
            <v>5392.2944939999998</v>
          </cell>
          <cell r="U63">
            <v>5588.4220830000004</v>
          </cell>
          <cell r="V63">
            <v>5810.5903550000003</v>
          </cell>
          <cell r="W63">
            <v>6060.9435979999998</v>
          </cell>
          <cell r="X63">
            <v>6342.2534079999996</v>
          </cell>
          <cell r="Y63">
            <v>6657.9540980000002</v>
          </cell>
          <cell r="Z63">
            <v>7012.1486320000004</v>
          </cell>
          <cell r="AA63">
            <v>7409.4713199999997</v>
          </cell>
          <cell r="AB63">
            <v>7827.9130560000003</v>
          </cell>
          <cell r="AC63">
            <v>8252.2910759999995</v>
          </cell>
          <cell r="AD63">
            <v>8676.7421759999997</v>
          </cell>
          <cell r="AE63">
            <v>9100.0958740000005</v>
          </cell>
          <cell r="AF63">
            <v>9522.6834589999999</v>
          </cell>
          <cell r="AG63">
            <v>9944.9452999999994</v>
          </cell>
          <cell r="AH63">
            <v>10367.00051</v>
          </cell>
          <cell r="AI63">
            <v>10788.586149999999</v>
          </cell>
          <cell r="AJ63">
            <v>11209.117260000001</v>
          </cell>
          <cell r="AK63">
            <v>11627.767229999999</v>
          </cell>
        </row>
        <row r="64">
          <cell r="B64">
            <v>4700.0527039999997</v>
          </cell>
          <cell r="C64">
            <v>4754.888543</v>
          </cell>
          <cell r="D64">
            <v>4811.1116819999997</v>
          </cell>
          <cell r="E64">
            <v>4868.9736860000003</v>
          </cell>
          <cell r="F64">
            <v>4928.333705</v>
          </cell>
          <cell r="G64">
            <v>4989.3577800000003</v>
          </cell>
          <cell r="H64">
            <v>5085.5668669999995</v>
          </cell>
          <cell r="I64">
            <v>5231.7319170000001</v>
          </cell>
          <cell r="J64">
            <v>5436.3800670000001</v>
          </cell>
          <cell r="K64">
            <v>5708.081381</v>
          </cell>
          <cell r="L64">
            <v>6055.6160920000002</v>
          </cell>
          <cell r="M64">
            <v>6464.6333320000003</v>
          </cell>
          <cell r="N64">
            <v>6930.4648630000002</v>
          </cell>
          <cell r="O64">
            <v>7454.3669900000004</v>
          </cell>
          <cell r="P64">
            <v>8040.7730110000002</v>
          </cell>
          <cell r="Q64">
            <v>8695.9123899999995</v>
          </cell>
          <cell r="R64">
            <v>9445.0119360000008</v>
          </cell>
          <cell r="S64">
            <v>10303.709650000001</v>
          </cell>
          <cell r="T64">
            <v>11283.705809999999</v>
          </cell>
          <cell r="U64">
            <v>12395.095939999999</v>
          </cell>
          <cell r="V64">
            <v>13647.2348</v>
          </cell>
          <cell r="W64">
            <v>15049.285620000001</v>
          </cell>
          <cell r="X64">
            <v>16611.737120000002</v>
          </cell>
          <cell r="Y64">
            <v>18346.992910000001</v>
          </cell>
          <cell r="Z64">
            <v>20269.53083</v>
          </cell>
          <cell r="AA64">
            <v>22394.90022</v>
          </cell>
          <cell r="AB64">
            <v>24574.503499999999</v>
          </cell>
          <cell r="AC64">
            <v>26726.599320000001</v>
          </cell>
          <cell r="AD64">
            <v>28819.249749999999</v>
          </cell>
          <cell r="AE64">
            <v>30842.365529999999</v>
          </cell>
          <cell r="AF64">
            <v>32792.576979999998</v>
          </cell>
          <cell r="AG64">
            <v>34666.939290000002</v>
          </cell>
          <cell r="AH64">
            <v>36462.314559999999</v>
          </cell>
          <cell r="AI64">
            <v>38175.388129999999</v>
          </cell>
          <cell r="AJ64">
            <v>39802.830170000001</v>
          </cell>
          <cell r="AK64">
            <v>41341.49005</v>
          </cell>
        </row>
        <row r="65">
          <cell r="B65">
            <v>4700.0527039999997</v>
          </cell>
          <cell r="C65">
            <v>4754.8885440000004</v>
          </cell>
          <cell r="D65">
            <v>4811.1116830000001</v>
          </cell>
          <cell r="E65">
            <v>4868.9736869999997</v>
          </cell>
          <cell r="F65">
            <v>4928.3337069999998</v>
          </cell>
          <cell r="G65">
            <v>4989.357782</v>
          </cell>
          <cell r="H65">
            <v>5085.3368790000004</v>
          </cell>
          <cell r="I65">
            <v>5230.7092869999997</v>
          </cell>
          <cell r="J65">
            <v>5433.5941149999999</v>
          </cell>
          <cell r="K65">
            <v>5700.5719589999999</v>
          </cell>
          <cell r="L65">
            <v>6038.3531460000004</v>
          </cell>
          <cell r="M65">
            <v>6434.6944780000003</v>
          </cell>
          <cell r="N65">
            <v>6886.650549</v>
          </cell>
          <cell r="O65">
            <v>7395.992064</v>
          </cell>
          <cell r="P65">
            <v>7966.714129</v>
          </cell>
          <cell r="Q65">
            <v>8604.1482369999994</v>
          </cell>
          <cell r="R65">
            <v>9332.4637490000005</v>
          </cell>
          <cell r="S65">
            <v>10166.865659999999</v>
          </cell>
          <cell r="T65">
            <v>11119.213309999999</v>
          </cell>
          <cell r="U65">
            <v>12200.432220000001</v>
          </cell>
          <cell r="V65">
            <v>13421.18347</v>
          </cell>
          <cell r="W65">
            <v>14793.066629999999</v>
          </cell>
          <cell r="X65">
            <v>16328.909320000001</v>
          </cell>
          <cell r="Y65">
            <v>18043.205610000001</v>
          </cell>
          <cell r="Z65">
            <v>19952.564129999999</v>
          </cell>
          <cell r="AA65">
            <v>22075.188600000001</v>
          </cell>
          <cell r="AB65">
            <v>24265.242200000001</v>
          </cell>
          <cell r="AC65">
            <v>26441.375319999999</v>
          </cell>
          <cell r="AD65">
            <v>28571.712</v>
          </cell>
          <cell r="AE65">
            <v>30647.043440000001</v>
          </cell>
          <cell r="AF65">
            <v>32665.89042</v>
          </cell>
          <cell r="AG65">
            <v>34628.332219999997</v>
          </cell>
          <cell r="AH65">
            <v>36534.057430000001</v>
          </cell>
          <cell r="AI65">
            <v>38381.990109999999</v>
          </cell>
          <cell r="AJ65">
            <v>40170.427929999998</v>
          </cell>
          <cell r="AK65">
            <v>41897.277020000001</v>
          </cell>
        </row>
        <row r="66">
          <cell r="B66">
            <v>65.175814610000003</v>
          </cell>
          <cell r="C66">
            <v>65.953053969999999</v>
          </cell>
          <cell r="D66">
            <v>66.761009340000001</v>
          </cell>
          <cell r="E66">
            <v>67.605119830000007</v>
          </cell>
          <cell r="F66">
            <v>68.480663550000003</v>
          </cell>
          <cell r="G66">
            <v>69.385920850000005</v>
          </cell>
          <cell r="H66">
            <v>70.365271289999995</v>
          </cell>
          <cell r="I66">
            <v>71.468006220000007</v>
          </cell>
          <cell r="J66">
            <v>72.726707869999998</v>
          </cell>
          <cell r="K66">
            <v>74.185084869999997</v>
          </cell>
          <cell r="L66">
            <v>75.872299420000004</v>
          </cell>
          <cell r="M66">
            <v>77.768874080000003</v>
          </cell>
          <cell r="N66">
            <v>79.829462410000005</v>
          </cell>
          <cell r="O66">
            <v>82.026667919999994</v>
          </cell>
          <cell r="P66">
            <v>84.352242410000002</v>
          </cell>
          <cell r="Q66">
            <v>86.810419690000003</v>
          </cell>
          <cell r="R66">
            <v>89.383942070000003</v>
          </cell>
          <cell r="S66">
            <v>92.080298350000007</v>
          </cell>
          <cell r="T66">
            <v>94.918169649999996</v>
          </cell>
          <cell r="U66">
            <v>97.924162080000002</v>
          </cell>
          <cell r="V66">
            <v>101.1335883</v>
          </cell>
          <cell r="W66">
            <v>104.58930700000001</v>
          </cell>
          <cell r="X66">
            <v>108.34885060000001</v>
          </cell>
          <cell r="Y66">
            <v>112.4855812</v>
          </cell>
          <cell r="Z66">
            <v>117.087774</v>
          </cell>
          <cell r="AA66">
            <v>122.255489</v>
          </cell>
          <cell r="AB66">
            <v>127.68036360000001</v>
          </cell>
          <cell r="AC66">
            <v>133.14808300000001</v>
          </cell>
          <cell r="AD66">
            <v>138.57865409999999</v>
          </cell>
          <cell r="AE66">
            <v>143.9564177</v>
          </cell>
          <cell r="AF66">
            <v>149.28282920000001</v>
          </cell>
          <cell r="AG66">
            <v>154.5553955</v>
          </cell>
          <cell r="AH66">
            <v>159.7664465</v>
          </cell>
          <cell r="AI66">
            <v>164.903988</v>
          </cell>
          <cell r="AJ66">
            <v>169.95283860000001</v>
          </cell>
          <cell r="AK66">
            <v>174.89576479999999</v>
          </cell>
        </row>
        <row r="67">
          <cell r="B67">
            <v>65.175814610000003</v>
          </cell>
          <cell r="C67">
            <v>65.953053969999999</v>
          </cell>
          <cell r="D67">
            <v>66.761009340000001</v>
          </cell>
          <cell r="E67">
            <v>67.605119819999999</v>
          </cell>
          <cell r="F67">
            <v>68.480663539999995</v>
          </cell>
          <cell r="G67">
            <v>69.385920839999997</v>
          </cell>
          <cell r="H67">
            <v>70.366522119999999</v>
          </cell>
          <cell r="I67">
            <v>71.466800759999998</v>
          </cell>
          <cell r="J67">
            <v>72.707713080000005</v>
          </cell>
          <cell r="K67">
            <v>74.098087059999997</v>
          </cell>
          <cell r="L67">
            <v>75.639952260000001</v>
          </cell>
          <cell r="M67">
            <v>77.341713429999999</v>
          </cell>
          <cell r="N67">
            <v>79.187170300000005</v>
          </cell>
          <cell r="O67">
            <v>81.165208890000002</v>
          </cell>
          <cell r="P67">
            <v>83.271994960000001</v>
          </cell>
          <cell r="Q67">
            <v>85.509863490000001</v>
          </cell>
          <cell r="R67">
            <v>87.861450250000004</v>
          </cell>
          <cell r="S67">
            <v>90.334338919999993</v>
          </cell>
          <cell r="T67">
            <v>92.949879269999997</v>
          </cell>
          <cell r="U67">
            <v>95.740369340000001</v>
          </cell>
          <cell r="V67">
            <v>98.747862420000004</v>
          </cell>
          <cell r="W67">
            <v>102.0261387</v>
          </cell>
          <cell r="X67">
            <v>105.64119119999999</v>
          </cell>
          <cell r="Y67">
            <v>109.6720388</v>
          </cell>
          <cell r="Z67">
            <v>114.21163749999999</v>
          </cell>
          <cell r="AA67">
            <v>119.3661522</v>
          </cell>
          <cell r="AB67">
            <v>124.8329444</v>
          </cell>
          <cell r="AC67">
            <v>130.39757370000001</v>
          </cell>
          <cell r="AD67">
            <v>135.9791319</v>
          </cell>
          <cell r="AE67">
            <v>141.56422420000001</v>
          </cell>
          <cell r="AF67">
            <v>147.160664</v>
          </cell>
          <cell r="AG67">
            <v>152.77729619999999</v>
          </cell>
          <cell r="AH67">
            <v>158.4178412</v>
          </cell>
          <cell r="AI67">
            <v>164.08009300000001</v>
          </cell>
          <cell r="AJ67">
            <v>169.75684799999999</v>
          </cell>
          <cell r="AK67">
            <v>175.4371064</v>
          </cell>
        </row>
      </sheetData>
      <sheetData sheetId="4">
        <row r="353">
          <cell r="F353">
            <v>64.301440170000006</v>
          </cell>
          <cell r="G353">
            <v>63.91864125</v>
          </cell>
          <cell r="H353">
            <v>63.417726039999998</v>
          </cell>
          <cell r="I353">
            <v>62.925135789999999</v>
          </cell>
          <cell r="J353">
            <v>62.66310489</v>
          </cell>
          <cell r="K353">
            <v>62.566937379999999</v>
          </cell>
          <cell r="L353">
            <v>62.568039910000003</v>
          </cell>
          <cell r="M353">
            <v>62.395223469999998</v>
          </cell>
          <cell r="N353">
            <v>62.081292490000003</v>
          </cell>
          <cell r="O353">
            <v>61.633809169999999</v>
          </cell>
          <cell r="P353">
            <v>61.094889100000003</v>
          </cell>
          <cell r="Q353">
            <v>60.836316910000001</v>
          </cell>
          <cell r="R353">
            <v>60.743531779999998</v>
          </cell>
          <cell r="S353">
            <v>60.734187009999999</v>
          </cell>
          <cell r="T353">
            <v>60.753504210000003</v>
          </cell>
          <cell r="U353">
            <v>60.768496310000003</v>
          </cell>
          <cell r="V353">
            <v>60.784402159999999</v>
          </cell>
          <cell r="W353">
            <v>60.790218439999997</v>
          </cell>
          <cell r="X353">
            <v>60.786556650000001</v>
          </cell>
          <cell r="Y353">
            <v>60.78800081</v>
          </cell>
          <cell r="Z353">
            <v>60.781556090000002</v>
          </cell>
          <cell r="AA353">
            <v>60.810198870000001</v>
          </cell>
          <cell r="AB353">
            <v>60.868163000000003</v>
          </cell>
          <cell r="AC353">
            <v>60.947696909999998</v>
          </cell>
          <cell r="AD353">
            <v>61.03961967</v>
          </cell>
          <cell r="AE353">
            <v>61.087180940000003</v>
          </cell>
          <cell r="AF353">
            <v>61.153079609999999</v>
          </cell>
          <cell r="AG353">
            <v>61.206084449999999</v>
          </cell>
          <cell r="AH353">
            <v>61.222827639999998</v>
          </cell>
          <cell r="AI353">
            <v>61.191033169999997</v>
          </cell>
          <cell r="AJ353">
            <v>61.108768009999999</v>
          </cell>
          <cell r="AK353">
            <v>60.988219780000001</v>
          </cell>
          <cell r="AL353">
            <v>60.838842169999999</v>
          </cell>
          <cell r="AM353">
            <v>60.669169580000002</v>
          </cell>
          <cell r="AN353">
            <v>60.486260940000001</v>
          </cell>
          <cell r="AO353">
            <v>60.295169809999997</v>
          </cell>
        </row>
        <row r="354">
          <cell r="F354">
            <v>42.52087745</v>
          </cell>
          <cell r="G354">
            <v>42.436897469999998</v>
          </cell>
          <cell r="H354">
            <v>42.07854099</v>
          </cell>
          <cell r="I354">
            <v>41.620115720000001</v>
          </cell>
          <cell r="J354">
            <v>41.298973090000004</v>
          </cell>
          <cell r="K354">
            <v>41.074575329999995</v>
          </cell>
          <cell r="L354">
            <v>40.900823330000001</v>
          </cell>
          <cell r="M354">
            <v>40.548309029999999</v>
          </cell>
          <cell r="N354">
            <v>40.061709110000002</v>
          </cell>
          <cell r="O354">
            <v>39.451549960000001</v>
          </cell>
          <cell r="P354">
            <v>38.773710659999999</v>
          </cell>
          <cell r="Q354">
            <v>38.338414289999996</v>
          </cell>
          <cell r="R354">
            <v>38.049670229999997</v>
          </cell>
          <cell r="S354">
            <v>37.847205960000004</v>
          </cell>
          <cell r="T354">
            <v>37.688876690000001</v>
          </cell>
          <cell r="U354">
            <v>37.547523460000001</v>
          </cell>
          <cell r="V354">
            <v>37.434419729999995</v>
          </cell>
          <cell r="W354">
            <v>37.336101970000001</v>
          </cell>
          <cell r="X354">
            <v>37.248309840000005</v>
          </cell>
          <cell r="Y354">
            <v>37.17622575</v>
          </cell>
          <cell r="Z354">
            <v>37.108050970000001</v>
          </cell>
          <cell r="AA354">
            <v>37.071340409999998</v>
          </cell>
          <cell r="AB354">
            <v>37.061028409999999</v>
          </cell>
          <cell r="AC354">
            <v>37.069043929999999</v>
          </cell>
          <cell r="AD354">
            <v>37.084697149999997</v>
          </cell>
          <cell r="AE354">
            <v>37.05398272</v>
          </cell>
          <cell r="AF354">
            <v>37.029052479999997</v>
          </cell>
          <cell r="AG354">
            <v>36.980027509999999</v>
          </cell>
          <cell r="AH354">
            <v>36.884110909999997</v>
          </cell>
          <cell r="AI354">
            <v>36.729350289999999</v>
          </cell>
          <cell r="AJ354">
            <v>36.514780439999996</v>
          </cell>
          <cell r="AK354">
            <v>36.251924359999997</v>
          </cell>
          <cell r="AL354">
            <v>35.953806640000003</v>
          </cell>
          <cell r="AM354">
            <v>35.632876250000002</v>
          </cell>
          <cell r="AN354">
            <v>35.299985649999996</v>
          </cell>
          <cell r="AO354">
            <v>34.963873640000003</v>
          </cell>
        </row>
        <row r="362">
          <cell r="F362">
            <v>21.78056273</v>
          </cell>
          <cell r="G362">
            <v>21.481743789999999</v>
          </cell>
          <cell r="H362">
            <v>21.339185050000001</v>
          </cell>
          <cell r="I362">
            <v>21.305020070000001</v>
          </cell>
          <cell r="J362">
            <v>21.364131799999999</v>
          </cell>
          <cell r="K362">
            <v>21.492362050000001</v>
          </cell>
          <cell r="L362">
            <v>21.667216579999998</v>
          </cell>
          <cell r="M362">
            <v>21.846914429999998</v>
          </cell>
          <cell r="N362">
            <v>22.01958338</v>
          </cell>
          <cell r="O362">
            <v>22.182259200000001</v>
          </cell>
          <cell r="P362">
            <v>22.321178440000001</v>
          </cell>
          <cell r="Q362">
            <v>22.497902620000001</v>
          </cell>
          <cell r="R362">
            <v>22.693861550000001</v>
          </cell>
          <cell r="S362">
            <v>22.886981049999999</v>
          </cell>
          <cell r="T362">
            <v>23.064627530000003</v>
          </cell>
          <cell r="U362">
            <v>23.220972850000003</v>
          </cell>
          <cell r="V362">
            <v>23.349982430000001</v>
          </cell>
          <cell r="W362">
            <v>23.45411648</v>
          </cell>
          <cell r="X362">
            <v>23.53824681</v>
          </cell>
          <cell r="Y362">
            <v>23.611775059999999</v>
          </cell>
          <cell r="Z362">
            <v>23.673505120000002</v>
          </cell>
          <cell r="AA362">
            <v>23.738858449999999</v>
          </cell>
          <cell r="AB362">
            <v>23.80713459</v>
          </cell>
          <cell r="AC362">
            <v>23.878652989999999</v>
          </cell>
          <cell r="AD362">
            <v>23.95492252</v>
          </cell>
          <cell r="AE362">
            <v>24.033198219999999</v>
          </cell>
          <cell r="AF362">
            <v>24.124027120000001</v>
          </cell>
          <cell r="AG362">
            <v>24.226056940000003</v>
          </cell>
          <cell r="AH362">
            <v>24.338716719999997</v>
          </cell>
          <cell r="AI362">
            <v>24.461682879999998</v>
          </cell>
          <cell r="AJ362">
            <v>24.593987579999997</v>
          </cell>
          <cell r="AK362">
            <v>24.736295420000001</v>
          </cell>
          <cell r="AL362">
            <v>24.88503553</v>
          </cell>
          <cell r="AM362">
            <v>25.036293329999999</v>
          </cell>
          <cell r="AN362">
            <v>25.186275289999998</v>
          </cell>
          <cell r="AO362">
            <v>25.331296170000002</v>
          </cell>
        </row>
        <row r="366">
          <cell r="F366">
            <v>26.322258130000002</v>
          </cell>
          <cell r="G366">
            <v>26.78563085</v>
          </cell>
          <cell r="H366">
            <v>27.30975703</v>
          </cell>
          <cell r="I366">
            <v>27.870673740000001</v>
          </cell>
          <cell r="J366">
            <v>28.481067320000001</v>
          </cell>
          <cell r="K366">
            <v>29.139256929999998</v>
          </cell>
          <cell r="L366">
            <v>29.836757859999999</v>
          </cell>
          <cell r="M366">
            <v>30.405293029999999</v>
          </cell>
          <cell r="N366">
            <v>30.923762700000001</v>
          </cell>
          <cell r="O366">
            <v>31.526652420000001</v>
          </cell>
          <cell r="P366">
            <v>32.056666249999999</v>
          </cell>
          <cell r="Q366">
            <v>32.463315899999998</v>
          </cell>
          <cell r="R366">
            <v>32.77859419</v>
          </cell>
          <cell r="S366">
            <v>33.037315710000001</v>
          </cell>
          <cell r="T366">
            <v>33.274231399999998</v>
          </cell>
          <cell r="U366">
            <v>33.509888510000003</v>
          </cell>
          <cell r="V366">
            <v>33.749780029999997</v>
          </cell>
          <cell r="W366">
            <v>34.00524892</v>
          </cell>
          <cell r="X366">
            <v>34.290178160000004</v>
          </cell>
          <cell r="Y366">
            <v>34.618815550000001</v>
          </cell>
          <cell r="Z366">
            <v>34.99517659</v>
          </cell>
          <cell r="AA366">
            <v>35.435893849999999</v>
          </cell>
          <cell r="AB366">
            <v>35.95019894</v>
          </cell>
          <cell r="AC366">
            <v>36.542343930000001</v>
          </cell>
          <cell r="AD366">
            <v>37.212142180000001</v>
          </cell>
          <cell r="AE366">
            <v>37.951431960000001</v>
          </cell>
          <cell r="AF366">
            <v>38.757388599999999</v>
          </cell>
          <cell r="AG366">
            <v>39.638962370000002</v>
          </cell>
          <cell r="AH366">
            <v>40.602325780000001</v>
          </cell>
          <cell r="AI366">
            <v>41.643670849999999</v>
          </cell>
          <cell r="AJ366">
            <v>42.753549659999997</v>
          </cell>
          <cell r="AK366">
            <v>43.926214160000001</v>
          </cell>
          <cell r="AL366">
            <v>45.156109919999999</v>
          </cell>
          <cell r="AM366">
            <v>46.437000390000001</v>
          </cell>
          <cell r="AN366">
            <v>47.761833170000003</v>
          </cell>
          <cell r="AO366">
            <v>49.122637189999999</v>
          </cell>
        </row>
        <row r="378">
          <cell r="F378">
            <v>4.8748047129999996</v>
          </cell>
          <cell r="G378">
            <v>4.9304702130000004</v>
          </cell>
          <cell r="H378">
            <v>4.9993694959999999</v>
          </cell>
          <cell r="I378">
            <v>5.0775447519999997</v>
          </cell>
          <cell r="J378">
            <v>5.1777201049999997</v>
          </cell>
          <cell r="K378">
            <v>5.2981455479999999</v>
          </cell>
          <cell r="L378">
            <v>5.4350844010000001</v>
          </cell>
          <cell r="M378">
            <v>5.5382430490000001</v>
          </cell>
          <cell r="N378">
            <v>5.6168367960000003</v>
          </cell>
          <cell r="O378">
            <v>5.69202107</v>
          </cell>
          <cell r="P378">
            <v>5.7375770179999996</v>
          </cell>
          <cell r="Q378">
            <v>5.7711503249999998</v>
          </cell>
          <cell r="R378">
            <v>5.7964750880000002</v>
          </cell>
          <cell r="S378">
            <v>5.8164294910000001</v>
          </cell>
          <cell r="T378">
            <v>5.8344181390000003</v>
          </cell>
          <cell r="U378">
            <v>5.8524384339999997</v>
          </cell>
          <cell r="V378">
            <v>5.8703281150000004</v>
          </cell>
          <cell r="W378">
            <v>5.8894621249999997</v>
          </cell>
          <cell r="X378">
            <v>5.9126118769999998</v>
          </cell>
          <cell r="Y378">
            <v>5.9436490199999996</v>
          </cell>
          <cell r="Z378">
            <v>5.9839367440000002</v>
          </cell>
          <cell r="AA378">
            <v>6.0389027779999997</v>
          </cell>
          <cell r="AB378">
            <v>6.110839811</v>
          </cell>
          <cell r="AC378">
            <v>6.2007838389999996</v>
          </cell>
          <cell r="AD378">
            <v>6.3087581630000003</v>
          </cell>
          <cell r="AE378">
            <v>6.4326622809999998</v>
          </cell>
          <cell r="AF378">
            <v>6.571732312</v>
          </cell>
          <cell r="AG378">
            <v>6.7290416799999999</v>
          </cell>
          <cell r="AH378">
            <v>6.905718008</v>
          </cell>
          <cell r="AI378">
            <v>7.1010239549999996</v>
          </cell>
          <cell r="AJ378">
            <v>7.3134359010000001</v>
          </cell>
          <cell r="AK378">
            <v>7.5432140319999998</v>
          </cell>
          <cell r="AL378">
            <v>7.7901482480000004</v>
          </cell>
          <cell r="AM378">
            <v>8.0539326169999992</v>
          </cell>
          <cell r="AN378">
            <v>8.3340842520000002</v>
          </cell>
          <cell r="AO378">
            <v>8.6298086939999994</v>
          </cell>
        </row>
        <row r="390">
          <cell r="F390">
            <v>43.899454519999999</v>
          </cell>
          <cell r="G390">
            <v>44.571267769999999</v>
          </cell>
          <cell r="H390">
            <v>45.361636369999999</v>
          </cell>
          <cell r="I390">
            <v>46.158922670000003</v>
          </cell>
          <cell r="J390">
            <v>47.155142240000004</v>
          </cell>
          <cell r="K390">
            <v>48.33271998</v>
          </cell>
          <cell r="L390">
            <v>49.671581879999998</v>
          </cell>
          <cell r="M390">
            <v>50.489769809999999</v>
          </cell>
          <cell r="N390">
            <v>50.970060279999998</v>
          </cell>
          <cell r="O390">
            <v>51.417935900000003</v>
          </cell>
          <cell r="P390">
            <v>51.473993980000003</v>
          </cell>
          <cell r="Q390">
            <v>51.39825948</v>
          </cell>
          <cell r="R390">
            <v>51.257115310000003</v>
          </cell>
          <cell r="S390">
            <v>51.105703079999998</v>
          </cell>
          <cell r="T390">
            <v>50.999519759999998</v>
          </cell>
          <cell r="U390">
            <v>50.961836939999998</v>
          </cell>
          <cell r="V390">
            <v>50.993223489999998</v>
          </cell>
          <cell r="W390">
            <v>51.100780870000001</v>
          </cell>
          <cell r="X390">
            <v>51.301710239999998</v>
          </cell>
          <cell r="Y390">
            <v>51.60725746</v>
          </cell>
          <cell r="Z390">
            <v>52.024219199999997</v>
          </cell>
          <cell r="AA390">
            <v>52.594064830000001</v>
          </cell>
          <cell r="AB390">
            <v>53.329062780000001</v>
          </cell>
          <cell r="AC390">
            <v>54.226844249999999</v>
          </cell>
          <cell r="AD390">
            <v>55.271533779999999</v>
          </cell>
          <cell r="AE390">
            <v>56.437609199999997</v>
          </cell>
          <cell r="AF390">
            <v>57.71449527</v>
          </cell>
          <cell r="AG390">
            <v>59.100990320000001</v>
          </cell>
          <cell r="AH390">
            <v>60.581662870000002</v>
          </cell>
          <cell r="AI390">
            <v>62.121860439999999</v>
          </cell>
          <cell r="AJ390">
            <v>63.680768200000003</v>
          </cell>
          <cell r="AK390">
            <v>65.243382740000001</v>
          </cell>
          <cell r="AL390">
            <v>66.793432199999998</v>
          </cell>
          <cell r="AM390">
            <v>68.318124699999998</v>
          </cell>
          <cell r="AN390">
            <v>69.807540410000001</v>
          </cell>
          <cell r="AO390">
            <v>71.253436789999995</v>
          </cell>
        </row>
        <row r="402">
          <cell r="F402">
            <v>22.27333617</v>
          </cell>
          <cell r="G402">
            <v>22.394443800000001</v>
          </cell>
          <cell r="H402">
            <v>22.55651701</v>
          </cell>
          <cell r="I402">
            <v>22.720189550000001</v>
          </cell>
          <cell r="J402">
            <v>23.015367869999999</v>
          </cell>
          <cell r="K402">
            <v>23.423716349999999</v>
          </cell>
          <cell r="L402">
            <v>23.931598139999998</v>
          </cell>
          <cell r="M402">
            <v>24.250662980000001</v>
          </cell>
          <cell r="N402">
            <v>24.388862450000001</v>
          </cell>
          <cell r="O402">
            <v>24.42323244</v>
          </cell>
          <cell r="P402">
            <v>24.316972109999998</v>
          </cell>
          <cell r="Q402">
            <v>24.23243738</v>
          </cell>
          <cell r="R402">
            <v>24.16438539</v>
          </cell>
          <cell r="S402">
            <v>24.105650529999998</v>
          </cell>
          <cell r="T402">
            <v>24.055610510000001</v>
          </cell>
          <cell r="U402">
            <v>24.013643040000002</v>
          </cell>
          <cell r="V402">
            <v>23.978310059999998</v>
          </cell>
          <cell r="W402">
            <v>23.954437120000001</v>
          </cell>
          <cell r="X402">
            <v>23.949206239999999</v>
          </cell>
          <cell r="Y402">
            <v>23.968263570000001</v>
          </cell>
          <cell r="Z402">
            <v>24.01878185</v>
          </cell>
          <cell r="AA402">
            <v>24.120688340000001</v>
          </cell>
          <cell r="AB402">
            <v>24.283684019999999</v>
          </cell>
          <cell r="AC402">
            <v>24.509039779999998</v>
          </cell>
          <cell r="AD402">
            <v>24.790711640000001</v>
          </cell>
          <cell r="AE402">
            <v>25.113545670000001</v>
          </cell>
          <cell r="AF402">
            <v>25.48668391</v>
          </cell>
          <cell r="AG402">
            <v>25.902198349999999</v>
          </cell>
          <cell r="AH402">
            <v>26.345940240000001</v>
          </cell>
          <cell r="AI402">
            <v>26.799560899999999</v>
          </cell>
          <cell r="AJ402">
            <v>27.245393700000001</v>
          </cell>
          <cell r="AK402">
            <v>27.677326319999999</v>
          </cell>
          <cell r="AL402">
            <v>28.091472849999999</v>
          </cell>
          <cell r="AM402">
            <v>28.486193119999999</v>
          </cell>
          <cell r="AN402">
            <v>28.861410289999998</v>
          </cell>
          <cell r="AO402">
            <v>29.217738959999998</v>
          </cell>
        </row>
        <row r="414">
          <cell r="F414">
            <v>64.301440170000006</v>
          </cell>
          <cell r="G414">
            <v>63.918641350000001</v>
          </cell>
          <cell r="H414">
            <v>63.417726199999997</v>
          </cell>
          <cell r="I414">
            <v>62.925136010000003</v>
          </cell>
          <cell r="J414">
            <v>62.663105129999998</v>
          </cell>
          <cell r="K414">
            <v>62.566937629999998</v>
          </cell>
          <cell r="L414">
            <v>62.439352100000001</v>
          </cell>
          <cell r="M414">
            <v>62.296083539999998</v>
          </cell>
          <cell r="N414">
            <v>62.17376213</v>
          </cell>
          <cell r="O414">
            <v>62.081951240000002</v>
          </cell>
          <cell r="P414">
            <v>62.048651059999997</v>
          </cell>
          <cell r="Q414">
            <v>62.031301710000001</v>
          </cell>
          <cell r="R414">
            <v>62.027249099999999</v>
          </cell>
          <cell r="S414">
            <v>62.028221870000003</v>
          </cell>
          <cell r="T414">
            <v>62.025571579999998</v>
          </cell>
          <cell r="U414">
            <v>62.01307946</v>
          </cell>
          <cell r="V414">
            <v>62.064145969999998</v>
          </cell>
          <cell r="W414">
            <v>62.146813350000002</v>
          </cell>
          <cell r="X414">
            <v>62.242754519999998</v>
          </cell>
          <cell r="Y414">
            <v>62.342527269999998</v>
          </cell>
          <cell r="Z414">
            <v>62.424504880000001</v>
          </cell>
          <cell r="AA414">
            <v>62.514718270000003</v>
          </cell>
          <cell r="AB414">
            <v>62.609194700000003</v>
          </cell>
          <cell r="AC414">
            <v>62.707734539999997</v>
          </cell>
          <cell r="AD414">
            <v>62.811650720000003</v>
          </cell>
          <cell r="AE414">
            <v>62.875303819999999</v>
          </cell>
          <cell r="AF414">
            <v>62.956881359999997</v>
          </cell>
          <cell r="AG414">
            <v>63.052876689999998</v>
          </cell>
          <cell r="AH414">
            <v>63.162146559999996</v>
          </cell>
          <cell r="AI414">
            <v>63.284648429999997</v>
          </cell>
          <cell r="AJ414">
            <v>63.420080159999998</v>
          </cell>
          <cell r="AK414">
            <v>63.567106119999998</v>
          </cell>
          <cell r="AL414">
            <v>63.723867470000002</v>
          </cell>
          <cell r="AM414">
            <v>63.887593799999998</v>
          </cell>
          <cell r="AN414">
            <v>64.055363439999994</v>
          </cell>
          <cell r="AO414">
            <v>64.224226580000007</v>
          </cell>
        </row>
        <row r="415">
          <cell r="F415">
            <v>42.52087745</v>
          </cell>
          <cell r="G415">
            <v>42.436897560000006</v>
          </cell>
          <cell r="H415">
            <v>42.078541159999993</v>
          </cell>
          <cell r="I415">
            <v>41.620115939999998</v>
          </cell>
          <cell r="J415">
            <v>41.298973340000003</v>
          </cell>
          <cell r="K415">
            <v>41.074575590000002</v>
          </cell>
          <cell r="L415">
            <v>40.778950420000001</v>
          </cell>
          <cell r="M415">
            <v>40.44368369</v>
          </cell>
          <cell r="N415">
            <v>40.11042295</v>
          </cell>
          <cell r="O415">
            <v>39.791957439999997</v>
          </cell>
          <cell r="P415">
            <v>39.517823409999998</v>
          </cell>
          <cell r="Q415">
            <v>39.257723479999996</v>
          </cell>
          <cell r="R415">
            <v>39.01674251</v>
          </cell>
          <cell r="S415">
            <v>38.792839600000001</v>
          </cell>
          <cell r="T415">
            <v>38.581273850000002</v>
          </cell>
          <cell r="U415">
            <v>38.377413090000005</v>
          </cell>
          <cell r="V415">
            <v>38.244362289999998</v>
          </cell>
          <cell r="W415">
            <v>38.146631590000005</v>
          </cell>
          <cell r="X415">
            <v>38.065453020000007</v>
          </cell>
          <cell r="Y415">
            <v>37.991300240000001</v>
          </cell>
          <cell r="Z415">
            <v>37.903677770000002</v>
          </cell>
          <cell r="AA415">
            <v>37.824699430000003</v>
          </cell>
          <cell r="AB415">
            <v>37.748689409999997</v>
          </cell>
          <cell r="AC415">
            <v>37.673214430000002</v>
          </cell>
          <cell r="AD415">
            <v>37.597511520000005</v>
          </cell>
          <cell r="AE415">
            <v>37.479086000000002</v>
          </cell>
          <cell r="AF415">
            <v>37.371053310000001</v>
          </cell>
          <cell r="AG415">
            <v>37.269099509999997</v>
          </cell>
          <cell r="AH415">
            <v>37.170903819999999</v>
          </cell>
          <cell r="AI415">
            <v>37.075693600000001</v>
          </cell>
          <cell r="AJ415">
            <v>36.983390579999998</v>
          </cell>
          <cell r="AK415">
            <v>36.893800679999998</v>
          </cell>
          <cell r="AL415">
            <v>36.806895619999999</v>
          </cell>
          <cell r="AM415">
            <v>36.72224207</v>
          </cell>
          <cell r="AN415">
            <v>36.639622280000005</v>
          </cell>
          <cell r="AO415">
            <v>36.559048709999999</v>
          </cell>
        </row>
        <row r="423">
          <cell r="F423">
            <v>21.78056273</v>
          </cell>
          <cell r="G423">
            <v>21.481743789999999</v>
          </cell>
          <cell r="H423">
            <v>21.339185050000001</v>
          </cell>
          <cell r="I423">
            <v>21.305020070000001</v>
          </cell>
          <cell r="J423">
            <v>21.364131799999999</v>
          </cell>
          <cell r="K423">
            <v>21.492362050000001</v>
          </cell>
          <cell r="L423">
            <v>21.66040168</v>
          </cell>
          <cell r="M423">
            <v>21.852399850000001</v>
          </cell>
          <cell r="N423">
            <v>22.06333918</v>
          </cell>
          <cell r="O423">
            <v>22.289993800000001</v>
          </cell>
          <cell r="P423">
            <v>22.530827640000002</v>
          </cell>
          <cell r="Q423">
            <v>22.773578230000002</v>
          </cell>
          <cell r="R423">
            <v>23.010506589999999</v>
          </cell>
          <cell r="S423">
            <v>23.235382269999999</v>
          </cell>
          <cell r="T423">
            <v>23.444297729999999</v>
          </cell>
          <cell r="U423">
            <v>23.635666370000003</v>
          </cell>
          <cell r="V423">
            <v>23.81978368</v>
          </cell>
          <cell r="W423">
            <v>24.00018176</v>
          </cell>
          <cell r="X423">
            <v>24.177301489999998</v>
          </cell>
          <cell r="Y423">
            <v>24.35122703</v>
          </cell>
          <cell r="Z423">
            <v>24.52082712</v>
          </cell>
          <cell r="AA423">
            <v>24.69001884</v>
          </cell>
          <cell r="AB423">
            <v>24.860505289999999</v>
          </cell>
          <cell r="AC423">
            <v>25.034520109999999</v>
          </cell>
          <cell r="AD423">
            <v>25.214139199999998</v>
          </cell>
          <cell r="AE423">
            <v>25.39621782</v>
          </cell>
          <cell r="AF423">
            <v>25.58582805</v>
          </cell>
          <cell r="AG423">
            <v>25.783777180000001</v>
          </cell>
          <cell r="AH423">
            <v>25.991242739999997</v>
          </cell>
          <cell r="AI423">
            <v>26.20895483</v>
          </cell>
          <cell r="AJ423">
            <v>26.436689569999999</v>
          </cell>
          <cell r="AK423">
            <v>26.673305429999999</v>
          </cell>
          <cell r="AL423">
            <v>26.916971850000003</v>
          </cell>
          <cell r="AM423">
            <v>27.165351730000001</v>
          </cell>
          <cell r="AN423">
            <v>27.41574116</v>
          </cell>
          <cell r="AO423">
            <v>27.665177870000001</v>
          </cell>
        </row>
        <row r="427">
          <cell r="F427">
            <v>26.322258130000002</v>
          </cell>
          <cell r="G427">
            <v>26.78563085</v>
          </cell>
          <cell r="H427">
            <v>27.30975703</v>
          </cell>
          <cell r="I427">
            <v>27.870673740000001</v>
          </cell>
          <cell r="J427">
            <v>28.481067320000001</v>
          </cell>
          <cell r="K427">
            <v>29.139256929999998</v>
          </cell>
          <cell r="L427">
            <v>29.825195059999999</v>
          </cell>
          <cell r="M427">
            <v>30.522368920000002</v>
          </cell>
          <cell r="N427">
            <v>31.224494050000001</v>
          </cell>
          <cell r="O427">
            <v>31.929170030000002</v>
          </cell>
          <cell r="P427">
            <v>32.612005549999999</v>
          </cell>
          <cell r="Q427">
            <v>33.181510199999998</v>
          </cell>
          <cell r="R427">
            <v>33.657070310000002</v>
          </cell>
          <cell r="S427">
            <v>34.062863149999998</v>
          </cell>
          <cell r="T427">
            <v>34.42515899</v>
          </cell>
          <cell r="U427">
            <v>34.767758669999999</v>
          </cell>
          <cell r="V427">
            <v>35.124972280000001</v>
          </cell>
          <cell r="W427">
            <v>35.521303369999998</v>
          </cell>
          <cell r="X427">
            <v>35.971888739999997</v>
          </cell>
          <cell r="Y427">
            <v>36.483558510000002</v>
          </cell>
          <cell r="Z427">
            <v>37.057802469999999</v>
          </cell>
          <cell r="AA427">
            <v>37.701295199999997</v>
          </cell>
          <cell r="AB427">
            <v>38.418881480000003</v>
          </cell>
          <cell r="AC427">
            <v>39.212599640000001</v>
          </cell>
          <cell r="AD427">
            <v>40.079915540000002</v>
          </cell>
          <cell r="AE427">
            <v>41.00960559</v>
          </cell>
          <cell r="AF427">
            <v>41.991871170000003</v>
          </cell>
          <cell r="AG427">
            <v>43.03234286</v>
          </cell>
          <cell r="AH427">
            <v>44.134413680000002</v>
          </cell>
          <cell r="AI427">
            <v>45.29043721</v>
          </cell>
          <cell r="AJ427">
            <v>46.48652688</v>
          </cell>
          <cell r="AK427">
            <v>47.709936949999999</v>
          </cell>
          <cell r="AL427">
            <v>48.950791430000002</v>
          </cell>
          <cell r="AM427">
            <v>50.200499379999997</v>
          </cell>
          <cell r="AN427">
            <v>51.451018320000003</v>
          </cell>
          <cell r="AO427">
            <v>52.694538700000003</v>
          </cell>
        </row>
        <row r="439">
          <cell r="F439">
            <v>4.8748047129999996</v>
          </cell>
          <cell r="G439">
            <v>4.9304702130000004</v>
          </cell>
          <cell r="H439">
            <v>4.999369497</v>
          </cell>
          <cell r="I439">
            <v>5.0775447539999998</v>
          </cell>
          <cell r="J439">
            <v>5.1777201079999999</v>
          </cell>
          <cell r="K439">
            <v>5.2981455510000002</v>
          </cell>
          <cell r="L439">
            <v>5.4302787209999996</v>
          </cell>
          <cell r="M439">
            <v>5.5670776880000004</v>
          </cell>
          <cell r="N439">
            <v>5.706612314</v>
          </cell>
          <cell r="O439">
            <v>5.8475929730000002</v>
          </cell>
          <cell r="P439">
            <v>5.985433285</v>
          </cell>
          <cell r="Q439">
            <v>6.1021826859999999</v>
          </cell>
          <cell r="R439">
            <v>6.1992456860000003</v>
          </cell>
          <cell r="S439">
            <v>6.2796850490000002</v>
          </cell>
          <cell r="T439">
            <v>6.3477076620000004</v>
          </cell>
          <cell r="U439">
            <v>6.4077816280000004</v>
          </cell>
          <cell r="V439">
            <v>6.4692938260000004</v>
          </cell>
          <cell r="W439">
            <v>6.5380566160000004</v>
          </cell>
          <cell r="X439">
            <v>6.6177985279999998</v>
          </cell>
          <cell r="Y439">
            <v>6.7104401219999996</v>
          </cell>
          <cell r="Z439">
            <v>6.8164335439999997</v>
          </cell>
          <cell r="AA439">
            <v>6.9377104049999998</v>
          </cell>
          <cell r="AB439">
            <v>7.0753434339999997</v>
          </cell>
          <cell r="AC439">
            <v>7.2299301959999998</v>
          </cell>
          <cell r="AD439">
            <v>7.4012825969999998</v>
          </cell>
          <cell r="AE439">
            <v>7.5868992720000001</v>
          </cell>
          <cell r="AF439">
            <v>7.7846945940000003</v>
          </cell>
          <cell r="AG439">
            <v>7.9966552279999998</v>
          </cell>
          <cell r="AH439">
            <v>8.2236563680000003</v>
          </cell>
          <cell r="AI439">
            <v>8.4643449589999999</v>
          </cell>
          <cell r="AJ439">
            <v>8.7160073649999994</v>
          </cell>
          <cell r="AK439">
            <v>8.9758430469999997</v>
          </cell>
          <cell r="AL439">
            <v>9.2413519310000005</v>
          </cell>
          <cell r="AM439">
            <v>9.5101472410000003</v>
          </cell>
          <cell r="AN439">
            <v>9.7798784659999995</v>
          </cell>
          <cell r="AO439">
            <v>10.048206690000001</v>
          </cell>
        </row>
        <row r="451">
          <cell r="F451">
            <v>43.899454550000002</v>
          </cell>
          <cell r="G451">
            <v>44.571267849999998</v>
          </cell>
          <cell r="H451">
            <v>45.361636490000002</v>
          </cell>
          <cell r="I451">
            <v>46.158922840000002</v>
          </cell>
          <cell r="J451">
            <v>47.15514246</v>
          </cell>
          <cell r="K451">
            <v>48.33272023</v>
          </cell>
          <cell r="L451">
            <v>49.5495108</v>
          </cell>
          <cell r="M451">
            <v>50.748002450000001</v>
          </cell>
          <cell r="N451">
            <v>51.928021639999997</v>
          </cell>
          <cell r="O451">
            <v>53.08837656</v>
          </cell>
          <cell r="P451">
            <v>54.169215199999996</v>
          </cell>
          <cell r="Q451">
            <v>54.97176623</v>
          </cell>
          <cell r="R451">
            <v>55.557598820000003</v>
          </cell>
          <cell r="S451">
            <v>55.991612760000002</v>
          </cell>
          <cell r="T451">
            <v>56.338794319999998</v>
          </cell>
          <cell r="U451">
            <v>56.654709310000001</v>
          </cell>
          <cell r="V451">
            <v>57.070407410000001</v>
          </cell>
          <cell r="W451">
            <v>57.630561059999998</v>
          </cell>
          <cell r="X451">
            <v>58.358940369999999</v>
          </cell>
          <cell r="Y451">
            <v>59.262260269999999</v>
          </cell>
          <cell r="Z451">
            <v>60.34109892</v>
          </cell>
          <cell r="AA451">
            <v>61.599623360000002</v>
          </cell>
          <cell r="AB451">
            <v>63.043817939999997</v>
          </cell>
          <cell r="AC451">
            <v>64.675030460000002</v>
          </cell>
          <cell r="AD451">
            <v>66.485470149999998</v>
          </cell>
          <cell r="AE451">
            <v>68.462205049999994</v>
          </cell>
          <cell r="AF451">
            <v>70.585209039999995</v>
          </cell>
          <cell r="AG451">
            <v>72.860468830000002</v>
          </cell>
          <cell r="AH451">
            <v>75.289824969999998</v>
          </cell>
          <cell r="AI451">
            <v>77.851142339999996</v>
          </cell>
          <cell r="AJ451">
            <v>80.509019300000006</v>
          </cell>
          <cell r="AK451">
            <v>83.231531469999993</v>
          </cell>
          <cell r="AL451">
            <v>85.993831049999997</v>
          </cell>
          <cell r="AM451">
            <v>88.774221710000006</v>
          </cell>
          <cell r="AN451">
            <v>91.552329180000001</v>
          </cell>
          <cell r="AO451">
            <v>94.308240940000005</v>
          </cell>
        </row>
        <row r="463">
          <cell r="F463">
            <v>22.27333621</v>
          </cell>
          <cell r="G463">
            <v>22.394443890000002</v>
          </cell>
          <cell r="H463">
            <v>22.55651714</v>
          </cell>
          <cell r="I463">
            <v>22.720189739999999</v>
          </cell>
          <cell r="J463">
            <v>23.0153681</v>
          </cell>
          <cell r="K463">
            <v>23.42371661</v>
          </cell>
          <cell r="L463">
            <v>23.863963859999998</v>
          </cell>
          <cell r="M463">
            <v>24.305669850000001</v>
          </cell>
          <cell r="N463">
            <v>24.748829140000002</v>
          </cell>
          <cell r="O463">
            <v>25.189240770000001</v>
          </cell>
          <cell r="P463">
            <v>25.612483619999999</v>
          </cell>
          <cell r="Q463">
            <v>25.965502560000001</v>
          </cell>
          <cell r="R463">
            <v>26.247068649999999</v>
          </cell>
          <cell r="S463">
            <v>26.46399285</v>
          </cell>
          <cell r="T463">
            <v>26.628663570000001</v>
          </cell>
          <cell r="U463">
            <v>26.756188120000001</v>
          </cell>
          <cell r="V463">
            <v>26.904689959999999</v>
          </cell>
          <cell r="W463">
            <v>27.088299549999999</v>
          </cell>
          <cell r="X463">
            <v>27.317830749999999</v>
          </cell>
          <cell r="Y463">
            <v>27.600427140000001</v>
          </cell>
          <cell r="Z463">
            <v>27.939375760000001</v>
          </cell>
          <cell r="AA463">
            <v>28.34169168</v>
          </cell>
          <cell r="AB463">
            <v>28.811066660000002</v>
          </cell>
          <cell r="AC463">
            <v>29.349821439999999</v>
          </cell>
          <cell r="AD463">
            <v>29.957739719999999</v>
          </cell>
          <cell r="AE463">
            <v>30.62851036</v>
          </cell>
          <cell r="AF463">
            <v>31.363598870000001</v>
          </cell>
          <cell r="AG463">
            <v>32.165868119999999</v>
          </cell>
          <cell r="AH463">
            <v>33.034301960000001</v>
          </cell>
          <cell r="AI463">
            <v>33.96066751</v>
          </cell>
          <cell r="AJ463">
            <v>34.931951050000002</v>
          </cell>
          <cell r="AK463">
            <v>35.934609160000001</v>
          </cell>
          <cell r="AL463">
            <v>36.956429159999999</v>
          </cell>
          <cell r="AM463">
            <v>37.98638201</v>
          </cell>
          <cell r="AN463">
            <v>39.01435326</v>
          </cell>
          <cell r="AO463">
            <v>40.030881639999997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4.1071679390825011E-8</v>
          </cell>
          <cell r="L1365">
            <v>2.5043590758500045E-2</v>
          </cell>
          <cell r="M1365">
            <v>-0.20746925559940177</v>
          </cell>
          <cell r="N1365">
            <v>-0.41114053426568598</v>
          </cell>
          <cell r="O1365">
            <v>-0.22878309148918197</v>
          </cell>
          <cell r="P1365">
            <v>-1.2274325027983313E-2</v>
          </cell>
          <cell r="Q1365">
            <v>0.13998192378448238</v>
          </cell>
          <cell r="R1365">
            <v>0.2457342861577283</v>
          </cell>
          <cell r="S1365">
            <v>0.32905277137398325</v>
          </cell>
          <cell r="T1365">
            <v>0.41761024914368505</v>
          </cell>
          <cell r="U1365">
            <v>0.51539535875166909</v>
          </cell>
          <cell r="V1365">
            <v>0.57603472219254215</v>
          </cell>
          <cell r="W1365">
            <v>0.6085840741736348</v>
          </cell>
          <cell r="X1365">
            <v>0.61874876687861846</v>
          </cell>
          <cell r="Y1365">
            <v>0.61402915575039518</v>
          </cell>
          <cell r="Z1365">
            <v>0.59467492823535029</v>
          </cell>
          <cell r="AA1365">
            <v>0.55680448982464714</v>
          </cell>
          <cell r="AB1365">
            <v>0.50720322073565249</v>
          </cell>
          <cell r="AC1365">
            <v>0.44959490828970772</v>
          </cell>
          <cell r="AD1365">
            <v>0.38813231600065556</v>
          </cell>
          <cell r="AE1365">
            <v>0.32649143005005765</v>
          </cell>
          <cell r="AF1365">
            <v>0.26041493076909283</v>
          </cell>
          <cell r="AG1365">
            <v>0.19135208676472892</v>
          </cell>
          <cell r="AH1365">
            <v>0.12400362550486488</v>
          </cell>
          <cell r="AI1365">
            <v>6.2965748625010143E-2</v>
          </cell>
          <cell r="AJ1365">
            <v>1.1639285512599074E-2</v>
          </cell>
          <cell r="AK1365">
            <v>-3.1975392267202807E-2</v>
          </cell>
          <cell r="AL1365">
            <v>-6.4968961422839921E-2</v>
          </cell>
          <cell r="AM1365">
            <v>-8.6999891223460413E-2</v>
          </cell>
          <cell r="AN1365">
            <v>-9.8610857151837372E-2</v>
          </cell>
          <cell r="AO1365">
            <v>-0.1007482524325698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-6.107991890047515E-9</v>
          </cell>
          <cell r="I1366">
            <v>0</v>
          </cell>
          <cell r="J1366">
            <v>0</v>
          </cell>
          <cell r="K1366">
            <v>-5.6873061815565507E-9</v>
          </cell>
          <cell r="L1366">
            <v>2.6181726458007759E-2</v>
          </cell>
          <cell r="M1366">
            <v>-0.27273372688301212</v>
          </cell>
          <cell r="N1366">
            <v>-0.52438280473445786</v>
          </cell>
          <cell r="O1366">
            <v>-0.29317226153491305</v>
          </cell>
          <cell r="P1366">
            <v>-3.907667570748341E-2</v>
          </cell>
          <cell r="Q1366">
            <v>0.12269694133071329</v>
          </cell>
          <cell r="R1366">
            <v>0.21961228666520505</v>
          </cell>
          <cell r="S1366">
            <v>0.28820104359181808</v>
          </cell>
          <cell r="T1366">
            <v>0.3654636232437225</v>
          </cell>
          <cell r="U1366">
            <v>0.45591013287902271</v>
          </cell>
          <cell r="V1366">
            <v>0.50582787900359527</v>
          </cell>
          <cell r="W1366">
            <v>0.52530802135843935</v>
          </cell>
          <cell r="X1366">
            <v>0.51825441720050325</v>
          </cell>
          <cell r="Y1366">
            <v>0.48964237140540767</v>
          </cell>
          <cell r="Z1366">
            <v>0.44296238207330862</v>
          </cell>
          <cell r="AA1366">
            <v>0.3750881839819975</v>
          </cell>
          <cell r="AB1366">
            <v>0.29478986166517895</v>
          </cell>
          <cell r="AC1366">
            <v>0.2069018606067452</v>
          </cell>
          <cell r="AD1366">
            <v>0.11643137569077311</v>
          </cell>
          <cell r="AE1366">
            <v>2.7627373084571083E-2</v>
          </cell>
          <cell r="AF1366">
            <v>-6.3334849800644744E-2</v>
          </cell>
          <cell r="AG1366">
            <v>-0.15503470194435653</v>
          </cell>
          <cell r="AH1366">
            <v>-0.24223327263235284</v>
          </cell>
          <cell r="AI1366">
            <v>-0.31991208504291713</v>
          </cell>
          <cell r="AJ1366">
            <v>-0.38452899512385619</v>
          </cell>
          <cell r="AK1366">
            <v>-0.43835263991494067</v>
          </cell>
          <cell r="AL1366">
            <v>-0.47861107120218405</v>
          </cell>
          <cell r="AM1366">
            <v>-0.50544912339782755</v>
          </cell>
          <cell r="AN1366">
            <v>-0.52002959589112496</v>
          </cell>
          <cell r="AO1366">
            <v>-0.52395048932621924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2.7948041856367394E-2</v>
          </cell>
          <cell r="M1367">
            <v>4.614300712859519E-2</v>
          </cell>
          <cell r="N1367">
            <v>5.367761843911821E-2</v>
          </cell>
          <cell r="O1367">
            <v>0.13847348660738812</v>
          </cell>
          <cell r="P1367">
            <v>0.33106465661917162</v>
          </cell>
          <cell r="Q1367">
            <v>0.55233764021112175</v>
          </cell>
          <cell r="R1367">
            <v>0.78994343438607306</v>
          </cell>
          <cell r="S1367">
            <v>1.0184127548953112</v>
          </cell>
          <cell r="T1367">
            <v>1.2294827560729855</v>
          </cell>
          <cell r="U1367">
            <v>1.4260496889928242</v>
          </cell>
          <cell r="V1367">
            <v>1.5926786649855726</v>
          </cell>
          <cell r="W1367">
            <v>1.7344287875537461</v>
          </cell>
          <cell r="X1367">
            <v>1.8603756107069394</v>
          </cell>
          <cell r="Y1367">
            <v>1.9762771162734363</v>
          </cell>
          <cell r="Z1367">
            <v>2.0830150391380466</v>
          </cell>
          <cell r="AA1367">
            <v>2.1713152163776588</v>
          </cell>
          <cell r="AB1367">
            <v>2.241337094576052</v>
          </cell>
          <cell r="AC1367">
            <v>2.2927329145794877</v>
          </cell>
          <cell r="AD1367">
            <v>2.3272011217460435</v>
          </cell>
          <cell r="AE1367">
            <v>2.3475699185920731</v>
          </cell>
          <cell r="AF1367">
            <v>2.342137049937334</v>
          </cell>
          <cell r="AG1367">
            <v>2.3146946518984781</v>
          </cell>
          <cell r="AH1367">
            <v>2.2706544347074105</v>
          </cell>
          <cell r="AI1367">
            <v>2.2155649881172867</v>
          </cell>
          <cell r="AJ1367">
            <v>2.1543543410926724</v>
          </cell>
          <cell r="AK1367">
            <v>2.0858737845935118</v>
          </cell>
          <cell r="AL1367">
            <v>2.015453933401318</v>
          </cell>
          <cell r="AM1367">
            <v>1.9466570066757771</v>
          </cell>
          <cell r="AN1367">
            <v>1.8826172386531597</v>
          </cell>
          <cell r="AO1367">
            <v>1.8261019500238962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4.471223447372298E-10</v>
          </cell>
          <cell r="H1368">
            <v>8.7713285687708979E-10</v>
          </cell>
          <cell r="I1368">
            <v>1.7180764677866315E-9</v>
          </cell>
          <cell r="J1368">
            <v>1.6808070759069787E-9</v>
          </cell>
          <cell r="K1368">
            <v>2.0535847838341749E-9</v>
          </cell>
          <cell r="L1368">
            <v>7.0143507478588633E-3</v>
          </cell>
          <cell r="M1368">
            <v>-8.9928800839668248E-3</v>
          </cell>
          <cell r="N1368">
            <v>-4.1872596776079629E-2</v>
          </cell>
          <cell r="O1368">
            <v>-8.1079358758032724E-2</v>
          </cell>
          <cell r="P1368">
            <v>-0.13287209578130066</v>
          </cell>
          <cell r="Q1368">
            <v>-0.11993768453639903</v>
          </cell>
          <cell r="R1368">
            <v>-8.8827772462859278E-2</v>
          </cell>
          <cell r="S1368">
            <v>-6.4415249454295748E-2</v>
          </cell>
          <cell r="T1368">
            <v>-5.1245181589697229E-2</v>
          </cell>
          <cell r="U1368">
            <v>-4.7036881441023921E-2</v>
          </cell>
          <cell r="V1368">
            <v>-6.0958000963954456E-2</v>
          </cell>
          <cell r="W1368">
            <v>-8.3657133289046573E-2</v>
          </cell>
          <cell r="X1368">
            <v>-0.1062726422541445</v>
          </cell>
          <cell r="Y1368">
            <v>-0.12087367123534674</v>
          </cell>
          <cell r="Z1368">
            <v>-0.13217155262613675</v>
          </cell>
          <cell r="AA1368">
            <v>-0.13254989087810781</v>
          </cell>
          <cell r="AB1368">
            <v>-0.13041360065626298</v>
          </cell>
          <cell r="AC1368">
            <v>-0.12896963209499548</v>
          </cell>
          <cell r="AD1368">
            <v>-0.12845475679287016</v>
          </cell>
          <cell r="AE1368">
            <v>-0.12843522295692009</v>
          </cell>
          <cell r="AF1368">
            <v>-0.12422524524010276</v>
          </cell>
          <cell r="AG1368">
            <v>-0.11987408912494572</v>
          </cell>
          <cell r="AH1368">
            <v>-0.11680494650458811</v>
          </cell>
          <cell r="AI1368">
            <v>-0.11512682741823461</v>
          </cell>
          <cell r="AJ1368">
            <v>-0.11469650552786795</v>
          </cell>
          <cell r="AK1368">
            <v>-0.11366082549884605</v>
          </cell>
          <cell r="AL1368">
            <v>-0.11376797193140471</v>
          </cell>
          <cell r="AM1368">
            <v>-0.11568620667369085</v>
          </cell>
          <cell r="AN1368">
            <v>-0.11938816908401551</v>
          </cell>
          <cell r="AO1368">
            <v>-0.12464289808777981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4.2951914819828759E-9</v>
          </cell>
          <cell r="J1370">
            <v>0</v>
          </cell>
          <cell r="K1370">
            <v>4.1071719583555708E-9</v>
          </cell>
          <cell r="L1370">
            <v>4.6025894887990401E-3</v>
          </cell>
          <cell r="M1370">
            <v>-3.1797023095116277E-2</v>
          </cell>
          <cell r="N1370">
            <v>-8.362437193389774E-2</v>
          </cell>
          <cell r="O1370">
            <v>-8.3307959343825011E-2</v>
          </cell>
          <cell r="P1370">
            <v>-5.7743532807315152E-2</v>
          </cell>
          <cell r="Q1370">
            <v>-1.7828466396575187E-2</v>
          </cell>
          <cell r="R1370">
            <v>2.4066241955915176E-2</v>
          </cell>
          <cell r="S1370">
            <v>6.5305224972798712E-2</v>
          </cell>
          <cell r="T1370">
            <v>0.10917510768316881</v>
          </cell>
          <cell r="U1370">
            <v>0.1577517801263579</v>
          </cell>
          <cell r="V1370">
            <v>0.20180199012557781</v>
          </cell>
          <cell r="W1370">
            <v>0.24046281298033628</v>
          </cell>
          <cell r="X1370">
            <v>0.27490559089893368</v>
          </cell>
          <cell r="Y1370">
            <v>0.30757348335545476</v>
          </cell>
          <cell r="Z1370">
            <v>0.33950795660244576</v>
          </cell>
          <cell r="AA1370">
            <v>0.37280186358901496</v>
          </cell>
          <cell r="AB1370">
            <v>0.40745603760187754</v>
          </cell>
          <cell r="AC1370">
            <v>0.44360034046612568</v>
          </cell>
          <cell r="AD1370">
            <v>0.48166462167685209</v>
          </cell>
          <cell r="AE1370">
            <v>0.52219822839165664</v>
          </cell>
          <cell r="AF1370">
            <v>0.56636967907201996</v>
          </cell>
          <cell r="AG1370">
            <v>0.61283747543864631</v>
          </cell>
          <cell r="AH1370">
            <v>0.66098388932221286</v>
          </cell>
          <cell r="AI1370">
            <v>0.71068225114951422</v>
          </cell>
          <cell r="AJ1370">
            <v>0.76192382571154449</v>
          </cell>
          <cell r="AK1370">
            <v>0.81467642460021605</v>
          </cell>
          <cell r="AL1370">
            <v>0.86839458317861351</v>
          </cell>
          <cell r="AM1370">
            <v>0.92252264934945016</v>
          </cell>
          <cell r="AN1370">
            <v>0.97648955687093075</v>
          </cell>
          <cell r="AO1370">
            <v>1.0297310923867189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-4.5515840316693176E-9</v>
          </cell>
          <cell r="G1372">
            <v>-4.4712260499697865E-9</v>
          </cell>
          <cell r="H1372">
            <v>0</v>
          </cell>
          <cell r="I1372">
            <v>-8.5903829639657518E-9</v>
          </cell>
          <cell r="J1372">
            <v>-8.4040359910089622E-9</v>
          </cell>
          <cell r="K1372">
            <v>-8.2143391353366997E-9</v>
          </cell>
          <cell r="L1372">
            <v>-7.5070325592047253E-3</v>
          </cell>
          <cell r="M1372">
            <v>-0.2218152984636893</v>
          </cell>
          <cell r="N1372">
            <v>-0.38119379610085957</v>
          </cell>
          <cell r="O1372">
            <v>-0.28394863747826676</v>
          </cell>
          <cell r="P1372">
            <v>-0.28559544151630906</v>
          </cell>
          <cell r="Q1372">
            <v>-0.39452725721079362</v>
          </cell>
          <cell r="R1372">
            <v>-0.56827541487828159</v>
          </cell>
          <cell r="S1372">
            <v>-0.75466523974280963</v>
          </cell>
          <cell r="T1372">
            <v>-0.92104762829838271</v>
          </cell>
          <cell r="U1372">
            <v>-1.0684061103675171</v>
          </cell>
          <cell r="V1372">
            <v>-1.2184459562123529</v>
          </cell>
          <cell r="W1372">
            <v>-1.3663075296410061</v>
          </cell>
          <cell r="X1372">
            <v>-1.5165324314953199</v>
          </cell>
          <cell r="Y1372">
            <v>-1.6698214343343354</v>
          </cell>
          <cell r="Z1372">
            <v>-1.8278480549888596</v>
          </cell>
          <cell r="AA1372">
            <v>-1.9873125747704938</v>
          </cell>
          <cell r="AB1372">
            <v>-2.1415899446295845</v>
          </cell>
          <cell r="AC1372">
            <v>-2.286738331969147</v>
          </cell>
          <cell r="AD1372">
            <v>-2.4207334419006812</v>
          </cell>
          <cell r="AE1372">
            <v>-2.5432766914332929</v>
          </cell>
          <cell r="AF1372">
            <v>-2.6480917677722502</v>
          </cell>
          <cell r="AG1372">
            <v>-2.736180032455767</v>
          </cell>
          <cell r="AH1372">
            <v>-2.8076347302147506</v>
          </cell>
          <cell r="AI1372">
            <v>-2.8632814829128916</v>
          </cell>
          <cell r="AJ1372">
            <v>-2.9046388812916168</v>
          </cell>
          <cell r="AK1372">
            <v>-2.9325256259651145</v>
          </cell>
          <cell r="AL1372">
            <v>-2.9488175019024809</v>
          </cell>
          <cell r="AM1372">
            <v>-2.9561795239327608</v>
          </cell>
          <cell r="AN1372">
            <v>-2.9577176071657205</v>
          </cell>
          <cell r="AO1372">
            <v>-2.9565812948431924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-4.1072006466022304E-10</v>
          </cell>
          <cell r="L1373">
            <v>2.7464605658252275E-2</v>
          </cell>
          <cell r="M1373">
            <v>4.5370895846465628E-2</v>
          </cell>
          <cell r="N1373">
            <v>5.3033839837088433E-2</v>
          </cell>
          <cell r="O1373">
            <v>0.13732306421775259</v>
          </cell>
          <cell r="P1373">
            <v>0.32852060408780775</v>
          </cell>
          <cell r="Q1373">
            <v>0.54827851383511794</v>
          </cell>
          <cell r="R1373">
            <v>0.78360550045972377</v>
          </cell>
          <cell r="S1373">
            <v>1.0093548616131593</v>
          </cell>
          <cell r="T1373">
            <v>1.2176031733913606</v>
          </cell>
          <cell r="U1373">
            <v>1.4113995696047561</v>
          </cell>
          <cell r="V1373">
            <v>1.5756758055297471</v>
          </cell>
          <cell r="W1373">
            <v>1.7155533536053209</v>
          </cell>
          <cell r="X1373">
            <v>1.8399702119174337</v>
          </cell>
          <cell r="Y1373">
            <v>1.9545389966403119</v>
          </cell>
          <cell r="Z1373">
            <v>2.0599837436563107</v>
          </cell>
          <cell r="AA1373">
            <v>2.1470975145910751</v>
          </cell>
          <cell r="AB1373">
            <v>2.2159534170103172</v>
          </cell>
          <cell r="AC1373">
            <v>2.2662687808063833</v>
          </cell>
          <cell r="AD1373">
            <v>2.2998099663798262</v>
          </cell>
          <cell r="AE1373">
            <v>2.3194350065544005</v>
          </cell>
          <cell r="AF1373">
            <v>2.3136382539447373</v>
          </cell>
          <cell r="AG1373">
            <v>2.2861493391757937</v>
          </cell>
          <cell r="AH1373">
            <v>2.2423500905399147</v>
          </cell>
          <cell r="AI1373">
            <v>2.1877548373524824</v>
          </cell>
          <cell r="AJ1373">
            <v>2.127245849207994</v>
          </cell>
          <cell r="AK1373">
            <v>2.0596705365869248</v>
          </cell>
          <cell r="AL1373">
            <v>1.9902580772685277</v>
          </cell>
          <cell r="AM1373">
            <v>1.9225208549550681</v>
          </cell>
          <cell r="AN1373">
            <v>1.8595502640497765</v>
          </cell>
          <cell r="AO1373">
            <v>1.8040678974838984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4.2951914819828759E-9</v>
          </cell>
          <cell r="J1374">
            <v>0</v>
          </cell>
          <cell r="K1374">
            <v>4.5178872416413514E-9</v>
          </cell>
          <cell r="L1374">
            <v>5.0860256869188257E-3</v>
          </cell>
          <cell r="M1374">
            <v>-3.1024911812986718E-2</v>
          </cell>
          <cell r="N1374">
            <v>-8.29805933318635E-2</v>
          </cell>
          <cell r="O1374">
            <v>-8.2157536954193866E-2</v>
          </cell>
          <cell r="P1374">
            <v>-5.5199480275955497E-2</v>
          </cell>
          <cell r="Q1374">
            <v>-1.3769340020571475E-2</v>
          </cell>
          <cell r="R1374">
            <v>3.040417588226859E-2</v>
          </cell>
          <cell r="S1374">
            <v>7.4363118254946778E-2</v>
          </cell>
          <cell r="T1374">
            <v>0.12105469036479395</v>
          </cell>
          <cell r="U1374">
            <v>0.17240189951442622</v>
          </cell>
          <cell r="V1374">
            <v>0.21880484958139956</v>
          </cell>
          <cell r="W1374">
            <v>0.25933824692876151</v>
          </cell>
          <cell r="X1374">
            <v>0.2953109896884431</v>
          </cell>
          <cell r="Y1374">
            <v>0.32931160298857509</v>
          </cell>
          <cell r="Z1374">
            <v>0.36253925208418192</v>
          </cell>
          <cell r="AA1374">
            <v>0.39701956537559852</v>
          </cell>
          <cell r="AB1374">
            <v>0.43283971516760861</v>
          </cell>
          <cell r="AC1374">
            <v>0.47006447423922315</v>
          </cell>
          <cell r="AD1374">
            <v>0.50905577704306582</v>
          </cell>
          <cell r="AE1374">
            <v>0.55033314042932602</v>
          </cell>
          <cell r="AF1374">
            <v>0.59486847506461038</v>
          </cell>
          <cell r="AG1374">
            <v>0.64138278816132777</v>
          </cell>
          <cell r="AH1374">
            <v>0.68928823348971169</v>
          </cell>
          <cell r="AI1374">
            <v>0.73849240191431509</v>
          </cell>
          <cell r="AJ1374">
            <v>0.78903231759623171</v>
          </cell>
          <cell r="AK1374">
            <v>0.84087967260679741</v>
          </cell>
          <cell r="AL1374">
            <v>0.89359043931141491</v>
          </cell>
          <cell r="AM1374">
            <v>0.94665880107015388</v>
          </cell>
          <cell r="AN1374">
            <v>0.99955653147431389</v>
          </cell>
          <cell r="AO1374">
            <v>1.0517651449267216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0</v>
          </cell>
          <cell r="I1375">
            <v>4.2951889818525007E-9</v>
          </cell>
          <cell r="J1375">
            <v>0</v>
          </cell>
          <cell r="K1375">
            <v>3.6964542843825696E-9</v>
          </cell>
          <cell r="L1375">
            <v>4.3163680207779108E-3</v>
          </cell>
          <cell r="M1375">
            <v>-3.1491353092950439E-2</v>
          </cell>
          <cell r="N1375">
            <v>-8.2321135620713484E-2</v>
          </cell>
          <cell r="O1375">
            <v>-8.14457917875996E-2</v>
          </cell>
          <cell r="P1375">
            <v>-5.5312024033114644E-2</v>
          </cell>
          <cell r="Q1375">
            <v>-1.6253985885115268E-2</v>
          </cell>
          <cell r="R1375">
            <v>2.4148942181737663E-2</v>
          </cell>
          <cell r="S1375">
            <v>6.3644790751201566E-2</v>
          </cell>
          <cell r="T1375">
            <v>0.10564796127629753</v>
          </cell>
          <cell r="U1375">
            <v>0.15227290527108001</v>
          </cell>
          <cell r="V1375">
            <v>0.19466642618028107</v>
          </cell>
          <cell r="W1375">
            <v>0.2319180818481423</v>
          </cell>
          <cell r="X1375">
            <v>0.2650617162550874</v>
          </cell>
          <cell r="Y1375">
            <v>0.29634037239906597</v>
          </cell>
          <cell r="Z1375">
            <v>0.32676147486156765</v>
          </cell>
          <cell r="AA1375">
            <v>0.35820043488671777</v>
          </cell>
          <cell r="AB1375">
            <v>0.3907608235366829</v>
          </cell>
          <cell r="AC1375">
            <v>0.42464048273679517</v>
          </cell>
          <cell r="AD1375">
            <v>0.46030762433435773</v>
          </cell>
          <cell r="AE1375">
            <v>0.49833189925861482</v>
          </cell>
          <cell r="AF1375">
            <v>0.53982544249842057</v>
          </cell>
          <cell r="AG1375">
            <v>0.58358065743291176</v>
          </cell>
          <cell r="AH1375">
            <v>0.62905205806946984</v>
          </cell>
          <cell r="AI1375">
            <v>0.6761438695504286</v>
          </cell>
          <cell r="AJ1375">
            <v>0.72486032436515957</v>
          </cell>
          <cell r="AK1375">
            <v>0.77513457381439022</v>
          </cell>
          <cell r="AL1375">
            <v>0.82646663807216225</v>
          </cell>
          <cell r="AM1375">
            <v>0.87832521126891638</v>
          </cell>
          <cell r="AN1375">
            <v>0.93014782876505098</v>
          </cell>
          <cell r="AO1375">
            <v>0.98136747009826131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4.1071692688324469E-10</v>
          </cell>
          <cell r="L1376">
            <v>4.8343619811555067E-4</v>
          </cell>
          <cell r="M1376">
            <v>7.7211128212941306E-4</v>
          </cell>
          <cell r="N1376">
            <v>6.4377860203116723E-4</v>
          </cell>
          <cell r="O1376">
            <v>1.1504223896315572E-3</v>
          </cell>
          <cell r="P1376">
            <v>2.5440525313603153E-3</v>
          </cell>
          <cell r="Q1376">
            <v>4.0591263760072389E-3</v>
          </cell>
          <cell r="R1376">
            <v>6.3379339263527719E-3</v>
          </cell>
          <cell r="S1376">
            <v>9.0578932821503474E-3</v>
          </cell>
          <cell r="T1376">
            <v>1.1879582681623417E-2</v>
          </cell>
          <cell r="U1376">
            <v>1.4650119388069682E-2</v>
          </cell>
          <cell r="V1376">
            <v>1.7002859455822337E-2</v>
          </cell>
          <cell r="W1376">
            <v>1.8875433948425502E-2</v>
          </cell>
          <cell r="X1376">
            <v>2.0405398789509768E-2</v>
          </cell>
          <cell r="Y1376">
            <v>2.1738119633119404E-2</v>
          </cell>
          <cell r="Z1376">
            <v>2.3031295481733625E-2</v>
          </cell>
          <cell r="AA1376">
            <v>2.421770178658245E-2</v>
          </cell>
          <cell r="AB1376">
            <v>2.5383677565730182E-2</v>
          </cell>
          <cell r="AC1376">
            <v>2.646413377309937E-2</v>
          </cell>
          <cell r="AD1376">
            <v>2.7391155366214847E-2</v>
          </cell>
          <cell r="AE1376">
            <v>2.8134912037669768E-2</v>
          </cell>
          <cell r="AF1376">
            <v>2.8498795992592297E-2</v>
          </cell>
          <cell r="AG1376">
            <v>2.8545312722683305E-2</v>
          </cell>
          <cell r="AH1376">
            <v>2.8304344167499634E-2</v>
          </cell>
          <cell r="AI1376">
            <v>2.7810150764799434E-2</v>
          </cell>
          <cell r="AJ1376">
            <v>2.7108491884685001E-2</v>
          </cell>
          <cell r="AK1376">
            <v>2.6203248006581872E-2</v>
          </cell>
          <cell r="AL1376">
            <v>2.5195856132800648E-2</v>
          </cell>
          <cell r="AM1376">
            <v>2.4136151720701396E-2</v>
          </cell>
          <cell r="AN1376">
            <v>2.3066974603383042E-2</v>
          </cell>
          <cell r="AO1376">
            <v>2.2034052539998926E-2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4.1071707630119605E-10</v>
          </cell>
          <cell r="L1377">
            <v>2.8622146802083793E-4</v>
          </cell>
          <cell r="M1377">
            <v>-3.05670002165547E-4</v>
          </cell>
          <cell r="N1377">
            <v>-1.3032363131820163E-3</v>
          </cell>
          <cell r="O1377">
            <v>-1.8621675562254165E-3</v>
          </cell>
          <cell r="P1377">
            <v>-2.4315087742018395E-3</v>
          </cell>
          <cell r="Q1377">
            <v>-1.5744805114612267E-3</v>
          </cell>
          <cell r="R1377">
            <v>-8.2700225822486854E-5</v>
          </cell>
          <cell r="S1377">
            <v>1.6604342215968862E-3</v>
          </cell>
          <cell r="T1377">
            <v>3.5271464068710339E-3</v>
          </cell>
          <cell r="U1377">
            <v>5.478874855280853E-3</v>
          </cell>
          <cell r="V1377">
            <v>7.1355639452972183E-3</v>
          </cell>
          <cell r="W1377">
            <v>8.5447311321908519E-3</v>
          </cell>
          <cell r="X1377">
            <v>9.8438746438460727E-3</v>
          </cell>
          <cell r="Y1377">
            <v>1.1233110956386924E-2</v>
          </cell>
          <cell r="Z1377">
            <v>1.2746481740877851E-2</v>
          </cell>
          <cell r="AA1377">
            <v>1.4601428702298299E-2</v>
          </cell>
          <cell r="AB1377">
            <v>1.6695214065196595E-2</v>
          </cell>
          <cell r="AC1377">
            <v>1.8959857729329649E-2</v>
          </cell>
          <cell r="AD1377">
            <v>2.1356997342497061E-2</v>
          </cell>
          <cell r="AE1377">
            <v>2.3866329133040161E-2</v>
          </cell>
          <cell r="AF1377">
            <v>2.6544236573600853E-2</v>
          </cell>
          <cell r="AG1377">
            <v>2.9256818005734944E-2</v>
          </cell>
          <cell r="AH1377">
            <v>3.1931831252742481E-2</v>
          </cell>
          <cell r="AI1377">
            <v>3.4538381599087065E-2</v>
          </cell>
          <cell r="AJ1377">
            <v>3.7063501346387487E-2</v>
          </cell>
          <cell r="AK1377">
            <v>3.9541850785825214E-2</v>
          </cell>
          <cell r="AL1377">
            <v>4.1927945106451044E-2</v>
          </cell>
          <cell r="AM1377">
            <v>4.4197438080534807E-2</v>
          </cell>
          <cell r="AN1377">
            <v>4.6341728105884494E-2</v>
          </cell>
          <cell r="AO1377">
            <v>4.8363622288456566E-2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5.132211293648048E-2</v>
          </cell>
          <cell r="M1378">
            <v>8.4664012705548686E-2</v>
          </cell>
          <cell r="N1378">
            <v>9.8388108262925655E-2</v>
          </cell>
          <cell r="O1378">
            <v>0.25349859086483129</v>
          </cell>
          <cell r="P1378">
            <v>0.60478066860820689</v>
          </cell>
          <cell r="Q1378">
            <v>1.0053417092688699</v>
          </cell>
          <cell r="R1378">
            <v>1.4323471961355638</v>
          </cell>
          <cell r="S1378">
            <v>1.8405115222825286</v>
          </cell>
          <cell r="T1378">
            <v>2.2167417765179609</v>
          </cell>
          <cell r="U1378">
            <v>2.5680316717477725</v>
          </cell>
          <cell r="V1378">
            <v>2.8672222006881354</v>
          </cell>
          <cell r="W1378">
            <v>3.1243334347477614</v>
          </cell>
          <cell r="X1378">
            <v>3.3562724725988424</v>
          </cell>
          <cell r="Y1378">
            <v>3.573489863813939</v>
          </cell>
          <cell r="Z1378">
            <v>3.7780046813868706</v>
          </cell>
          <cell r="AA1378">
            <v>3.9517356532120074</v>
          </cell>
          <cell r="AB1378">
            <v>4.0946034003759735</v>
          </cell>
          <cell r="AC1378">
            <v>4.2051931294965872</v>
          </cell>
          <cell r="AD1378">
            <v>4.2855724782845606</v>
          </cell>
          <cell r="AE1378">
            <v>4.3418139755189156</v>
          </cell>
          <cell r="AF1378">
            <v>4.3500761868261906</v>
          </cell>
          <cell r="AG1378">
            <v>4.3165754791626432</v>
          </cell>
          <cell r="AH1378">
            <v>4.2506020714033088</v>
          </cell>
          <cell r="AI1378">
            <v>4.1615924913655844</v>
          </cell>
          <cell r="AJ1378">
            <v>4.0582279621741435</v>
          </cell>
          <cell r="AK1378">
            <v>3.9383737420340292</v>
          </cell>
          <cell r="AL1378">
            <v>3.8124858416010543</v>
          </cell>
          <cell r="AM1378">
            <v>3.6878298911361629</v>
          </cell>
          <cell r="AN1378">
            <v>3.5708771570311493</v>
          </cell>
          <cell r="AO1378">
            <v>3.4673638645849492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1.5195000813150727E-8</v>
          </cell>
          <cell r="H1379">
            <v>2.8343238867023501E-8</v>
          </cell>
          <cell r="I1379">
            <v>5.338673947363759E-8</v>
          </cell>
          <cell r="J1379">
            <v>5.0678194973841073E-8</v>
          </cell>
          <cell r="K1379">
            <v>6.0719407279918869E-8</v>
          </cell>
          <cell r="L1379">
            <v>0.20583137470273627</v>
          </cell>
          <cell r="M1379">
            <v>-0.26419031733806442</v>
          </cell>
          <cell r="N1379">
            <v>-1.2366519129333953</v>
          </cell>
          <cell r="O1379">
            <v>-2.4116203256918656</v>
          </cell>
          <cell r="P1379">
            <v>-3.9800449088080336</v>
          </cell>
          <cell r="Q1379">
            <v>-3.6190715226447678</v>
          </cell>
          <cell r="R1379">
            <v>-2.703132320614865</v>
          </cell>
          <cell r="S1379">
            <v>-1.9794819092273097</v>
          </cell>
          <cell r="T1379">
            <v>-1.5921400583310819</v>
          </cell>
          <cell r="U1379">
            <v>-1.478811299763727</v>
          </cell>
          <cell r="V1379">
            <v>-1.9354694878246037</v>
          </cell>
          <cell r="W1379">
            <v>-2.6789759332143226</v>
          </cell>
          <cell r="X1379">
            <v>-3.4321234748074692</v>
          </cell>
          <cell r="Y1379">
            <v>-3.9391580875407062</v>
          </cell>
          <cell r="Z1379">
            <v>-4.3514113326698638</v>
          </cell>
          <cell r="AA1379">
            <v>-4.4096813816663527</v>
          </cell>
          <cell r="AB1379">
            <v>-4.3858315832594474</v>
          </cell>
          <cell r="AC1379">
            <v>-4.3855903969483689</v>
          </cell>
          <cell r="AD1379">
            <v>-4.4172908700445213</v>
          </cell>
          <cell r="AE1379">
            <v>-4.470996575791963</v>
          </cell>
          <cell r="AF1379">
            <v>-4.3765656807544513</v>
          </cell>
          <cell r="AG1379">
            <v>-4.2740195912622125</v>
          </cell>
          <cell r="AH1379">
            <v>-4.2144377788348342</v>
          </cell>
          <cell r="AI1379">
            <v>-4.2031208476809194</v>
          </cell>
          <cell r="AJ1379">
            <v>-4.2366790288416167</v>
          </cell>
          <cell r="AK1379">
            <v>-4.2480459620685913</v>
          </cell>
          <cell r="AL1379">
            <v>-4.303233132217299</v>
          </cell>
          <cell r="AM1379">
            <v>-4.4299908281577594</v>
          </cell>
          <cell r="AN1379">
            <v>-4.6304015390515758</v>
          </cell>
          <cell r="AO1379">
            <v>-4.8986473144544851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1.9973089848690506E-8</v>
          </cell>
          <cell r="J1381">
            <v>0</v>
          </cell>
          <cell r="K1381">
            <v>1.9028179032432035E-8</v>
          </cell>
          <cell r="L1381">
            <v>2.1258055015271893E-2</v>
          </cell>
          <cell r="M1381">
            <v>-0.14630902961322301</v>
          </cell>
          <cell r="N1381">
            <v>-0.38309080983669475</v>
          </cell>
          <cell r="O1381">
            <v>-0.3797230409513408</v>
          </cell>
          <cell r="P1381">
            <v>-0.26167348443572047</v>
          </cell>
          <cell r="Q1381">
            <v>-8.0226997528609623E-2</v>
          </cell>
          <cell r="R1381">
            <v>0.10750556692946667</v>
          </cell>
          <cell r="S1381">
            <v>0.28953586388269503</v>
          </cell>
          <cell r="T1381">
            <v>0.48034050402792072</v>
          </cell>
          <cell r="U1381">
            <v>0.6886873604897481</v>
          </cell>
          <cell r="V1381">
            <v>0.87411738761078439</v>
          </cell>
          <cell r="W1381">
            <v>1.0333654952703553</v>
          </cell>
          <cell r="X1381">
            <v>1.1719494172478973</v>
          </cell>
          <cell r="Y1381">
            <v>1.3006043030222791</v>
          </cell>
          <cell r="Z1381">
            <v>1.4238104434961985</v>
          </cell>
          <cell r="AA1381">
            <v>1.5505268022999674</v>
          </cell>
          <cell r="AB1381">
            <v>1.6805776203485889</v>
          </cell>
          <cell r="AC1381">
            <v>1.8142702565227431</v>
          </cell>
          <cell r="AD1381">
            <v>1.9530363689403085</v>
          </cell>
          <cell r="AE1381">
            <v>2.0984103227747575</v>
          </cell>
          <cell r="AF1381">
            <v>2.2579020210582224</v>
          </cell>
          <cell r="AG1381">
            <v>2.4258074760805437</v>
          </cell>
          <cell r="AH1381">
            <v>2.5990592585220407</v>
          </cell>
          <cell r="AI1381">
            <v>2.7765518006327872</v>
          </cell>
          <cell r="AJ1381">
            <v>2.9578134271718071</v>
          </cell>
          <cell r="AK1381">
            <v>3.1424862530470721</v>
          </cell>
          <cell r="AL1381">
            <v>3.3283462936950947</v>
          </cell>
          <cell r="AM1381">
            <v>3.5131961353231711</v>
          </cell>
          <cell r="AN1381">
            <v>3.694843896997102</v>
          </cell>
          <cell r="AO1381">
            <v>3.871197611927335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0</v>
          </cell>
          <cell r="I1382">
            <v>2.175390978464975E-8</v>
          </cell>
          <cell r="J1382">
            <v>0</v>
          </cell>
          <cell r="K1382">
            <v>1.861715226425531E-8</v>
          </cell>
          <cell r="L1382">
            <v>2.1649755144315108E-2</v>
          </cell>
          <cell r="M1382">
            <v>-0.15718288283652626</v>
          </cell>
          <cell r="N1382">
            <v>-0.40861289361036057</v>
          </cell>
          <cell r="O1382">
            <v>-0.40176828201488046</v>
          </cell>
          <cell r="P1382">
            <v>-0.2709597585135004</v>
          </cell>
          <cell r="Q1382">
            <v>-7.8987542559194601E-2</v>
          </cell>
          <cell r="R1382">
            <v>0.1163968117527725</v>
          </cell>
          <cell r="S1382">
            <v>0.30424323382252094</v>
          </cell>
          <cell r="T1382">
            <v>0.50085824895933495</v>
          </cell>
          <cell r="U1382">
            <v>0.71589637410454099</v>
          </cell>
          <cell r="V1382">
            <v>0.90756653203463156</v>
          </cell>
          <cell r="W1382">
            <v>1.0721236720919514</v>
          </cell>
          <cell r="X1382">
            <v>1.2148548706207851</v>
          </cell>
          <cell r="Y1382">
            <v>1.346377167454138</v>
          </cell>
          <cell r="Z1382">
            <v>1.4713503724054888</v>
          </cell>
          <cell r="AA1382">
            <v>1.5984002454776824</v>
          </cell>
          <cell r="AB1382">
            <v>1.7277891335788498</v>
          </cell>
          <cell r="AC1382">
            <v>1.8601328964429786</v>
          </cell>
          <cell r="AD1382">
            <v>1.9971214108513768</v>
          </cell>
          <cell r="AE1382">
            <v>2.140496717576057</v>
          </cell>
          <cell r="AF1382">
            <v>2.298030332421086</v>
          </cell>
          <cell r="AG1382">
            <v>2.4641690535951222</v>
          </cell>
          <cell r="AH1382">
            <v>2.6359127688746264</v>
          </cell>
          <cell r="AI1382">
            <v>2.8122093354055133</v>
          </cell>
          <cell r="AJ1382">
            <v>2.9926281597421944</v>
          </cell>
          <cell r="AK1382">
            <v>3.1766688221755102</v>
          </cell>
          <cell r="AL1382">
            <v>3.3621815186865689</v>
          </cell>
          <cell r="AM1382">
            <v>3.5469644144483725</v>
          </cell>
          <cell r="AN1382">
            <v>3.7287647621450093</v>
          </cell>
          <cell r="AO1382">
            <v>3.9053968508627745</v>
          </cell>
        </row>
        <row r="1383">
          <cell r="E1383" t="str">
            <v>100*(X_2/X_0-1)</v>
          </cell>
          <cell r="F1383">
            <v>0</v>
          </cell>
          <cell r="G1383">
            <v>0</v>
          </cell>
          <cell r="H1383">
            <v>0</v>
          </cell>
          <cell r="I1383">
            <v>-2.8334345980596254E-8</v>
          </cell>
          <cell r="J1383">
            <v>-2.7338475927507488E-8</v>
          </cell>
          <cell r="K1383">
            <v>-2.6394497698589703E-8</v>
          </cell>
          <cell r="L1383">
            <v>1.4947700812828479E-2</v>
          </cell>
          <cell r="M1383">
            <v>-0.98266510751243707</v>
          </cell>
          <cell r="N1383">
            <v>-1.8548118730188135</v>
          </cell>
          <cell r="O1383">
            <v>-1.5263101629296005</v>
          </cell>
          <cell r="P1383">
            <v>-1.4434369323897855</v>
          </cell>
          <cell r="Q1383">
            <v>-1.6007783559919275</v>
          </cell>
          <cell r="R1383">
            <v>-1.9489055246458165</v>
          </cell>
          <cell r="S1383">
            <v>-2.3500611894454626</v>
          </cell>
          <cell r="T1383">
            <v>-2.681246635394674</v>
          </cell>
          <cell r="U1383">
            <v>-2.9365360851839495</v>
          </cell>
          <cell r="V1383">
            <v>-3.2559193227972294</v>
          </cell>
          <cell r="W1383">
            <v>-3.600504325470899</v>
          </cell>
          <cell r="X1383">
            <v>-3.9689470769588731</v>
          </cell>
          <cell r="Y1383">
            <v>-4.3545344934070362</v>
          </cell>
          <cell r="Z1383">
            <v>-4.7512906230615322</v>
          </cell>
          <cell r="AA1383">
            <v>-5.1431046070797626</v>
          </cell>
          <cell r="AB1383">
            <v>-5.5201303002769375</v>
          </cell>
          <cell r="AC1383">
            <v>-5.8756843705377815</v>
          </cell>
          <cell r="AD1383">
            <v>-6.2049034925846014</v>
          </cell>
          <cell r="AE1383">
            <v>-6.5048212418735263</v>
          </cell>
          <cell r="AF1383">
            <v>-6.7570167332370197</v>
          </cell>
          <cell r="AG1383">
            <v>-6.9701362712656483</v>
          </cell>
          <cell r="AH1383">
            <v>-7.1453498424780326</v>
          </cell>
          <cell r="AI1383">
            <v>-7.2852367918068373</v>
          </cell>
          <cell r="AJ1383">
            <v>-7.3936129359592258</v>
          </cell>
          <cell r="AK1383">
            <v>-7.4718666699154612</v>
          </cell>
          <cell r="AL1383">
            <v>-7.5239833762071662</v>
          </cell>
          <cell r="AM1383">
            <v>-7.5552229136019333</v>
          </cell>
          <cell r="AN1383">
            <v>-7.5713041916314445</v>
          </cell>
          <cell r="AO1383">
            <v>-7.5779463494828558</v>
          </cell>
        </row>
        <row r="1384">
          <cell r="E1384" t="str">
            <v>100*(M_2/M_0-1)</v>
          </cell>
          <cell r="F1384">
            <v>1.5267032082988408E-8</v>
          </cell>
          <cell r="G1384">
            <v>1.5000556352617878E-8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4.0278153954398377E-2</v>
          </cell>
          <cell r="M1384">
            <v>-0.29774252415816216</v>
          </cell>
          <cell r="N1384">
            <v>-0.6997903945364814</v>
          </cell>
          <cell r="O1384">
            <v>-0.68294661661023603</v>
          </cell>
          <cell r="P1384">
            <v>-0.59625645207720401</v>
          </cell>
          <cell r="Q1384">
            <v>-0.40816537726721114</v>
          </cell>
          <cell r="R1384">
            <v>-0.20846741058787588</v>
          </cell>
          <cell r="S1384">
            <v>-2.1052961509060442E-2</v>
          </cell>
          <cell r="T1384">
            <v>0.17499059342696022</v>
          </cell>
          <cell r="U1384">
            <v>0.38564764926778405</v>
          </cell>
          <cell r="V1384">
            <v>0.53495882574856601</v>
          </cell>
          <cell r="W1384">
            <v>0.6454893515319915</v>
          </cell>
          <cell r="X1384">
            <v>0.73115794971452264</v>
          </cell>
          <cell r="Y1384">
            <v>0.79985281230867677</v>
          </cell>
          <cell r="Z1384">
            <v>0.86101880545073062</v>
          </cell>
          <cell r="AA1384">
            <v>0.92073446938794046</v>
          </cell>
          <cell r="AB1384">
            <v>0.96738888839955628</v>
          </cell>
          <cell r="AC1384">
            <v>0.99592368151353305</v>
          </cell>
          <cell r="AD1384">
            <v>1.0069726029239723</v>
          </cell>
          <cell r="AE1384">
            <v>1.0021906590446328</v>
          </cell>
          <cell r="AF1384">
            <v>0.9858756781030209</v>
          </cell>
          <cell r="AG1384">
            <v>0.95102909536408653</v>
          </cell>
          <cell r="AH1384">
            <v>0.89842907221280299</v>
          </cell>
          <cell r="AI1384">
            <v>0.83269279657653961</v>
          </cell>
          <cell r="AJ1384">
            <v>0.75932166814780544</v>
          </cell>
          <cell r="AK1384">
            <v>0.68231867823369541</v>
          </cell>
          <cell r="AL1384">
            <v>0.60434972912832841</v>
          </cell>
          <cell r="AM1384">
            <v>0.52821386400034864</v>
          </cell>
          <cell r="AN1384">
            <v>0.45700427272394872</v>
          </cell>
          <cell r="AO1384">
            <v>0.39360877380774095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-7.6602058030061926E-10</v>
          </cell>
          <cell r="L1385">
            <v>5.1185122487673596E-2</v>
          </cell>
          <cell r="M1385">
            <v>8.4484525886296957E-2</v>
          </cell>
          <cell r="N1385">
            <v>9.8650306979020108E-2</v>
          </cell>
          <cell r="O1385">
            <v>0.25511596994383101</v>
          </cell>
          <cell r="P1385">
            <v>0.60900831575068093</v>
          </cell>
          <cell r="Q1385">
            <v>1.0126955801066595</v>
          </cell>
          <cell r="R1385">
            <v>1.4418345150835954</v>
          </cell>
          <cell r="S1385">
            <v>1.8510823983010294</v>
          </cell>
          <cell r="T1385">
            <v>2.2277763457271282</v>
          </cell>
          <cell r="U1385">
            <v>2.5792810956149381</v>
          </cell>
          <cell r="V1385">
            <v>2.8786964200657295</v>
          </cell>
          <cell r="W1385">
            <v>3.1362898247919269</v>
          </cell>
          <cell r="X1385">
            <v>3.3689528703050531</v>
          </cell>
          <cell r="Y1385">
            <v>3.5870132141261557</v>
          </cell>
          <cell r="Z1385">
            <v>3.7922129060319554</v>
          </cell>
          <cell r="AA1385">
            <v>3.9663221530248371</v>
          </cell>
          <cell r="AB1385">
            <v>4.1090928712617547</v>
          </cell>
          <cell r="AC1385">
            <v>4.2192081714786722</v>
          </cell>
          <cell r="AD1385">
            <v>4.2988994399146829</v>
          </cell>
          <cell r="AE1385">
            <v>4.3543740641384776</v>
          </cell>
          <cell r="AF1385">
            <v>4.3618327819331837</v>
          </cell>
          <cell r="AG1385">
            <v>4.3274927875122771</v>
          </cell>
          <cell r="AH1385">
            <v>4.2607488461998022</v>
          </cell>
          <cell r="AI1385">
            <v>4.1711339550010162</v>
          </cell>
          <cell r="AJ1385">
            <v>4.0673853582187114</v>
          </cell>
          <cell r="AK1385">
            <v>3.9473325944045401</v>
          </cell>
          <cell r="AL1385">
            <v>3.8213924113169817</v>
          </cell>
          <cell r="AM1385">
            <v>3.6968392885877055</v>
          </cell>
          <cell r="AN1385">
            <v>3.5801540558530132</v>
          </cell>
          <cell r="AO1385">
            <v>3.4770659979025842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1.925442028039015E-8</v>
          </cell>
          <cell r="J1386">
            <v>0</v>
          </cell>
          <cell r="K1386">
            <v>2.0183410498475496E-8</v>
          </cell>
          <cell r="L1386">
            <v>2.2655126381354584E-2</v>
          </cell>
          <cell r="M1386">
            <v>-0.13769936986396392</v>
          </cell>
          <cell r="N1386">
            <v>-0.36674146109998418</v>
          </cell>
          <cell r="O1386">
            <v>-0.36134822897198049</v>
          </cell>
          <cell r="P1386">
            <v>-0.24141727300363014</v>
          </cell>
          <cell r="Q1386">
            <v>-5.9808681367501393E-2</v>
          </cell>
          <cell r="R1386">
            <v>0.13111743345877169</v>
          </cell>
          <cell r="S1386">
            <v>0.31832900606487691</v>
          </cell>
          <cell r="T1386">
            <v>0.51432400249713517</v>
          </cell>
          <cell r="U1386">
            <v>0.72693296869044133</v>
          </cell>
          <cell r="V1386">
            <v>0.91556181258118929</v>
          </cell>
          <cell r="W1386">
            <v>1.076836581992846</v>
          </cell>
          <cell r="X1386">
            <v>1.2167014273079424</v>
          </cell>
          <cell r="Y1386">
            <v>1.3461603830012381</v>
          </cell>
          <cell r="Z1386">
            <v>1.4702147982275093</v>
          </cell>
          <cell r="AA1386">
            <v>1.5972649001989581</v>
          </cell>
          <cell r="AB1386">
            <v>1.7275055899123481</v>
          </cell>
          <cell r="AC1386">
            <v>1.8609814142673153</v>
          </cell>
          <cell r="AD1386">
            <v>1.9988165376524814</v>
          </cell>
          <cell r="AE1386">
            <v>2.1424152374436067</v>
          </cell>
          <cell r="AF1386">
            <v>2.2983531954391179</v>
          </cell>
          <cell r="AG1386">
            <v>2.4613525957823068</v>
          </cell>
          <cell r="AH1386">
            <v>2.628545581326458</v>
          </cell>
          <cell r="AI1386">
            <v>2.7989768934140624</v>
          </cell>
          <cell r="AJ1386">
            <v>2.9723542825399907</v>
          </cell>
          <cell r="AK1386">
            <v>3.1483470704077643</v>
          </cell>
          <cell r="AL1386">
            <v>3.3251829798147003</v>
          </cell>
          <cell r="AM1386">
            <v>3.5009164151214467</v>
          </cell>
          <cell r="AN1386">
            <v>3.6735771614077928</v>
          </cell>
          <cell r="AO1386">
            <v>3.8412986990156828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5.1374149379057599E-8</v>
          </cell>
          <cell r="L1387">
            <v>6.0524786315996337E-2</v>
          </cell>
          <cell r="M1387">
            <v>9.6741152810420061E-2</v>
          </cell>
          <cell r="N1387">
            <v>8.0715334901548808E-2</v>
          </cell>
          <cell r="O1387">
            <v>0.14429862129978765</v>
          </cell>
          <cell r="P1387">
            <v>0.31890632507569627</v>
          </cell>
          <cell r="Q1387">
            <v>0.50752864122329822</v>
          </cell>
          <cell r="R1387">
            <v>0.78980820002294561</v>
          </cell>
          <cell r="S1387">
            <v>1.1247605133940075</v>
          </cell>
          <cell r="T1387">
            <v>1.470301823143938</v>
          </cell>
          <cell r="U1387">
            <v>1.8082375784387095</v>
          </cell>
          <cell r="V1387">
            <v>2.0938120371123636</v>
          </cell>
          <cell r="W1387">
            <v>2.320353344618109</v>
          </cell>
          <cell r="X1387">
            <v>2.5058149299440169</v>
          </cell>
          <cell r="Y1387">
            <v>2.6688155706529493</v>
          </cell>
          <cell r="Z1387">
            <v>2.8297244836335</v>
          </cell>
          <cell r="AA1387">
            <v>2.9800842376491055</v>
          </cell>
          <cell r="AB1387">
            <v>3.1308347437294382</v>
          </cell>
          <cell r="AC1387">
            <v>3.2739063551088243</v>
          </cell>
          <cell r="AD1387">
            <v>3.4004686214527569</v>
          </cell>
          <cell r="AE1387">
            <v>3.5076989760781219</v>
          </cell>
          <cell r="AF1387">
            <v>3.5690964327941499</v>
          </cell>
          <cell r="AG1387">
            <v>3.5910252629986372</v>
          </cell>
          <cell r="AH1387">
            <v>3.5759447880002737</v>
          </cell>
          <cell r="AI1387">
            <v>3.5269173924786124</v>
          </cell>
          <cell r="AJ1387">
            <v>3.4489017912565867</v>
          </cell>
          <cell r="AK1387">
            <v>3.3421407260831204</v>
          </cell>
          <cell r="AL1387">
            <v>3.2197153360764563</v>
          </cell>
          <cell r="AM1387">
            <v>3.0883267639568057</v>
          </cell>
          <cell r="AN1387">
            <v>2.9538470052817623</v>
          </cell>
          <cell r="AO1387">
            <v>2.8225257318847286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0</v>
          </cell>
          <cell r="J1388">
            <v>0</v>
          </cell>
          <cell r="K1388">
            <v>2.3746404842484026E-8</v>
          </cell>
          <cell r="L1388">
            <v>1.6701204509117495E-2</v>
          </cell>
          <cell r="M1388">
            <v>-1.8002471672318165E-2</v>
          </cell>
          <cell r="N1388">
            <v>-7.7463898358787198E-2</v>
          </cell>
          <cell r="O1388">
            <v>-0.11168726700003795</v>
          </cell>
          <cell r="P1388">
            <v>-0.14703934573541133</v>
          </cell>
          <cell r="Q1388">
            <v>-9.573540990819307E-2</v>
          </cell>
          <cell r="R1388">
            <v>-5.0458953758436564E-3</v>
          </cell>
          <cell r="S1388">
            <v>0.10148776248879443</v>
          </cell>
          <cell r="T1388">
            <v>0.21568734180661409</v>
          </cell>
          <cell r="U1388">
            <v>0.33491318252558688</v>
          </cell>
          <cell r="V1388">
            <v>0.43586650921301207</v>
          </cell>
          <cell r="W1388">
            <v>0.52158736365313096</v>
          </cell>
          <cell r="X1388">
            <v>0.60069940048199655</v>
          </cell>
          <cell r="Y1388">
            <v>0.68565614926925367</v>
          </cell>
          <cell r="Z1388">
            <v>0.77876576617208482</v>
          </cell>
          <cell r="AA1388">
            <v>0.89380392916851292</v>
          </cell>
          <cell r="AB1388">
            <v>1.0250221396552739</v>
          </cell>
          <cell r="AC1388">
            <v>1.1688331615490988</v>
          </cell>
          <cell r="AD1388">
            <v>1.3234038414577709</v>
          </cell>
          <cell r="AE1388">
            <v>1.487659798568286</v>
          </cell>
          <cell r="AF1388">
            <v>1.6661976721084493</v>
          </cell>
          <cell r="AG1388">
            <v>1.8510163925335776</v>
          </cell>
          <cell r="AH1388">
            <v>2.0377912562289158</v>
          </cell>
          <cell r="AI1388">
            <v>2.2244048954929152</v>
          </cell>
          <cell r="AJ1388">
            <v>2.4095861415545317</v>
          </cell>
          <cell r="AK1388">
            <v>2.5950863782886024</v>
          </cell>
          <cell r="AL1388">
            <v>2.777401242291333</v>
          </cell>
          <cell r="AM1388">
            <v>2.9542633798942175</v>
          </cell>
          <cell r="AN1388">
            <v>3.1243607049280975</v>
          </cell>
          <cell r="AO1388">
            <v>3.287109601021343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6.8024874622096831E-8</v>
          </cell>
          <cell r="I1389">
            <v>6.5004823746050988E-8</v>
          </cell>
          <cell r="J1389">
            <v>6.2055938165883617E-8</v>
          </cell>
          <cell r="K1389">
            <v>1.1820791012695508E-7</v>
          </cell>
          <cell r="L1389">
            <v>-4.3830083430229649E-3</v>
          </cell>
          <cell r="M1389">
            <v>0.11944113196613593</v>
          </cell>
          <cell r="N1389">
            <v>0.34032738597997714</v>
          </cell>
          <cell r="O1389">
            <v>1.0324578062343548</v>
          </cell>
          <cell r="P1389">
            <v>2.3117503923861138</v>
          </cell>
          <cell r="Q1389">
            <v>3.1310380602027843</v>
          </cell>
          <cell r="R1389">
            <v>3.968849557025167</v>
          </cell>
          <cell r="S1389">
            <v>4.7844199030376178</v>
          </cell>
          <cell r="T1389">
            <v>5.5856567969904569</v>
          </cell>
          <cell r="U1389">
            <v>6.3872551220911067</v>
          </cell>
          <cell r="V1389">
            <v>7.2367557951862338</v>
          </cell>
          <cell r="W1389">
            <v>8.1091040557374594</v>
          </cell>
          <cell r="X1389">
            <v>8.9965226394369324</v>
          </cell>
          <cell r="Y1389">
            <v>9.8624362472095939</v>
          </cell>
          <cell r="Z1389">
            <v>10.712473764257124</v>
          </cell>
          <cell r="AA1389">
            <v>11.417918492802738</v>
          </cell>
          <cell r="AB1389">
            <v>12.035927184326066</v>
          </cell>
          <cell r="AC1389">
            <v>12.559567410589679</v>
          </cell>
          <cell r="AD1389">
            <v>12.98881721038352</v>
          </cell>
          <cell r="AE1389">
            <v>13.331125119283826</v>
          </cell>
          <cell r="AF1389">
            <v>13.488048130106932</v>
          </cell>
          <cell r="AG1389">
            <v>13.533081953345526</v>
          </cell>
          <cell r="AH1389">
            <v>13.486988404209054</v>
          </cell>
          <cell r="AI1389">
            <v>13.369348920310632</v>
          </cell>
          <cell r="AJ1389">
            <v>13.200235298122731</v>
          </cell>
          <cell r="AK1389">
            <v>12.957314401410258</v>
          </cell>
          <cell r="AL1389">
            <v>12.689390955729497</v>
          </cell>
          <cell r="AM1389">
            <v>12.414722712046489</v>
          </cell>
          <cell r="AN1389">
            <v>12.150858827493739</v>
          </cell>
          <cell r="AO1389">
            <v>11.913482630844886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-9.9812580423019881E-8</v>
          </cell>
          <cell r="G1390">
            <v>0</v>
          </cell>
          <cell r="H1390">
            <v>6.8024874622096831E-8</v>
          </cell>
          <cell r="I1390">
            <v>6.5004823746050988E-8</v>
          </cell>
          <cell r="J1390">
            <v>-2.8825741793525594E-8</v>
          </cell>
          <cell r="K1390">
            <v>2.9602786888460741E-8</v>
          </cell>
          <cell r="L1390">
            <v>7.5592266315871459E-2</v>
          </cell>
          <cell r="M1390">
            <v>9.3983976041589479E-2</v>
          </cell>
          <cell r="N1390">
            <v>9.5744026863830989E-2</v>
          </cell>
          <cell r="O1390">
            <v>0.31743208724883676</v>
          </cell>
          <cell r="P1390">
            <v>0.74879221731993795</v>
          </cell>
          <cell r="Q1390">
            <v>1.1484686836073177</v>
          </cell>
          <cell r="R1390">
            <v>1.5720083260891027</v>
          </cell>
          <cell r="S1390">
            <v>1.9631568094105045</v>
          </cell>
          <cell r="T1390">
            <v>2.3274426596377795</v>
          </cell>
          <cell r="U1390">
            <v>2.6805136831097087</v>
          </cell>
          <cell r="V1390">
            <v>2.9773339059415704</v>
          </cell>
          <cell r="W1390">
            <v>3.2463442784437468</v>
          </cell>
          <cell r="X1390">
            <v>3.5047579437107901</v>
          </cell>
          <cell r="Y1390">
            <v>3.756110304728244</v>
          </cell>
          <cell r="Z1390">
            <v>3.9976696709955961</v>
          </cell>
          <cell r="AA1390">
            <v>4.1951898373683969</v>
          </cell>
          <cell r="AB1390">
            <v>4.3616011179476102</v>
          </cell>
          <cell r="AC1390">
            <v>4.4926416570023395</v>
          </cell>
          <cell r="AD1390">
            <v>4.5911675164492802</v>
          </cell>
          <cell r="AE1390">
            <v>4.664851845729622</v>
          </cell>
          <cell r="AF1390">
            <v>4.669401081399748</v>
          </cell>
          <cell r="AG1390">
            <v>4.6316754839794019</v>
          </cell>
          <cell r="AH1390">
            <v>4.5617231436707151</v>
          </cell>
          <cell r="AI1390">
            <v>4.4689080480180507</v>
          </cell>
          <cell r="AJ1390">
            <v>4.3619567378331059</v>
          </cell>
          <cell r="AK1390">
            <v>4.2321965268813386</v>
          </cell>
          <cell r="AL1390">
            <v>4.0996383030319503</v>
          </cell>
          <cell r="AM1390">
            <v>3.9698733582363968</v>
          </cell>
          <cell r="AN1390">
            <v>3.8494709051292606</v>
          </cell>
          <cell r="AO1390">
            <v>3.7443759284881324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0</v>
          </cell>
          <cell r="H1391">
            <v>3.1923885757123571E-8</v>
          </cell>
          <cell r="I1391">
            <v>6.5004823746050988E-8</v>
          </cell>
          <cell r="J1391">
            <v>6.2055938165883617E-8</v>
          </cell>
          <cell r="K1391">
            <v>1.1820791012695508E-7</v>
          </cell>
          <cell r="L1391">
            <v>-1.3291792146752357E-2</v>
          </cell>
          <cell r="M1391">
            <v>0.22877974151709335</v>
          </cell>
          <cell r="N1391">
            <v>0.625161356189885</v>
          </cell>
          <cell r="O1391">
            <v>1.30029759839978</v>
          </cell>
          <cell r="P1391">
            <v>2.4059189081302779</v>
          </cell>
          <cell r="Q1391">
            <v>3.0313916507000993</v>
          </cell>
          <cell r="R1391">
            <v>3.7132944028042347</v>
          </cell>
          <cell r="S1391">
            <v>4.4180672977549129</v>
          </cell>
          <cell r="T1391">
            <v>5.1341430038913671</v>
          </cell>
          <cell r="U1391">
            <v>5.8586402401214821</v>
          </cell>
          <cell r="V1391">
            <v>6.647890558293601</v>
          </cell>
          <cell r="W1391">
            <v>7.4809215804539253</v>
          </cell>
          <cell r="X1391">
            <v>8.3513023651092375</v>
          </cell>
          <cell r="Y1391">
            <v>9.2217680808894151</v>
          </cell>
          <cell r="Z1391">
            <v>10.096504614206214</v>
          </cell>
          <cell r="AA1391">
            <v>10.852662000353508</v>
          </cell>
          <cell r="AB1391">
            <v>11.544133974234772</v>
          </cell>
          <cell r="AC1391">
            <v>12.15786268150292</v>
          </cell>
          <cell r="AD1391">
            <v>12.686901160796271</v>
          </cell>
          <cell r="AE1391">
            <v>13.13220849135479</v>
          </cell>
          <cell r="AF1391">
            <v>13.397314199498389</v>
          </cell>
          <cell r="AG1391">
            <v>13.5524517097786</v>
          </cell>
          <cell r="AH1391">
            <v>13.612607211644534</v>
          </cell>
          <cell r="AI1391">
            <v>13.591124408065792</v>
          </cell>
          <cell r="AJ1391">
            <v>13.502720680428359</v>
          </cell>
          <cell r="AK1391">
            <v>13.324826757784791</v>
          </cell>
          <cell r="AL1391">
            <v>13.104250926946127</v>
          </cell>
          <cell r="AM1391">
            <v>12.857883358417443</v>
          </cell>
          <cell r="AN1391">
            <v>12.6031438103561</v>
          </cell>
          <cell r="AO1391">
            <v>12.356705225890531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-9.9812580423019881E-8</v>
          </cell>
          <cell r="G1392">
            <v>0</v>
          </cell>
          <cell r="H1392">
            <v>3.1923885757123571E-8</v>
          </cell>
          <cell r="I1392">
            <v>6.5004823746050988E-8</v>
          </cell>
          <cell r="J1392">
            <v>-2.8825741793525594E-8</v>
          </cell>
          <cell r="K1392">
            <v>2.9602786888460741E-8</v>
          </cell>
          <cell r="L1392">
            <v>6.6683482512142067E-2</v>
          </cell>
          <cell r="M1392">
            <v>0.2033225855925469</v>
          </cell>
          <cell r="N1392">
            <v>0.38057799707373885</v>
          </cell>
          <cell r="O1392">
            <v>0.58527187941426195</v>
          </cell>
          <cell r="P1392">
            <v>0.84296073306410202</v>
          </cell>
          <cell r="Q1392">
            <v>1.0488222741046327</v>
          </cell>
          <cell r="R1392">
            <v>1.3164531718681705</v>
          </cell>
          <cell r="S1392">
            <v>1.5968042041277997</v>
          </cell>
          <cell r="T1392">
            <v>1.8759288665386897</v>
          </cell>
          <cell r="U1392">
            <v>2.1518988011400841</v>
          </cell>
          <cell r="V1392">
            <v>2.3884686690489376</v>
          </cell>
          <cell r="W1392">
            <v>2.6181618031602127</v>
          </cell>
          <cell r="X1392">
            <v>2.8595376693830952</v>
          </cell>
          <cell r="Y1392">
            <v>3.1154421384080653</v>
          </cell>
          <cell r="Z1392">
            <v>3.381700520944686</v>
          </cell>
          <cell r="AA1392">
            <v>3.6299333449191673</v>
          </cell>
          <cell r="AB1392">
            <v>3.8698079078563152</v>
          </cell>
          <cell r="AC1392">
            <v>4.0909369279155801</v>
          </cell>
          <cell r="AD1392">
            <v>4.2892514668620318</v>
          </cell>
          <cell r="AE1392">
            <v>4.4659352178005864</v>
          </cell>
          <cell r="AF1392">
            <v>4.5786671507912047</v>
          </cell>
          <cell r="AG1392">
            <v>4.6510452404124756</v>
          </cell>
          <cell r="AH1392">
            <v>4.6873419511061947</v>
          </cell>
          <cell r="AI1392">
            <v>4.6906835357732106</v>
          </cell>
          <cell r="AJ1392">
            <v>4.6644421201387338</v>
          </cell>
          <cell r="AK1392">
            <v>4.5997088832558717</v>
          </cell>
          <cell r="AL1392">
            <v>4.5144982742485809</v>
          </cell>
          <cell r="AM1392">
            <v>4.4130340046073506</v>
          </cell>
          <cell r="AN1392">
            <v>4.3017558879916216</v>
          </cell>
          <cell r="AO1392">
            <v>4.1875985235337776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-9.9812580423019881E-8</v>
          </cell>
          <cell r="G1394">
            <v>0</v>
          </cell>
          <cell r="H1394">
            <v>6.8024874622096831E-8</v>
          </cell>
          <cell r="I1394">
            <v>6.5004823746050988E-8</v>
          </cell>
          <cell r="J1394">
            <v>-2.8825741793525594E-8</v>
          </cell>
          <cell r="K1394">
            <v>2.9602786888460741E-8</v>
          </cell>
          <cell r="L1394">
            <v>7.5592266315871459E-2</v>
          </cell>
          <cell r="M1394">
            <v>9.3983976041589479E-2</v>
          </cell>
          <cell r="N1394">
            <v>9.5744026863830989E-2</v>
          </cell>
          <cell r="O1394">
            <v>0.31743208724883676</v>
          </cell>
          <cell r="P1394">
            <v>0.74879221731993795</v>
          </cell>
          <cell r="Q1394">
            <v>1.1484686836073177</v>
          </cell>
          <cell r="R1394">
            <v>1.5720083260891027</v>
          </cell>
          <cell r="S1394">
            <v>1.9631568094105045</v>
          </cell>
          <cell r="T1394">
            <v>2.3274426596377795</v>
          </cell>
          <cell r="U1394">
            <v>2.6805136831097087</v>
          </cell>
          <cell r="V1394">
            <v>2.9773339059415704</v>
          </cell>
          <cell r="W1394">
            <v>3.2463442784437468</v>
          </cell>
          <cell r="X1394">
            <v>3.5047579437107901</v>
          </cell>
          <cell r="Y1394">
            <v>3.756110304728244</v>
          </cell>
          <cell r="Z1394">
            <v>3.9976696709955961</v>
          </cell>
          <cell r="AA1394">
            <v>4.1951898373683969</v>
          </cell>
          <cell r="AB1394">
            <v>4.3616011179476102</v>
          </cell>
          <cell r="AC1394">
            <v>4.4926416570023395</v>
          </cell>
          <cell r="AD1394">
            <v>4.5911675164492802</v>
          </cell>
          <cell r="AE1394">
            <v>4.664851845729622</v>
          </cell>
          <cell r="AF1394">
            <v>4.669401081399748</v>
          </cell>
          <cell r="AG1394">
            <v>4.6316754839794019</v>
          </cell>
          <cell r="AH1394">
            <v>4.5617231436707151</v>
          </cell>
          <cell r="AI1394">
            <v>4.4689080480180507</v>
          </cell>
          <cell r="AJ1394">
            <v>4.3619567378331059</v>
          </cell>
          <cell r="AK1394">
            <v>4.2321965268813386</v>
          </cell>
          <cell r="AL1394">
            <v>4.0996383030319503</v>
          </cell>
          <cell r="AM1394">
            <v>3.9698733582363968</v>
          </cell>
          <cell r="AN1394">
            <v>3.8494709051292606</v>
          </cell>
          <cell r="AO1394">
            <v>3.7443759284881324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-7.0037512881537811E-2</v>
          </cell>
          <cell r="M1395">
            <v>-0.10040793235726042</v>
          </cell>
          <cell r="N1395">
            <v>-6.5879660134626761E-2</v>
          </cell>
          <cell r="O1395">
            <v>0.17085045230107454</v>
          </cell>
          <cell r="P1395">
            <v>0.72144937451892321</v>
          </cell>
          <cell r="Q1395">
            <v>1.2015881305882825</v>
          </cell>
          <cell r="R1395">
            <v>1.6584115869885618</v>
          </cell>
          <cell r="S1395">
            <v>2.1130075918495583</v>
          </cell>
          <cell r="T1395">
            <v>2.573770026966149</v>
          </cell>
          <cell r="U1395">
            <v>3.0432030659726772</v>
          </cell>
          <cell r="V1395">
            <v>3.5886323808637766</v>
          </cell>
          <cell r="W1395">
            <v>4.1930498042377584</v>
          </cell>
          <cell r="X1395">
            <v>4.8369834621464047</v>
          </cell>
          <cell r="Y1395">
            <v>5.4957654088692021</v>
          </cell>
          <cell r="Z1395">
            <v>6.1603709860676537</v>
          </cell>
          <cell r="AA1395">
            <v>6.7718943632051776</v>
          </cell>
          <cell r="AB1395">
            <v>7.3314972693029778</v>
          </cell>
          <cell r="AC1395">
            <v>7.8384754468803441</v>
          </cell>
          <cell r="AD1395">
            <v>8.2925124238703685</v>
          </cell>
          <cell r="AE1395">
            <v>8.6960222058899639</v>
          </cell>
          <cell r="AF1395">
            <v>8.9653525386889079</v>
          </cell>
          <cell r="AG1395">
            <v>9.1543449597996762</v>
          </cell>
          <cell r="AH1395">
            <v>9.283518968984982</v>
          </cell>
          <cell r="AI1395">
            <v>9.3670946676235545</v>
          </cell>
          <cell r="AJ1395">
            <v>9.4177136901150824</v>
          </cell>
          <cell r="AK1395">
            <v>9.4273674285844997</v>
          </cell>
          <cell r="AL1395">
            <v>9.411804874321362</v>
          </cell>
          <cell r="AM1395">
            <v>9.384337643509566</v>
          </cell>
          <cell r="AN1395">
            <v>9.3561665887770253</v>
          </cell>
          <cell r="AO1395">
            <v>9.3368985885435851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9.54965440058686E-8</v>
          </cell>
          <cell r="I1396">
            <v>9.3120688937631257E-8</v>
          </cell>
          <cell r="J1396">
            <v>9.0769503025001086E-8</v>
          </cell>
          <cell r="K1396">
            <v>8.8422780208929908E-8</v>
          </cell>
          <cell r="L1396">
            <v>-9.5424415565581455E-2</v>
          </cell>
          <cell r="M1396">
            <v>-0.1424693310298486</v>
          </cell>
          <cell r="N1396">
            <v>-0.10574285486192325</v>
          </cell>
          <cell r="O1396">
            <v>0.16610868317006311</v>
          </cell>
          <cell r="P1396">
            <v>0.77544749103612975</v>
          </cell>
          <cell r="Q1396">
            <v>1.2441105849594569</v>
          </cell>
          <cell r="R1396">
            <v>1.6414636685115891</v>
          </cell>
          <cell r="S1396">
            <v>2.0078816350521222</v>
          </cell>
          <cell r="T1396">
            <v>2.3662535686665098</v>
          </cell>
          <cell r="U1396">
            <v>2.7279485550492977</v>
          </cell>
          <cell r="V1396">
            <v>3.1800139251916271</v>
          </cell>
          <cell r="W1396">
            <v>3.69810219337805</v>
          </cell>
          <cell r="X1396">
            <v>4.2586705212799059</v>
          </cell>
          <cell r="Y1396">
            <v>4.8332810742185428</v>
          </cell>
          <cell r="Z1396">
            <v>5.4116559282137988</v>
          </cell>
          <cell r="AA1396">
            <v>5.9303164241327755</v>
          </cell>
          <cell r="AB1396">
            <v>6.3948026053470164</v>
          </cell>
          <cell r="AC1396">
            <v>6.8066769896156565</v>
          </cell>
          <cell r="AD1396">
            <v>7.1657758733733035</v>
          </cell>
          <cell r="AE1396">
            <v>7.4728563723062358</v>
          </cell>
          <cell r="AF1396">
            <v>7.6915044389668008</v>
          </cell>
          <cell r="AG1396">
            <v>7.8431345576003286</v>
          </cell>
          <cell r="AH1396">
            <v>7.9403266872411171</v>
          </cell>
          <cell r="AI1396">
            <v>7.9938985615045643</v>
          </cell>
          <cell r="AJ1396">
            <v>8.0145675984153009</v>
          </cell>
          <cell r="AK1396">
            <v>7.9930130445744707</v>
          </cell>
          <cell r="AL1396">
            <v>7.9453490747360078</v>
          </cell>
          <cell r="AM1396">
            <v>7.8848039481997478</v>
          </cell>
          <cell r="AN1396">
            <v>7.8222498475620128</v>
          </cell>
          <cell r="AO1396">
            <v>7.7668244760103589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-0.28589789078303784</v>
          </cell>
          <cell r="M1397">
            <v>-0.52389128728983492</v>
          </cell>
          <cell r="N1397">
            <v>-0.75387158253058528</v>
          </cell>
          <cell r="O1397">
            <v>-0.97263466809366372</v>
          </cell>
          <cell r="P1397">
            <v>-1.1831571861815715</v>
          </cell>
          <cell r="Q1397">
            <v>-1.3891192660010043</v>
          </cell>
          <cell r="R1397">
            <v>-1.5993014587552534</v>
          </cell>
          <cell r="S1397">
            <v>-1.8083817890943044</v>
          </cell>
          <cell r="T1397">
            <v>-2.0149427588265323</v>
          </cell>
          <cell r="U1397">
            <v>-2.2189655375772777</v>
          </cell>
          <cell r="V1397">
            <v>-2.2425500255109365</v>
          </cell>
          <cell r="W1397">
            <v>-2.2640320596538088</v>
          </cell>
          <cell r="X1397">
            <v>-2.2882012945240837</v>
          </cell>
          <cell r="Y1397">
            <v>-2.3181422584599654</v>
          </cell>
          <cell r="Z1397">
            <v>-2.3498355293684159</v>
          </cell>
          <cell r="AA1397">
            <v>-2.3818256785416936</v>
          </cell>
          <cell r="AB1397">
            <v>-2.4141562996890298</v>
          </cell>
          <cell r="AC1397">
            <v>-2.4483664362831115</v>
          </cell>
          <cell r="AD1397">
            <v>-2.4855711966683791</v>
          </cell>
          <cell r="AE1397">
            <v>-2.5263329314860195</v>
          </cell>
          <cell r="AF1397">
            <v>-2.5476014951610892</v>
          </cell>
          <cell r="AG1397">
            <v>-2.5598972050098645</v>
          </cell>
          <cell r="AH1397">
            <v>-2.5714241706519481</v>
          </cell>
          <cell r="AI1397">
            <v>-2.5835113436463719</v>
          </cell>
          <cell r="AJ1397">
            <v>-2.5962247604741528</v>
          </cell>
          <cell r="AK1397">
            <v>-2.6082160549907862</v>
          </cell>
          <cell r="AL1397">
            <v>-2.6186616533752427</v>
          </cell>
          <cell r="AM1397">
            <v>-2.6284518280916713</v>
          </cell>
          <cell r="AN1397">
            <v>-2.6378850954013711</v>
          </cell>
          <cell r="AO1397">
            <v>-2.6470658477873665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0</v>
          </cell>
          <cell r="H1398">
            <v>0</v>
          </cell>
          <cell r="I1398">
            <v>2.2048873837832161E-8</v>
          </cell>
          <cell r="J1398">
            <v>2.1281865159039626E-8</v>
          </cell>
          <cell r="K1398">
            <v>6.1529914496816218E-8</v>
          </cell>
          <cell r="L1398">
            <v>1.3831749035242424E-3</v>
          </cell>
          <cell r="M1398">
            <v>-4.7010663959989873E-2</v>
          </cell>
          <cell r="N1398">
            <v>-9.1421605424757413E-2</v>
          </cell>
          <cell r="O1398">
            <v>-4.5384927246805429E-2</v>
          </cell>
          <cell r="P1398">
            <v>0.16772338350168337</v>
          </cell>
          <cell r="Q1398">
            <v>0.62321685960029516</v>
          </cell>
          <cell r="R1398">
            <v>1.1523584620106719</v>
          </cell>
          <cell r="S1398">
            <v>1.6938985561866238</v>
          </cell>
          <cell r="T1398">
            <v>2.2315307656494809</v>
          </cell>
          <cell r="U1398">
            <v>2.7644631297439215</v>
          </cell>
          <cell r="V1398">
            <v>3.2913089706939402</v>
          </cell>
          <cell r="W1398">
            <v>3.837709840054182</v>
          </cell>
          <cell r="X1398">
            <v>4.4148703290805447</v>
          </cell>
          <cell r="Y1398">
            <v>5.0225040883756344</v>
          </cell>
          <cell r="Z1398">
            <v>5.6455298058456727</v>
          </cell>
          <cell r="AA1398">
            <v>6.2709804827375759</v>
          </cell>
          <cell r="AB1398">
            <v>6.8638646222104249</v>
          </cell>
          <cell r="AC1398">
            <v>7.4058576115232366</v>
          </cell>
          <cell r="AD1398">
            <v>7.8866983829901871</v>
          </cell>
          <cell r="AE1398">
            <v>8.3004705491974473</v>
          </cell>
          <cell r="AF1398">
            <v>8.6438517399798354</v>
          </cell>
          <cell r="AG1398">
            <v>8.9001522674023938</v>
          </cell>
          <cell r="AH1398">
            <v>9.0679716264018051</v>
          </cell>
          <cell r="AI1398">
            <v>9.1535851305002858</v>
          </cell>
          <cell r="AJ1398">
            <v>9.1672890424057574</v>
          </cell>
          <cell r="AK1398">
            <v>9.1211588512107866</v>
          </cell>
          <cell r="AL1398">
            <v>9.0215754229067571</v>
          </cell>
          <cell r="AM1398">
            <v>8.8806148387508657</v>
          </cell>
          <cell r="AN1398">
            <v>8.7122637831708705</v>
          </cell>
          <cell r="AO1398">
            <v>8.5304881763026419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-9.9812569320789635E-8</v>
          </cell>
          <cell r="G1399">
            <v>0</v>
          </cell>
          <cell r="H1399">
            <v>0</v>
          </cell>
          <cell r="I1399">
            <v>2.2048896042292654E-8</v>
          </cell>
          <cell r="J1399">
            <v>-6.9599837004830079E-8</v>
          </cell>
          <cell r="K1399">
            <v>-2.7075197639447879E-8</v>
          </cell>
          <cell r="L1399">
            <v>8.1423568284777481E-2</v>
          </cell>
          <cell r="M1399">
            <v>-7.244937633382742E-2</v>
          </cell>
          <cell r="N1399">
            <v>-0.33518515742361199</v>
          </cell>
          <cell r="O1399">
            <v>-0.75501211542556845</v>
          </cell>
          <cell r="P1399">
            <v>-1.3737634435179613</v>
          </cell>
          <cell r="Q1399">
            <v>-1.3329263278074932</v>
          </cell>
          <cell r="R1399">
            <v>-1.2153526944436721</v>
          </cell>
          <cell r="S1399">
            <v>-1.0964313251179636</v>
          </cell>
          <cell r="T1399">
            <v>-0.9942873603619562</v>
          </cell>
          <cell r="U1399">
            <v>-0.90859889739365318</v>
          </cell>
          <cell r="V1399">
            <v>-0.92856156403701151</v>
          </cell>
          <cell r="W1399">
            <v>-0.97751569710403663</v>
          </cell>
          <cell r="X1399">
            <v>-1.0208326401133894</v>
          </cell>
          <cell r="Y1399">
            <v>-1.021448857529228</v>
          </cell>
          <cell r="Z1399">
            <v>-1.0019924569053984</v>
          </cell>
          <cell r="AA1399">
            <v>-0.88763659033082032</v>
          </cell>
          <cell r="AB1399">
            <v>-0.75269702052128684</v>
          </cell>
          <cell r="AC1399">
            <v>-0.61172105845916924</v>
          </cell>
          <cell r="AD1399">
            <v>-0.47136751801052368</v>
          </cell>
          <cell r="AE1399">
            <v>-0.33662949260797603</v>
          </cell>
          <cell r="AF1399">
            <v>-0.16062992278254029</v>
          </cell>
          <cell r="AG1399">
            <v>-1.1516857351900889E-3</v>
          </cell>
          <cell r="AH1399">
            <v>0.13101309923102544</v>
          </cell>
          <cell r="AI1399">
            <v>0.23245475976039209</v>
          </cell>
          <cell r="AJ1399">
            <v>0.30229298594968146</v>
          </cell>
          <cell r="AK1399">
            <v>0.36425895361080762</v>
          </cell>
          <cell r="AL1399">
            <v>0.39766438329620346</v>
          </cell>
          <cell r="AM1399">
            <v>0.40183142633087865</v>
          </cell>
          <cell r="AN1399">
            <v>0.37938189776562936</v>
          </cell>
          <cell r="AO1399">
            <v>0.33408935782399674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1.8481616237409071E-8</v>
          </cell>
          <cell r="H1400">
            <v>0</v>
          </cell>
          <cell r="I1400">
            <v>1.7312529188018289E-8</v>
          </cell>
          <cell r="J1400">
            <v>3.3420510803239267E-8</v>
          </cell>
          <cell r="K1400">
            <v>4.8312553957430282E-8</v>
          </cell>
          <cell r="L1400">
            <v>1.3831586693990872E-3</v>
          </cell>
          <cell r="M1400">
            <v>-4.7010666182267791E-2</v>
          </cell>
          <cell r="N1400">
            <v>-9.1421612702546895E-2</v>
          </cell>
          <cell r="O1400">
            <v>-4.538493258345877E-2</v>
          </cell>
          <cell r="P1400">
            <v>0.16772336858978942</v>
          </cell>
          <cell r="Q1400">
            <v>0.62321686263329124</v>
          </cell>
          <cell r="R1400">
            <v>1.1523584647531893</v>
          </cell>
          <cell r="S1400">
            <v>1.6938985625034153</v>
          </cell>
          <cell r="T1400">
            <v>2.2315307721755939</v>
          </cell>
          <cell r="U1400">
            <v>2.7644631361758432</v>
          </cell>
          <cell r="V1400">
            <v>3.291308953341332</v>
          </cell>
          <cell r="W1400">
            <v>3.8377097787721581</v>
          </cell>
          <cell r="X1400">
            <v>4.4148702806360962</v>
          </cell>
          <cell r="Y1400">
            <v>5.0225040445016633</v>
          </cell>
          <cell r="Z1400">
            <v>5.6455297752816769</v>
          </cell>
          <cell r="AA1400">
            <v>6.2709805407038521</v>
          </cell>
          <cell r="AB1400">
            <v>6.863864632874761</v>
          </cell>
          <cell r="AC1400">
            <v>7.4058575502002233</v>
          </cell>
          <cell r="AD1400">
            <v>7.8866984487499181</v>
          </cell>
          <cell r="AE1400">
            <v>8.3004706057282274</v>
          </cell>
          <cell r="AF1400">
            <v>8.6438517404078485</v>
          </cell>
          <cell r="AG1400">
            <v>8.900152295343533</v>
          </cell>
          <cell r="AH1400">
            <v>9.0679716033041036</v>
          </cell>
          <cell r="AI1400">
            <v>9.1535851088959674</v>
          </cell>
          <cell r="AJ1400">
            <v>9.1672890100012125</v>
          </cell>
          <cell r="AK1400">
            <v>9.1211588365336382</v>
          </cell>
          <cell r="AL1400">
            <v>9.0215754608667034</v>
          </cell>
          <cell r="AM1400">
            <v>8.8806148317878595</v>
          </cell>
          <cell r="AN1400">
            <v>8.7122637582447418</v>
          </cell>
          <cell r="AO1400">
            <v>8.5304881856454138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1.8481616237409071E-8</v>
          </cell>
          <cell r="H1401">
            <v>0</v>
          </cell>
          <cell r="I1401">
            <v>1.7312529188018289E-8</v>
          </cell>
          <cell r="J1401">
            <v>-5.7640514583567892E-8</v>
          </cell>
          <cell r="K1401">
            <v>4.8312553957430282E-8</v>
          </cell>
          <cell r="L1401">
            <v>-1.3161330940747451E-2</v>
          </cell>
          <cell r="M1401">
            <v>8.6031268001773853E-2</v>
          </cell>
          <cell r="N1401">
            <v>0.20479336309100482</v>
          </cell>
          <cell r="O1401">
            <v>0.30398431531712955</v>
          </cell>
          <cell r="P1401">
            <v>0.37529168324488271</v>
          </cell>
          <cell r="Q1401">
            <v>0.2866595066626676</v>
          </cell>
          <cell r="R1401">
            <v>0.29841854217944608</v>
          </cell>
          <cell r="S1401">
            <v>0.33268904420402645</v>
          </cell>
          <cell r="T1401">
            <v>0.36490030449234379</v>
          </cell>
          <cell r="U1401">
            <v>0.39250362699194685</v>
          </cell>
          <cell r="V1401">
            <v>0.43562985488134753</v>
          </cell>
          <cell r="W1401">
            <v>0.45318400217722044</v>
          </cell>
          <cell r="X1401">
            <v>0.47124470345680791</v>
          </cell>
          <cell r="Y1401">
            <v>0.50653640081372853</v>
          </cell>
          <cell r="Z1401">
            <v>0.56445492201722125</v>
          </cell>
          <cell r="AA1401">
            <v>0.62638207220224729</v>
          </cell>
          <cell r="AB1401">
            <v>0.71899112585245284</v>
          </cell>
          <cell r="AC1401">
            <v>0.83029174555344643</v>
          </cell>
          <cell r="AD1401">
            <v>0.95626578940548601</v>
          </cell>
          <cell r="AE1401">
            <v>1.0956055202537396</v>
          </cell>
          <cell r="AF1401">
            <v>1.2090611142602681</v>
          </cell>
          <cell r="AG1401">
            <v>1.3220356512712916</v>
          </cell>
          <cell r="AH1401">
            <v>1.429820125505743</v>
          </cell>
          <cell r="AI1401">
            <v>1.5288584180055853</v>
          </cell>
          <cell r="AJ1401">
            <v>1.6157316013979628</v>
          </cell>
          <cell r="AK1401">
            <v>1.6757992964105295</v>
          </cell>
          <cell r="AL1401">
            <v>1.7243704663423953</v>
          </cell>
          <cell r="AM1401">
            <v>1.7566897832681949</v>
          </cell>
          <cell r="AN1401">
            <v>1.7718021301053044</v>
          </cell>
          <cell r="AO1401">
            <v>1.7708649936296172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3.610098886497326E-8</v>
          </cell>
          <cell r="I1402">
            <v>0</v>
          </cell>
          <cell r="J1402">
            <v>0</v>
          </cell>
          <cell r="K1402">
            <v>0</v>
          </cell>
          <cell r="L1402">
            <v>8.908783803729392E-3</v>
          </cell>
          <cell r="M1402">
            <v>-0.10933860955095742</v>
          </cell>
          <cell r="N1402">
            <v>-0.28483397020990786</v>
          </cell>
          <cell r="O1402">
            <v>-0.26783979216542519</v>
          </cell>
          <cell r="P1402">
            <v>-9.4168515744164072E-2</v>
          </cell>
          <cell r="Q1402">
            <v>9.9646409502684996E-2</v>
          </cell>
          <cell r="R1402">
            <v>0.25555515422093222</v>
          </cell>
          <cell r="S1402">
            <v>0.36635260528270486</v>
          </cell>
          <cell r="T1402">
            <v>0.45151379309908979</v>
          </cell>
          <cell r="U1402">
            <v>0.52861488196962458</v>
          </cell>
          <cell r="V1402">
            <v>0.58886523689263282</v>
          </cell>
          <cell r="W1402">
            <v>0.6281824752835341</v>
          </cell>
          <cell r="X1402">
            <v>0.6452202743276958</v>
          </cell>
          <cell r="Y1402">
            <v>0.64066816632017964</v>
          </cell>
          <cell r="Z1402">
            <v>0.61596915005091013</v>
          </cell>
          <cell r="AA1402">
            <v>0.56525649244922871</v>
          </cell>
          <cell r="AB1402">
            <v>0.49179321009129584</v>
          </cell>
          <cell r="AC1402">
            <v>0.40170472908676036</v>
          </cell>
          <cell r="AD1402">
            <v>0.30191604958724749</v>
          </cell>
          <cell r="AE1402">
            <v>0.19891662792903553</v>
          </cell>
          <cell r="AF1402">
            <v>9.0733930608544178E-2</v>
          </cell>
          <cell r="AG1402">
            <v>-1.9369756433074148E-2</v>
          </cell>
          <cell r="AH1402">
            <v>-0.12561880743547915</v>
          </cell>
          <cell r="AI1402">
            <v>-0.22177548775516032</v>
          </cell>
          <cell r="AJ1402">
            <v>-0.30248538230562838</v>
          </cell>
          <cell r="AK1402">
            <v>-0.36751235637453306</v>
          </cell>
          <cell r="AL1402">
            <v>-0.4148599712166301</v>
          </cell>
          <cell r="AM1402">
            <v>-0.44316064637095476</v>
          </cell>
          <cell r="AN1402">
            <v>-0.45228498286236096</v>
          </cell>
          <cell r="AO1402">
            <v>-0.44322259504564476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9.9999997473787516E-6</v>
          </cell>
          <cell r="I1403">
            <v>0</v>
          </cell>
          <cell r="J1403">
            <v>0</v>
          </cell>
          <cell r="K1403">
            <v>0</v>
          </cell>
          <cell r="L1403">
            <v>2.5827600000011444</v>
          </cell>
          <cell r="M1403">
            <v>-32.116439999997965</v>
          </cell>
          <cell r="N1403">
            <v>-84.764589999998861</v>
          </cell>
          <cell r="O1403">
            <v>-80.735619999999471</v>
          </cell>
          <cell r="P1403">
            <v>-28.733909999999014</v>
          </cell>
          <cell r="Q1403">
            <v>30.713719999999739</v>
          </cell>
          <cell r="R1403">
            <v>79.365470000000641</v>
          </cell>
          <cell r="S1403">
            <v>114.35782000000108</v>
          </cell>
          <cell r="T1403">
            <v>141.37952000000223</v>
          </cell>
          <cell r="U1403">
            <v>165.79654999999912</v>
          </cell>
          <cell r="V1403">
            <v>184.85916999999972</v>
          </cell>
          <cell r="W1403">
            <v>197.3537299999989</v>
          </cell>
          <cell r="X1403">
            <v>202.94134000000122</v>
          </cell>
          <cell r="Y1403">
            <v>201.89196000000084</v>
          </cell>
          <cell r="Z1403">
            <v>194.6529300000002</v>
          </cell>
          <cell r="AA1403">
            <v>179.32443000000058</v>
          </cell>
          <cell r="AB1403">
            <v>156.81891000000178</v>
          </cell>
          <cell r="AC1403">
            <v>128.91372000000047</v>
          </cell>
          <cell r="AD1403">
            <v>97.63242000000173</v>
          </cell>
          <cell r="AE1403">
            <v>64.88263999999981</v>
          </cell>
          <cell r="AF1403">
            <v>29.866629999996803</v>
          </cell>
          <cell r="AG1403">
            <v>-6.4367500000007567</v>
          </cell>
          <cell r="AH1403">
            <v>-42.160599999995611</v>
          </cell>
          <cell r="AI1403">
            <v>-75.203620000000228</v>
          </cell>
          <cell r="AJ1403">
            <v>-103.65581999999995</v>
          </cell>
          <cell r="AK1403">
            <v>-127.2685399999973</v>
          </cell>
          <cell r="AL1403">
            <v>-145.14859000000433</v>
          </cell>
          <cell r="AM1403">
            <v>-156.58598000000347</v>
          </cell>
          <cell r="AN1403">
            <v>-161.29798999999912</v>
          </cell>
          <cell r="AO1403">
            <v>-159.42094999999972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0</v>
          </cell>
          <cell r="I1404">
            <v>-1.000000082740371E-8</v>
          </cell>
          <cell r="J1404">
            <v>-1.000000082740371E-8</v>
          </cell>
          <cell r="K1404">
            <v>-1.000000082740371E-8</v>
          </cell>
          <cell r="L1404">
            <v>-6.6570099999996302E-3</v>
          </cell>
          <cell r="M1404">
            <v>8.2757279999999545E-2</v>
          </cell>
          <cell r="N1404">
            <v>0.20967219000000009</v>
          </cell>
          <cell r="O1404">
            <v>0.18507362000000083</v>
          </cell>
          <cell r="P1404">
            <v>4.8351550000000354E-2</v>
          </cell>
          <cell r="Q1404">
            <v>-9.2201409999999318E-2</v>
          </cell>
          <cell r="R1404">
            <v>-0.19757674000000086</v>
          </cell>
          <cell r="S1404">
            <v>-0.26753533999999968</v>
          </cell>
          <cell r="T1404">
            <v>-0.3198052899999998</v>
          </cell>
          <cell r="U1404">
            <v>-0.36801802000000078</v>
          </cell>
          <cell r="V1404">
            <v>-0.40454661999999864</v>
          </cell>
          <cell r="W1404">
            <v>-0.42658074000000018</v>
          </cell>
          <cell r="X1404">
            <v>-0.43359829000000072</v>
          </cell>
          <cell r="Y1404">
            <v>-0.42648071999999981</v>
          </cell>
          <cell r="Z1404">
            <v>-0.40673385999999978</v>
          </cell>
          <cell r="AA1404">
            <v>-0.36913078000000016</v>
          </cell>
          <cell r="AB1404">
            <v>-0.31677161000000092</v>
          </cell>
          <cell r="AC1404">
            <v>-0.25408761000000057</v>
          </cell>
          <cell r="AD1404">
            <v>-0.18577565999999962</v>
          </cell>
          <cell r="AE1404">
            <v>-0.11628319999999887</v>
          </cell>
          <cell r="AF1404">
            <v>-4.2676969999999592E-2</v>
          </cell>
          <cell r="AG1404">
            <v>3.2479009999999975E-2</v>
          </cell>
          <cell r="AH1404">
            <v>0.10496802999999943</v>
          </cell>
          <cell r="AI1404">
            <v>0.17031433000000012</v>
          </cell>
          <cell r="AJ1404">
            <v>0.22472375000000058</v>
          </cell>
          <cell r="AK1404">
            <v>0.26836988000000017</v>
          </cell>
          <cell r="AL1404">
            <v>0.29967676999999998</v>
          </cell>
          <cell r="AM1404">
            <v>0.31752451999999959</v>
          </cell>
          <cell r="AN1404">
            <v>0.32175352000000035</v>
          </cell>
          <cell r="AO1404">
            <v>0.31305539999999971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6.0037912141819305E-10</v>
          </cell>
          <cell r="G1405">
            <v>1.5288517847544814E-9</v>
          </cell>
          <cell r="H1405">
            <v>3.7662857858486443E-9</v>
          </cell>
          <cell r="I1405">
            <v>5.7466574034104045E-9</v>
          </cell>
          <cell r="J1405">
            <v>7.2273128454147795E-9</v>
          </cell>
          <cell r="K1405">
            <v>5.1455156108159983E-9</v>
          </cell>
          <cell r="L1405">
            <v>4.6558077830817848E-2</v>
          </cell>
          <cell r="M1405">
            <v>-0.11271857596432816</v>
          </cell>
          <cell r="N1405">
            <v>-0.19917584434004687</v>
          </cell>
          <cell r="O1405">
            <v>2.2910334141302419E-2</v>
          </cell>
          <cell r="P1405">
            <v>0.22968211561713095</v>
          </cell>
          <cell r="Q1405">
            <v>0.29709318712026966</v>
          </cell>
          <cell r="R1405">
            <v>0.2830690887040313</v>
          </cell>
          <cell r="S1405">
            <v>0.24825948280896709</v>
          </cell>
          <cell r="T1405">
            <v>0.23024548020313257</v>
          </cell>
          <cell r="U1405">
            <v>0.23126135732399605</v>
          </cell>
          <cell r="V1405">
            <v>0.2016847271125069</v>
          </cell>
          <cell r="W1405">
            <v>0.19059830726088703</v>
          </cell>
          <cell r="X1405">
            <v>0.18831909075671047</v>
          </cell>
          <cell r="Y1405">
            <v>0.18777645446934332</v>
          </cell>
          <cell r="Z1405">
            <v>0.18332228895778929</v>
          </cell>
          <cell r="AA1405">
            <v>0.16423784337048913</v>
          </cell>
          <cell r="AB1405">
            <v>0.13646527382510029</v>
          </cell>
          <cell r="AC1405">
            <v>0.10423472934408817</v>
          </cell>
          <cell r="AD1405">
            <v>6.9891278809147001E-2</v>
          </cell>
          <cell r="AE1405">
            <v>3.3418477246537764E-2</v>
          </cell>
          <cell r="AF1405">
            <v>-1.5070853517659688E-2</v>
          </cell>
          <cell r="AG1405">
            <v>-6.7988082974977659E-2</v>
          </cell>
          <cell r="AH1405">
            <v>-0.11943879621963485</v>
          </cell>
          <cell r="AI1405">
            <v>-0.16663348911028358</v>
          </cell>
          <cell r="AJ1405">
            <v>-0.20804832568624282</v>
          </cell>
          <cell r="AK1405">
            <v>-0.2461338399393137</v>
          </cell>
          <cell r="AL1405">
            <v>-0.27966329281493979</v>
          </cell>
          <cell r="AM1405">
            <v>-0.30786056179456373</v>
          </cell>
          <cell r="AN1405">
            <v>-0.33095237111691184</v>
          </cell>
          <cell r="AO1405">
            <v>-0.34961502037945125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5.1641937254265358E-10</v>
          </cell>
          <cell r="G1406">
            <v>0</v>
          </cell>
          <cell r="H1406">
            <v>-1.673904591326103E-9</v>
          </cell>
          <cell r="I1406">
            <v>-4.7115953499821117E-9</v>
          </cell>
          <cell r="J1406">
            <v>-4.9450036079812243E-9</v>
          </cell>
          <cell r="K1406">
            <v>-6.9062531735109012E-9</v>
          </cell>
          <cell r="L1406">
            <v>-6.9438953997601541E-2</v>
          </cell>
          <cell r="M1406">
            <v>-0.13673366308456503</v>
          </cell>
          <cell r="N1406">
            <v>-0.21396480734580914</v>
          </cell>
          <cell r="O1406">
            <v>-0.30747111542808059</v>
          </cell>
          <cell r="P1406">
            <v>-0.41450252182248271</v>
          </cell>
          <cell r="Q1406">
            <v>-0.4997359905376208</v>
          </cell>
          <cell r="R1406">
            <v>-0.57342484279073425</v>
          </cell>
          <cell r="S1406">
            <v>-0.63945850535612159</v>
          </cell>
          <cell r="T1406">
            <v>-0.70130351257273915</v>
          </cell>
          <cell r="U1406">
            <v>-0.76118264807526637</v>
          </cell>
          <cell r="V1406">
            <v>-0.77398004218724981</v>
          </cell>
          <cell r="W1406">
            <v>-0.79294259041433945</v>
          </cell>
          <cell r="X1406">
            <v>-0.81893717387306153</v>
          </cell>
          <cell r="Y1406">
            <v>-0.85436755402703435</v>
          </cell>
          <cell r="Z1406">
            <v>-0.89256749318551465</v>
          </cell>
          <cell r="AA1406">
            <v>-0.92964884369320444</v>
          </cell>
          <cell r="AB1406">
            <v>-0.9660014722232072</v>
          </cell>
          <cell r="AC1406">
            <v>-1.0021118001248446</v>
          </cell>
          <cell r="AD1406">
            <v>-1.038290856704905</v>
          </cell>
          <cell r="AE1406">
            <v>-1.0744893157279587</v>
          </cell>
          <cell r="AF1406">
            <v>-1.1014092419709223</v>
          </cell>
          <cell r="AG1406">
            <v>-1.1232217108276006</v>
          </cell>
          <cell r="AH1406">
            <v>-1.1430053758024294</v>
          </cell>
          <cell r="AI1406">
            <v>-1.1613236182277296</v>
          </cell>
          <cell r="AJ1406">
            <v>-1.1781455308014905</v>
          </cell>
          <cell r="AK1406">
            <v>-1.1920233123969564</v>
          </cell>
          <cell r="AL1406">
            <v>-1.2030442554542438</v>
          </cell>
          <cell r="AM1406">
            <v>-1.2116486664453814</v>
          </cell>
          <cell r="AN1406">
            <v>-1.2181467770781451</v>
          </cell>
          <cell r="AO1406">
            <v>-1.2228470120471797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4.1545048651281391E-10</v>
          </cell>
          <cell r="G1407">
            <v>8.7362955411562915E-10</v>
          </cell>
          <cell r="H1407">
            <v>-7.532571788537723E-10</v>
          </cell>
          <cell r="I1407">
            <v>-2.7304361029101276E-9</v>
          </cell>
          <cell r="J1407">
            <v>-6.8469279725091869E-9</v>
          </cell>
          <cell r="K1407">
            <v>-8.4226993435354558E-9</v>
          </cell>
          <cell r="L1407">
            <v>-6.7290483631292364E-3</v>
          </cell>
          <cell r="M1407">
            <v>9.8661570070372392E-2</v>
          </cell>
          <cell r="N1407">
            <v>0.23822619422029442</v>
          </cell>
          <cell r="O1407">
            <v>0.26806553281322965</v>
          </cell>
          <cell r="P1407">
            <v>0.2240800785319054</v>
          </cell>
          <cell r="Q1407">
            <v>6.0906337753979106E-2</v>
          </cell>
          <cell r="R1407">
            <v>-8.2343424776667312E-2</v>
          </cell>
          <cell r="S1407">
            <v>-0.19167899724523638</v>
          </cell>
          <cell r="T1407">
            <v>-0.27894898963602632</v>
          </cell>
          <cell r="U1407">
            <v>-0.35644002379659617</v>
          </cell>
          <cell r="V1407">
            <v>-0.41369539994703247</v>
          </cell>
          <cell r="W1407">
            <v>-0.45900187544182652</v>
          </cell>
          <cell r="X1407">
            <v>-0.49797261959612094</v>
          </cell>
          <cell r="Y1407">
            <v>-0.53685944916639783</v>
          </cell>
          <cell r="Z1407">
            <v>-0.56515065606081305</v>
          </cell>
          <cell r="AA1407">
            <v>-0.58776224477768557</v>
          </cell>
          <cell r="AB1407">
            <v>-0.59133402250140099</v>
          </cell>
          <cell r="AC1407">
            <v>-0.57727084945311669</v>
          </cell>
          <cell r="AD1407">
            <v>-0.5492433611285874</v>
          </cell>
          <cell r="AE1407">
            <v>-0.50949397319220013</v>
          </cell>
          <cell r="AF1407">
            <v>-0.46448324788519041</v>
          </cell>
          <cell r="AG1407">
            <v>-0.40874533154639237</v>
          </cell>
          <cell r="AH1407">
            <v>-0.34514308223416168</v>
          </cell>
          <cell r="AI1407">
            <v>-0.27772320250375598</v>
          </cell>
          <cell r="AJ1407">
            <v>-0.2101120071728621</v>
          </cell>
          <cell r="AK1407">
            <v>-0.14633495487825499</v>
          </cell>
          <cell r="AL1407">
            <v>-8.4730745236366589E-2</v>
          </cell>
          <cell r="AM1407">
            <v>-2.7074579989751213E-2</v>
          </cell>
          <cell r="AN1407">
            <v>2.4895016432666117E-2</v>
          </cell>
          <cell r="AO1407">
            <v>6.9921984531899628E-2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-1.1434197338955343E-9</v>
          </cell>
          <cell r="G1408">
            <v>7.8626664207215313E-9</v>
          </cell>
          <cell r="H1408">
            <v>8.3695238239922531E-9</v>
          </cell>
          <cell r="I1408">
            <v>6.0636967669225328E-9</v>
          </cell>
          <cell r="J1408">
            <v>7.6076976315841982E-9</v>
          </cell>
          <cell r="K1408">
            <v>6.949617964435717E-10</v>
          </cell>
          <cell r="L1408">
            <v>-7.0620798928173372E-3</v>
          </cell>
          <cell r="M1408">
            <v>6.9429041776748482E-2</v>
          </cell>
          <cell r="N1408">
            <v>0.26641594280312142</v>
          </cell>
          <cell r="O1408">
            <v>0.35200749216114069</v>
          </cell>
          <cell r="P1408">
            <v>0.3957698565379163</v>
          </cell>
          <cell r="Q1408">
            <v>0.36584353608611553</v>
          </cell>
          <cell r="R1408">
            <v>0.14911885852312567</v>
          </cell>
          <cell r="S1408">
            <v>-1.4785129378040718E-2</v>
          </cell>
          <cell r="T1408">
            <v>-0.14607773253500211</v>
          </cell>
          <cell r="U1408">
            <v>-0.26359912347044889</v>
          </cell>
          <cell r="V1408">
            <v>-0.36016443280117927</v>
          </cell>
          <cell r="W1408">
            <v>-0.4373684943912895</v>
          </cell>
          <cell r="X1408">
            <v>-0.51414219311107512</v>
          </cell>
          <cell r="Y1408">
            <v>-0.59655629256441589</v>
          </cell>
          <cell r="Z1408">
            <v>-0.6713362539961798</v>
          </cell>
          <cell r="AA1408">
            <v>-0.74088242884091382</v>
          </cell>
          <cell r="AB1408">
            <v>-0.78298574371540863</v>
          </cell>
          <cell r="AC1408">
            <v>-0.80058415165134844</v>
          </cell>
          <cell r="AD1408">
            <v>-0.79696675000607564</v>
          </cell>
          <cell r="AE1408">
            <v>-0.77400412423534881</v>
          </cell>
          <cell r="AF1408">
            <v>-0.73951373139413135</v>
          </cell>
          <cell r="AG1408">
            <v>-0.67340778449501837</v>
          </cell>
          <cell r="AH1408">
            <v>-0.5928018021154835</v>
          </cell>
          <cell r="AI1408">
            <v>-0.50344513908101152</v>
          </cell>
          <cell r="AJ1408">
            <v>-0.41042841273191272</v>
          </cell>
          <cell r="AK1408">
            <v>-0.32013596972701036</v>
          </cell>
          <cell r="AL1408">
            <v>-0.22193395218818024</v>
          </cell>
          <cell r="AM1408">
            <v>-0.13004541929243219</v>
          </cell>
          <cell r="AN1408">
            <v>-4.8231860328457055E-2</v>
          </cell>
          <cell r="AO1408">
            <v>2.0648233204778599E-2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-9.5516661247074808E-8</v>
          </cell>
          <cell r="G1409">
            <v>0</v>
          </cell>
          <cell r="H1409">
            <v>0</v>
          </cell>
          <cell r="I1409">
            <v>-4.474230985707095E-8</v>
          </cell>
          <cell r="J1409">
            <v>3.8038483474167606E-8</v>
          </cell>
          <cell r="K1409">
            <v>-1.0952794227137019E-7</v>
          </cell>
          <cell r="L1409">
            <v>-1.9531542798056911E-2</v>
          </cell>
          <cell r="M1409">
            <v>0.14662855311614598</v>
          </cell>
          <cell r="N1409">
            <v>0.40042679480010168</v>
          </cell>
          <cell r="O1409">
            <v>0.28835936752219515</v>
          </cell>
          <cell r="P1409">
            <v>-2.5867803090884323E-3</v>
          </cell>
          <cell r="Q1409">
            <v>-4.0535809561614844E-2</v>
          </cell>
          <cell r="R1409">
            <v>-0.21235823010620769</v>
          </cell>
          <cell r="S1409">
            <v>-0.48724055779896247</v>
          </cell>
          <cell r="T1409">
            <v>-0.84323787764529201</v>
          </cell>
          <cell r="U1409">
            <v>-1.2635306504232169</v>
          </cell>
          <cell r="V1409">
            <v>-1.7210492560549211</v>
          </cell>
          <cell r="W1409">
            <v>-2.1980336224745294</v>
          </cell>
          <cell r="X1409">
            <v>-2.6880016287439426</v>
          </cell>
          <cell r="Y1409">
            <v>-3.1943662126212602</v>
          </cell>
          <cell r="Z1409">
            <v>-3.7112341849725659</v>
          </cell>
          <cell r="AA1409">
            <v>-4.2439933487512294</v>
          </cell>
          <cell r="AB1409">
            <v>-4.771288618926917</v>
          </cell>
          <cell r="AC1409">
            <v>-5.2760171906029214</v>
          </cell>
          <cell r="AD1409">
            <v>-5.7447973585935284</v>
          </cell>
          <cell r="AE1409">
            <v>-6.1664745110615264</v>
          </cell>
          <cell r="AF1409">
            <v>-6.5644328324487908</v>
          </cell>
          <cell r="AG1409">
            <v>-6.9040870771980849</v>
          </cell>
          <cell r="AH1409">
            <v>-7.1727676364394917</v>
          </cell>
          <cell r="AI1409">
            <v>-7.3635059091274986</v>
          </cell>
          <cell r="AJ1409">
            <v>-7.4731234021010344</v>
          </cell>
          <cell r="AK1409">
            <v>-7.5251289987840249</v>
          </cell>
          <cell r="AL1409">
            <v>-7.5000122549544024</v>
          </cell>
          <cell r="AM1409">
            <v>-7.3984787128438034</v>
          </cell>
          <cell r="AN1409">
            <v>-7.2246326551250073</v>
          </cell>
          <cell r="AO1409">
            <v>-6.9843815524678554</v>
          </cell>
        </row>
        <row r="1410">
          <cell r="C1410" t="str">
            <v>PIB</v>
          </cell>
          <cell r="E1410" t="str">
            <v>GDP_2</v>
          </cell>
          <cell r="F1410">
            <v>2197038.7069999999</v>
          </cell>
          <cell r="G1410">
            <v>2236521.827</v>
          </cell>
          <cell r="H1410">
            <v>2280155.4019999998</v>
          </cell>
          <cell r="I1410">
            <v>2328185.0219999999</v>
          </cell>
          <cell r="J1410">
            <v>2379809.0550000002</v>
          </cell>
          <cell r="K1410">
            <v>2434766.8909999998</v>
          </cell>
          <cell r="L1410">
            <v>2492075.7779999999</v>
          </cell>
          <cell r="M1410">
            <v>2544394.4709999999</v>
          </cell>
          <cell r="N1410">
            <v>2598540.3879999998</v>
          </cell>
          <cell r="O1410">
            <v>2664043.452</v>
          </cell>
          <cell r="P1410">
            <v>2730584.8220000002</v>
          </cell>
          <cell r="Q1410">
            <v>2789135.5890000002</v>
          </cell>
          <cell r="R1410">
            <v>2841661.8280000002</v>
          </cell>
          <cell r="S1410">
            <v>2889599.0419999999</v>
          </cell>
          <cell r="T1410">
            <v>2934919.5010000002</v>
          </cell>
          <cell r="U1410">
            <v>2978989.7409999999</v>
          </cell>
          <cell r="V1410">
            <v>3022409.1209999998</v>
          </cell>
          <cell r="W1410">
            <v>3066800.4959999998</v>
          </cell>
          <cell r="X1410">
            <v>3113269.4890000001</v>
          </cell>
          <cell r="Y1410">
            <v>3162587.1039999998</v>
          </cell>
          <cell r="Z1410">
            <v>3214842.7910000002</v>
          </cell>
          <cell r="AA1410">
            <v>3270876.801</v>
          </cell>
          <cell r="AB1410">
            <v>3331331.1159999999</v>
          </cell>
          <cell r="AC1410">
            <v>3396605.679</v>
          </cell>
          <cell r="AD1410">
            <v>3466812.193</v>
          </cell>
          <cell r="AE1410">
            <v>3540881.2340000002</v>
          </cell>
          <cell r="AF1410">
            <v>3619745.9410000001</v>
          </cell>
          <cell r="AG1410">
            <v>3703192.7340000002</v>
          </cell>
          <cell r="AH1410">
            <v>3791379.2650000001</v>
          </cell>
          <cell r="AI1410">
            <v>3883974.952</v>
          </cell>
          <cell r="AJ1410">
            <v>3980320.9210000001</v>
          </cell>
          <cell r="AK1410">
            <v>4079630.1850000001</v>
          </cell>
          <cell r="AL1410">
            <v>4181433.4479999999</v>
          </cell>
          <cell r="AM1410">
            <v>4285180.91</v>
          </cell>
          <cell r="AN1410">
            <v>4390284.9579999996</v>
          </cell>
          <cell r="AO1410">
            <v>4496128.3430000003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-4.4712289426485086E-8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-3.6622194166113786E-8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3.3568436919040323E-8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2.7626234633260083E-8</v>
          </cell>
          <cell r="AG1411">
            <v>0</v>
          </cell>
          <cell r="AH1411">
            <v>0</v>
          </cell>
          <cell r="AI1411">
            <v>0</v>
          </cell>
          <cell r="AJ1411">
            <v>2.5123592095610547E-8</v>
          </cell>
          <cell r="AK1411">
            <v>0</v>
          </cell>
          <cell r="AL1411">
            <v>0</v>
          </cell>
          <cell r="AM1411">
            <v>0</v>
          </cell>
          <cell r="AN1411">
            <v>-4.5555115235629273E-8</v>
          </cell>
          <cell r="AO1411">
            <v>-4.4482728611683342E-8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1178061.808</v>
          </cell>
          <cell r="G1412">
            <v>1218787.6189999999</v>
          </cell>
          <cell r="H1412">
            <v>1261061.4539999999</v>
          </cell>
          <cell r="I1412">
            <v>1306642.6200000001</v>
          </cell>
          <cell r="J1412">
            <v>1354821.7409999999</v>
          </cell>
          <cell r="K1412">
            <v>1402706.618</v>
          </cell>
          <cell r="L1412">
            <v>1452024.196</v>
          </cell>
          <cell r="M1412">
            <v>1505799.308</v>
          </cell>
          <cell r="N1412">
            <v>1566302.2279999999</v>
          </cell>
          <cell r="O1412">
            <v>1631042.7919999999</v>
          </cell>
          <cell r="P1412">
            <v>1704241.176</v>
          </cell>
          <cell r="Q1412">
            <v>1776375.97</v>
          </cell>
          <cell r="R1412">
            <v>1841144.6950000001</v>
          </cell>
          <cell r="S1412">
            <v>1906247.0190000001</v>
          </cell>
          <cell r="T1412">
            <v>1971138.5759999999</v>
          </cell>
          <cell r="U1412">
            <v>2035447.149</v>
          </cell>
          <cell r="V1412">
            <v>2099299.1630000002</v>
          </cell>
          <cell r="W1412">
            <v>2162534.6919999998</v>
          </cell>
          <cell r="X1412">
            <v>2224822.2390000001</v>
          </cell>
          <cell r="Y1412">
            <v>2285897.2200000002</v>
          </cell>
          <cell r="Z1412">
            <v>2344261.193</v>
          </cell>
          <cell r="AA1412">
            <v>2402370.7140000002</v>
          </cell>
          <cell r="AB1412">
            <v>2459087.2000000002</v>
          </cell>
          <cell r="AC1412">
            <v>2514039.6320000002</v>
          </cell>
          <cell r="AD1412">
            <v>2566937.2510000002</v>
          </cell>
          <cell r="AE1412">
            <v>2611937.6269999999</v>
          </cell>
          <cell r="AF1412">
            <v>2656541.048</v>
          </cell>
          <cell r="AG1412">
            <v>2699176.7250000001</v>
          </cell>
          <cell r="AH1412">
            <v>2738314.4029999999</v>
          </cell>
          <cell r="AI1412">
            <v>2773261.7960000001</v>
          </cell>
          <cell r="AJ1412">
            <v>2803343.5860000001</v>
          </cell>
          <cell r="AK1412">
            <v>2827483.5890000002</v>
          </cell>
          <cell r="AL1412">
            <v>2846459.2820000001</v>
          </cell>
          <cell r="AM1412">
            <v>2858727.1469999999</v>
          </cell>
          <cell r="AN1412">
            <v>2863780.4279999998</v>
          </cell>
          <cell r="AO1412">
            <v>2861245.835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1010828.829</v>
          </cell>
          <cell r="G1413">
            <v>1048665.02</v>
          </cell>
          <cell r="H1413">
            <v>1092697.0220000001</v>
          </cell>
          <cell r="I1413">
            <v>1143390.0919999999</v>
          </cell>
          <cell r="J1413">
            <v>1200088.2520000001</v>
          </cell>
          <cell r="K1413">
            <v>1262766.2609999999</v>
          </cell>
          <cell r="L1413">
            <v>1331548.8149999999</v>
          </cell>
          <cell r="M1413">
            <v>1405104.102</v>
          </cell>
          <cell r="N1413">
            <v>1485154.2990000001</v>
          </cell>
          <cell r="O1413">
            <v>1577949.2409999999</v>
          </cell>
          <cell r="P1413">
            <v>1684611.584</v>
          </cell>
          <cell r="Q1413">
            <v>1796217.169</v>
          </cell>
          <cell r="R1413">
            <v>1909217.0989999999</v>
          </cell>
          <cell r="S1413">
            <v>2021373.0049999999</v>
          </cell>
          <cell r="T1413">
            <v>2132160.4040000001</v>
          </cell>
          <cell r="U1413">
            <v>2241846.2170000002</v>
          </cell>
          <cell r="V1413">
            <v>2350776.702</v>
          </cell>
          <cell r="W1413">
            <v>2460117.344</v>
          </cell>
          <cell r="X1413">
            <v>2571151.5269999998</v>
          </cell>
          <cell r="Y1413">
            <v>2685071.122</v>
          </cell>
          <cell r="Z1413">
            <v>2802365.2459999998</v>
          </cell>
          <cell r="AA1413">
            <v>2924035.7659999998</v>
          </cell>
          <cell r="AB1413">
            <v>3050830.611</v>
          </cell>
          <cell r="AC1413">
            <v>3184142.622</v>
          </cell>
          <cell r="AD1413">
            <v>3325347.2059999998</v>
          </cell>
          <cell r="AE1413">
            <v>3474509.8539999998</v>
          </cell>
          <cell r="AF1413">
            <v>3631441.6269999999</v>
          </cell>
          <cell r="AG1413">
            <v>3797255.8020000001</v>
          </cell>
          <cell r="AH1413">
            <v>3973923.14</v>
          </cell>
          <cell r="AI1413">
            <v>4162894.321</v>
          </cell>
          <cell r="AJ1413">
            <v>4364952.7029999997</v>
          </cell>
          <cell r="AK1413">
            <v>4579820.1370000001</v>
          </cell>
          <cell r="AL1413">
            <v>4807382.8650000002</v>
          </cell>
          <cell r="AM1413">
            <v>5047349.1710000001</v>
          </cell>
          <cell r="AN1413">
            <v>5299195.6459999997</v>
          </cell>
          <cell r="AO1413">
            <v>5562111.6519999998</v>
          </cell>
        </row>
        <row r="1414">
          <cell r="C1414" t="str">
            <v>Solde public</v>
          </cell>
          <cell r="E1414" t="str">
            <v>Bal_G_tot_VAL_2</v>
          </cell>
          <cell r="F1414">
            <v>-65255.9113</v>
          </cell>
          <cell r="G1414">
            <v>-64882.735180000003</v>
          </cell>
          <cell r="H1414">
            <v>-59880.432439999997</v>
          </cell>
          <cell r="I1414">
            <v>-51774.506730000001</v>
          </cell>
          <cell r="J1414">
            <v>-40666.742209999997</v>
          </cell>
          <cell r="K1414">
            <v>-23840.273150000001</v>
          </cell>
          <cell r="L1414">
            <v>-3183.283766</v>
          </cell>
          <cell r="M1414">
            <v>16756.055810000002</v>
          </cell>
          <cell r="N1414">
            <v>35465.529900000001</v>
          </cell>
          <cell r="O1414">
            <v>61746.631950000003</v>
          </cell>
          <cell r="P1414">
            <v>92123.258830000006</v>
          </cell>
          <cell r="Q1414">
            <v>126987.8872</v>
          </cell>
          <cell r="R1414">
            <v>168869.69820000001</v>
          </cell>
          <cell r="S1414">
            <v>207479.7942</v>
          </cell>
          <cell r="T1414">
            <v>243001.64730000001</v>
          </cell>
          <cell r="U1414">
            <v>276228.8052</v>
          </cell>
          <cell r="V1414">
            <v>307495.83529999998</v>
          </cell>
          <cell r="W1414">
            <v>338226.15649999998</v>
          </cell>
          <cell r="X1414">
            <v>370061.48489999998</v>
          </cell>
          <cell r="Y1414">
            <v>404403.02529999998</v>
          </cell>
          <cell r="Z1414">
            <v>443113.02470000001</v>
          </cell>
          <cell r="AA1414">
            <v>484518.37180000002</v>
          </cell>
          <cell r="AB1414">
            <v>530370.81279999996</v>
          </cell>
          <cell r="AC1414">
            <v>582211.85140000004</v>
          </cell>
          <cell r="AD1414">
            <v>641408.22360000003</v>
          </cell>
          <cell r="AE1414">
            <v>713500.08389999997</v>
          </cell>
          <cell r="AF1414">
            <v>790153.43169999996</v>
          </cell>
          <cell r="AG1414">
            <v>873824.25789999997</v>
          </cell>
          <cell r="AH1414">
            <v>967662.70559999999</v>
          </cell>
          <cell r="AI1414">
            <v>1073303.3589999999</v>
          </cell>
          <cell r="AJ1414">
            <v>1191614.7819999999</v>
          </cell>
          <cell r="AK1414">
            <v>1322761.4750000001</v>
          </cell>
          <cell r="AL1414">
            <v>1465210.436</v>
          </cell>
          <cell r="AM1414">
            <v>1619648.3540000001</v>
          </cell>
          <cell r="AN1414">
            <v>1785459.1310000001</v>
          </cell>
          <cell r="AO1414">
            <v>1961636.773</v>
          </cell>
        </row>
        <row r="1415">
          <cell r="C1415" t="str">
            <v>Dette publique</v>
          </cell>
          <cell r="E1415" t="str">
            <v>DEBT_G_VAL_2</v>
          </cell>
          <cell r="F1415">
            <v>2104797.2650000001</v>
          </cell>
          <cell r="G1415">
            <v>2169680</v>
          </cell>
          <cell r="H1415">
            <v>2229560.432</v>
          </cell>
          <cell r="I1415">
            <v>2281334.9389999998</v>
          </cell>
          <cell r="J1415">
            <v>2322001.6809999999</v>
          </cell>
          <cell r="K1415">
            <v>2345841.9539999999</v>
          </cell>
          <cell r="L1415">
            <v>2349025.2379999999</v>
          </cell>
          <cell r="M1415">
            <v>2332269.182</v>
          </cell>
          <cell r="N1415">
            <v>2296803.6519999998</v>
          </cell>
          <cell r="O1415">
            <v>2235057.0210000002</v>
          </cell>
          <cell r="P1415">
            <v>2142933.7620000001</v>
          </cell>
          <cell r="Q1415">
            <v>2015945.8740000001</v>
          </cell>
          <cell r="R1415">
            <v>1847076.176</v>
          </cell>
          <cell r="S1415">
            <v>1639596.382</v>
          </cell>
          <cell r="T1415">
            <v>1396594.7350000001</v>
          </cell>
          <cell r="U1415">
            <v>1120365.93</v>
          </cell>
          <cell r="V1415">
            <v>812870.0943</v>
          </cell>
          <cell r="W1415">
            <v>474643.93780000001</v>
          </cell>
          <cell r="X1415">
            <v>104582.4529</v>
          </cell>
          <cell r="Y1415">
            <v>-299820.5724</v>
          </cell>
          <cell r="Z1415">
            <v>-742933.59719999996</v>
          </cell>
          <cell r="AA1415">
            <v>-1227451.969</v>
          </cell>
          <cell r="AB1415">
            <v>-1757822.7819999999</v>
          </cell>
          <cell r="AC1415">
            <v>-2340034.6329999999</v>
          </cell>
          <cell r="AD1415">
            <v>-2981442.8569999998</v>
          </cell>
          <cell r="AE1415">
            <v>-3694942.9410000001</v>
          </cell>
          <cell r="AF1415">
            <v>-4485096.3720000004</v>
          </cell>
          <cell r="AG1415">
            <v>-5358920.63</v>
          </cell>
          <cell r="AH1415">
            <v>-6326583.3360000001</v>
          </cell>
          <cell r="AI1415">
            <v>-7399886.6950000003</v>
          </cell>
          <cell r="AJ1415">
            <v>-8591501.4759999998</v>
          </cell>
          <cell r="AK1415">
            <v>-9914262.9509999994</v>
          </cell>
          <cell r="AL1415">
            <v>-11379473.390000001</v>
          </cell>
          <cell r="AM1415">
            <v>-12999121.74</v>
          </cell>
          <cell r="AN1415">
            <v>-14784580.869999999</v>
          </cell>
          <cell r="AO1415">
            <v>-16746217.640000001</v>
          </cell>
        </row>
        <row r="1434">
          <cell r="F1434">
            <v>27371.429380000001</v>
          </cell>
          <cell r="G1434">
            <v>27499.163789999999</v>
          </cell>
          <cell r="H1434">
            <v>27700.070100000001</v>
          </cell>
          <cell r="I1434">
            <v>27964.675920000001</v>
          </cell>
          <cell r="J1434">
            <v>28275.649000000001</v>
          </cell>
          <cell r="K1434">
            <v>28621.574720000001</v>
          </cell>
          <cell r="L1434">
            <v>28993.74538</v>
          </cell>
          <cell r="M1434">
            <v>29341.258740000001</v>
          </cell>
          <cell r="N1434">
            <v>29674.53341</v>
          </cell>
          <cell r="O1434">
            <v>30062.515070000001</v>
          </cell>
          <cell r="P1434">
            <v>30484.553650000002</v>
          </cell>
          <cell r="Q1434">
            <v>30853.419880000001</v>
          </cell>
          <cell r="R1434">
            <v>31135.467720000001</v>
          </cell>
          <cell r="S1434">
            <v>31329.591</v>
          </cell>
          <cell r="T1434">
            <v>31453.716410000001</v>
          </cell>
          <cell r="U1434">
            <v>31530.132979999998</v>
          </cell>
          <cell r="V1434">
            <v>31577.29982</v>
          </cell>
          <cell r="W1434">
            <v>31613.978319999998</v>
          </cell>
          <cell r="X1434">
            <v>31655.973440000002</v>
          </cell>
          <cell r="Y1434">
            <v>31714.611120000001</v>
          </cell>
          <cell r="Z1434">
            <v>31795.73717</v>
          </cell>
          <cell r="AA1434">
            <v>31903.759689999999</v>
          </cell>
          <cell r="AB1434">
            <v>32043.98343</v>
          </cell>
          <cell r="AC1434">
            <v>32220.57475</v>
          </cell>
          <cell r="AD1434">
            <v>32435.237570000001</v>
          </cell>
          <cell r="AE1434">
            <v>32682.88983</v>
          </cell>
          <cell r="AF1434">
            <v>32946.582349999997</v>
          </cell>
          <cell r="AG1434">
            <v>33224.492209999997</v>
          </cell>
          <cell r="AH1434">
            <v>33520.170440000002</v>
          </cell>
          <cell r="AI1434">
            <v>33834.594420000001</v>
          </cell>
          <cell r="AJ1434">
            <v>34164.386890000002</v>
          </cell>
          <cell r="AK1434">
            <v>34502.462350000002</v>
          </cell>
          <cell r="AL1434">
            <v>34842.220659999999</v>
          </cell>
          <cell r="AM1434">
            <v>35177.323129999997</v>
          </cell>
          <cell r="AN1434">
            <v>35501.612809999999</v>
          </cell>
          <cell r="AO1434">
            <v>35809.176270000004</v>
          </cell>
        </row>
        <row r="1435">
          <cell r="F1435">
            <v>760.72189260000005</v>
          </cell>
          <cell r="G1435">
            <v>763.81120869999995</v>
          </cell>
          <cell r="H1435">
            <v>769.02654610000002</v>
          </cell>
          <cell r="I1435">
            <v>776.53137530000004</v>
          </cell>
          <cell r="J1435">
            <v>785.98606299999994</v>
          </cell>
          <cell r="K1435">
            <v>797.07750160000001</v>
          </cell>
          <cell r="L1435">
            <v>809.44665120000002</v>
          </cell>
          <cell r="M1435">
            <v>820.72473490000004</v>
          </cell>
          <cell r="N1435">
            <v>831.40468109999995</v>
          </cell>
          <cell r="O1435">
            <v>844.10551969999995</v>
          </cell>
          <cell r="P1435">
            <v>857.83014579999997</v>
          </cell>
          <cell r="Q1435">
            <v>869.17969249999999</v>
          </cell>
          <cell r="R1435">
            <v>877.04745930000001</v>
          </cell>
          <cell r="S1435">
            <v>881.59400640000001</v>
          </cell>
          <cell r="T1435">
            <v>883.63246249999997</v>
          </cell>
          <cell r="U1435">
            <v>884.05384570000001</v>
          </cell>
          <cell r="V1435">
            <v>883.71443829999998</v>
          </cell>
          <cell r="W1435">
            <v>883.22203779999995</v>
          </cell>
          <cell r="X1435">
            <v>883.06515430000002</v>
          </cell>
          <cell r="Y1435">
            <v>883.56178629999999</v>
          </cell>
          <cell r="Z1435">
            <v>884.89194999999995</v>
          </cell>
          <cell r="AA1435">
            <v>887.18715250000002</v>
          </cell>
          <cell r="AB1435">
            <v>890.64546170000006</v>
          </cell>
          <cell r="AC1435">
            <v>895.41851180000003</v>
          </cell>
          <cell r="AD1435">
            <v>901.55026640000006</v>
          </cell>
          <cell r="AE1435">
            <v>908.81215829999996</v>
          </cell>
          <cell r="AF1435">
            <v>916.59076489999995</v>
          </cell>
          <cell r="AG1435">
            <v>924.97301449999998</v>
          </cell>
          <cell r="AH1435">
            <v>934.13960280000003</v>
          </cell>
          <cell r="AI1435">
            <v>944.11074050000002</v>
          </cell>
          <cell r="AJ1435">
            <v>954.72596180000005</v>
          </cell>
          <cell r="AK1435">
            <v>965.68667930000004</v>
          </cell>
          <cell r="AL1435">
            <v>976.73680679999995</v>
          </cell>
          <cell r="AM1435">
            <v>987.64260019999995</v>
          </cell>
          <cell r="AN1435">
            <v>998.182681</v>
          </cell>
          <cell r="AO1435">
            <v>1008.147766</v>
          </cell>
        </row>
        <row r="1438">
          <cell r="F1438">
            <v>4367.8907149999995</v>
          </cell>
          <cell r="G1438">
            <v>4397.2788719999999</v>
          </cell>
          <cell r="H1438">
            <v>4443.7585879999997</v>
          </cell>
          <cell r="I1438">
            <v>4503.4872400000004</v>
          </cell>
          <cell r="J1438">
            <v>4572.0999439999996</v>
          </cell>
          <cell r="K1438">
            <v>4647.1052870000003</v>
          </cell>
          <cell r="L1438">
            <v>4727.0539980000003</v>
          </cell>
          <cell r="M1438">
            <v>4800.1202670000002</v>
          </cell>
          <cell r="N1438">
            <v>4870.2453059999998</v>
          </cell>
          <cell r="O1438">
            <v>4953.9803810000003</v>
          </cell>
          <cell r="P1438">
            <v>5045.2039759999998</v>
          </cell>
          <cell r="Q1438">
            <v>5125.4689669999998</v>
          </cell>
          <cell r="R1438">
            <v>5188.3898929999996</v>
          </cell>
          <cell r="S1438">
            <v>5234.6961300000003</v>
          </cell>
          <cell r="T1438">
            <v>5269.0560910000004</v>
          </cell>
          <cell r="U1438">
            <v>5296.5378899999996</v>
          </cell>
          <cell r="V1438">
            <v>5320.7852059999996</v>
          </cell>
          <cell r="W1438">
            <v>5345.383057</v>
          </cell>
          <cell r="X1438">
            <v>5373.2469760000004</v>
          </cell>
          <cell r="Y1438">
            <v>5406.3392800000001</v>
          </cell>
          <cell r="Z1438">
            <v>5445.8547719999997</v>
          </cell>
          <cell r="AA1438">
            <v>5492.5676649999996</v>
          </cell>
          <cell r="AB1438">
            <v>5547.569364</v>
          </cell>
          <cell r="AC1438">
            <v>5611.7675300000001</v>
          </cell>
          <cell r="AD1438">
            <v>5685.5657869999995</v>
          </cell>
          <cell r="AE1438">
            <v>5768.4129030000004</v>
          </cell>
          <cell r="AF1438">
            <v>5856.5774510000001</v>
          </cell>
          <cell r="AG1438">
            <v>5948.699251</v>
          </cell>
          <cell r="AH1438">
            <v>6044.8541999999998</v>
          </cell>
          <cell r="AI1438">
            <v>6144.9295199999997</v>
          </cell>
          <cell r="AJ1438">
            <v>6248.0924649999997</v>
          </cell>
          <cell r="AK1438">
            <v>6352.8850430000002</v>
          </cell>
          <cell r="AL1438">
            <v>6457.9462999999996</v>
          </cell>
          <cell r="AM1438">
            <v>6561.9470940000001</v>
          </cell>
          <cell r="AN1438">
            <v>6663.558626</v>
          </cell>
          <cell r="AO1438">
            <v>6761.4568810000001</v>
          </cell>
        </row>
        <row r="1450">
          <cell r="F1450">
            <v>868.15907019999997</v>
          </cell>
          <cell r="G1450">
            <v>872.48399389999997</v>
          </cell>
          <cell r="H1450">
            <v>879.13084079999999</v>
          </cell>
          <cell r="I1450">
            <v>887.51311720000001</v>
          </cell>
          <cell r="J1450">
            <v>897.23500750000005</v>
          </cell>
          <cell r="K1450">
            <v>908.03434010000001</v>
          </cell>
          <cell r="L1450">
            <v>919.58581930000003</v>
          </cell>
          <cell r="M1450">
            <v>929.09488439999996</v>
          </cell>
          <cell r="N1450">
            <v>936.95018800000003</v>
          </cell>
          <cell r="O1450">
            <v>945.81627430000003</v>
          </cell>
          <cell r="P1450">
            <v>954.06827190000001</v>
          </cell>
          <cell r="Q1450">
            <v>959.36581169999999</v>
          </cell>
          <cell r="R1450">
            <v>961.31242359999999</v>
          </cell>
          <cell r="S1450">
            <v>960.42382280000004</v>
          </cell>
          <cell r="T1450">
            <v>957.65129899999999</v>
          </cell>
          <cell r="U1450">
            <v>953.86801690000004</v>
          </cell>
          <cell r="V1450">
            <v>949.63417140000001</v>
          </cell>
          <cell r="W1450">
            <v>945.43411289999995</v>
          </cell>
          <cell r="X1450">
            <v>941.69941700000004</v>
          </cell>
          <cell r="Y1450">
            <v>938.79393540000001</v>
          </cell>
          <cell r="Z1450">
            <v>936.89185680000003</v>
          </cell>
          <cell r="AA1450">
            <v>936.2349567</v>
          </cell>
          <cell r="AB1450">
            <v>937.01819990000001</v>
          </cell>
          <cell r="AC1450">
            <v>939.33894090000001</v>
          </cell>
          <cell r="AD1450">
            <v>943.17927269999996</v>
          </cell>
          <cell r="AE1450">
            <v>948.32997120000005</v>
          </cell>
          <cell r="AF1450">
            <v>954.56847089999997</v>
          </cell>
          <cell r="AG1450">
            <v>961.88607790000003</v>
          </cell>
          <cell r="AH1450">
            <v>970.31740100000002</v>
          </cell>
          <cell r="AI1450">
            <v>979.76481039999999</v>
          </cell>
          <cell r="AJ1450">
            <v>989.99008330000004</v>
          </cell>
          <cell r="AK1450">
            <v>1000.716776</v>
          </cell>
          <cell r="AL1450">
            <v>1011.68756</v>
          </cell>
          <cell r="AM1450">
            <v>1022.654983</v>
          </cell>
          <cell r="AN1450">
            <v>1033.379633</v>
          </cell>
          <cell r="AO1450">
            <v>1043.632582</v>
          </cell>
        </row>
        <row r="1455">
          <cell r="F1455">
            <v>21269.633740000001</v>
          </cell>
          <cell r="G1455">
            <v>21360.257140000002</v>
          </cell>
          <cell r="H1455">
            <v>21502.48818</v>
          </cell>
          <cell r="I1455">
            <v>21691.07015</v>
          </cell>
          <cell r="J1455">
            <v>21913.85266</v>
          </cell>
          <cell r="K1455">
            <v>22162.459019999998</v>
          </cell>
          <cell r="L1455">
            <v>22428.868299999998</v>
          </cell>
          <cell r="M1455">
            <v>22679.37156</v>
          </cell>
          <cell r="N1455">
            <v>22919.783380000001</v>
          </cell>
          <cell r="O1455">
            <v>23197.182250000002</v>
          </cell>
          <cell r="P1455">
            <v>23499.958289999999</v>
          </cell>
          <cell r="Q1455">
            <v>23766.700529999998</v>
          </cell>
          <cell r="R1455">
            <v>23972.007420000002</v>
          </cell>
          <cell r="S1455">
            <v>24112.98632</v>
          </cell>
          <cell r="T1455">
            <v>24200.676159999999</v>
          </cell>
          <cell r="U1455">
            <v>24250.188989999999</v>
          </cell>
          <cell r="V1455">
            <v>24274.597290000002</v>
          </cell>
          <cell r="W1455">
            <v>24287.87415</v>
          </cell>
          <cell r="X1455">
            <v>24301.771479999999</v>
          </cell>
          <cell r="Y1455">
            <v>24324.583460000002</v>
          </cell>
          <cell r="Z1455">
            <v>24360.71112</v>
          </cell>
          <cell r="AA1455">
            <v>24413.43633</v>
          </cell>
          <cell r="AB1455">
            <v>24486.4895</v>
          </cell>
          <cell r="AC1455">
            <v>24582.749169999999</v>
          </cell>
          <cell r="AD1455">
            <v>24703.355090000001</v>
          </cell>
          <cell r="AE1455">
            <v>24844.12199</v>
          </cell>
          <cell r="AF1455">
            <v>24997.850200000001</v>
          </cell>
          <cell r="AG1455">
            <v>25163.409530000001</v>
          </cell>
          <cell r="AH1455">
            <v>25342.428749999999</v>
          </cell>
          <cell r="AI1455">
            <v>25534.955839999999</v>
          </cell>
          <cell r="AJ1455">
            <v>25738.34042</v>
          </cell>
          <cell r="AK1455">
            <v>25947.423790000001</v>
          </cell>
          <cell r="AL1455">
            <v>26157.52448</v>
          </cell>
          <cell r="AM1455">
            <v>26364.21574</v>
          </cell>
          <cell r="AN1455">
            <v>26563.242399999999</v>
          </cell>
          <cell r="AO1455">
            <v>26750.553209999998</v>
          </cell>
        </row>
        <row r="1458">
          <cell r="F1458">
            <v>17.97037701</v>
          </cell>
          <cell r="G1458">
            <v>17.93170138</v>
          </cell>
          <cell r="H1458">
            <v>17.875754749999999</v>
          </cell>
          <cell r="I1458">
            <v>17.821056859999999</v>
          </cell>
          <cell r="J1458">
            <v>17.802866890000001</v>
          </cell>
          <cell r="K1458">
            <v>17.832806430000002</v>
          </cell>
          <cell r="L1458">
            <v>17.934915539999999</v>
          </cell>
          <cell r="M1458">
            <v>18.032724460000001</v>
          </cell>
          <cell r="N1458">
            <v>18.096414230000001</v>
          </cell>
          <cell r="O1458">
            <v>18.143450290000001</v>
          </cell>
          <cell r="P1458">
            <v>18.151726050000001</v>
          </cell>
          <cell r="Q1458">
            <v>18.117042430000001</v>
          </cell>
          <cell r="R1458">
            <v>18.054227050000001</v>
          </cell>
          <cell r="S1458">
            <v>17.976843389999999</v>
          </cell>
          <cell r="T1458">
            <v>17.895757979999999</v>
          </cell>
          <cell r="U1458">
            <v>17.817266310000001</v>
          </cell>
          <cell r="V1458">
            <v>17.749068170000001</v>
          </cell>
          <cell r="W1458">
            <v>17.694555909999998</v>
          </cell>
          <cell r="X1458">
            <v>17.815058310000001</v>
          </cell>
          <cell r="Y1458">
            <v>18.461148819999998</v>
          </cell>
          <cell r="Z1458">
            <v>19.48046063</v>
          </cell>
          <cell r="AA1458">
            <v>20.803407740000001</v>
          </cell>
          <cell r="AB1458">
            <v>22.389768069999999</v>
          </cell>
          <cell r="AC1458">
            <v>24.212200540000001</v>
          </cell>
          <cell r="AD1458">
            <v>26.249390649999999</v>
          </cell>
          <cell r="AE1458">
            <v>28.480730390000002</v>
          </cell>
          <cell r="AF1458">
            <v>30.846060399999999</v>
          </cell>
          <cell r="AG1458">
            <v>33.327227860000001</v>
          </cell>
          <cell r="AH1458">
            <v>35.916796480000002</v>
          </cell>
          <cell r="AI1458">
            <v>38.598218629999998</v>
          </cell>
          <cell r="AJ1458">
            <v>41.34229689</v>
          </cell>
          <cell r="AK1458">
            <v>44.113421610000003</v>
          </cell>
          <cell r="AL1458">
            <v>46.87057867</v>
          </cell>
          <cell r="AM1458">
            <v>49.570434849999998</v>
          </cell>
          <cell r="AN1458">
            <v>52.170403589999999</v>
          </cell>
          <cell r="AO1458">
            <v>54.631473049999997</v>
          </cell>
        </row>
        <row r="1460">
          <cell r="F1460">
            <v>6.6794205279999996</v>
          </cell>
          <cell r="G1460">
            <v>6.6546721570000003</v>
          </cell>
          <cell r="H1460">
            <v>6.615554704</v>
          </cell>
          <cell r="I1460">
            <v>6.5749877229999996</v>
          </cell>
          <cell r="J1460">
            <v>6.5474230469999997</v>
          </cell>
          <cell r="K1460">
            <v>6.5383142559999996</v>
          </cell>
          <cell r="L1460">
            <v>6.543345382</v>
          </cell>
          <cell r="M1460">
            <v>6.5435240209999996</v>
          </cell>
          <cell r="N1460">
            <v>6.5307007459999999</v>
          </cell>
          <cell r="O1460">
            <v>6.506497982</v>
          </cell>
          <cell r="P1460">
            <v>6.4636217120000001</v>
          </cell>
          <cell r="Q1460">
            <v>6.4164921069999998</v>
          </cell>
          <cell r="R1460">
            <v>6.3686896849999997</v>
          </cell>
          <cell r="S1460">
            <v>6.3209474549999998</v>
          </cell>
          <cell r="T1460">
            <v>6.2731453659999996</v>
          </cell>
          <cell r="U1460">
            <v>6.2247386679999996</v>
          </cell>
          <cell r="V1460">
            <v>6.1717438800000002</v>
          </cell>
          <cell r="W1460">
            <v>6.1152030069999999</v>
          </cell>
          <cell r="X1460">
            <v>6.2298448840000002</v>
          </cell>
          <cell r="Y1460">
            <v>6.8997533310000003</v>
          </cell>
          <cell r="Z1460">
            <v>7.9532965280000001</v>
          </cell>
          <cell r="AA1460">
            <v>9.3122261850000001</v>
          </cell>
          <cell r="AB1460">
            <v>10.933789190000001</v>
          </cell>
          <cell r="AC1460">
            <v>12.79137592</v>
          </cell>
          <cell r="AD1460">
            <v>14.866395949999999</v>
          </cell>
          <cell r="AE1460">
            <v>17.142765539999999</v>
          </cell>
          <cell r="AF1460">
            <v>19.603097680000001</v>
          </cell>
          <cell r="AG1460">
            <v>22.229466590000001</v>
          </cell>
          <cell r="AH1460">
            <v>25.00005135</v>
          </cell>
          <cell r="AI1460">
            <v>27.88606562</v>
          </cell>
          <cell r="AJ1460">
            <v>30.850722300000001</v>
          </cell>
          <cell r="AK1460">
            <v>33.852709519999998</v>
          </cell>
          <cell r="AL1460">
            <v>36.84640272</v>
          </cell>
          <cell r="AM1460">
            <v>39.78438276</v>
          </cell>
          <cell r="AN1460">
            <v>42.620468129999999</v>
          </cell>
          <cell r="AO1460">
            <v>45.312643610000002</v>
          </cell>
        </row>
        <row r="1462">
          <cell r="F1462">
            <v>0.71845949369999995</v>
          </cell>
          <cell r="G1462">
            <v>0.71656189869999998</v>
          </cell>
          <cell r="H1462">
            <v>0.71473124480000005</v>
          </cell>
          <cell r="I1462">
            <v>0.71287041910000004</v>
          </cell>
          <cell r="J1462">
            <v>0.71292568099999998</v>
          </cell>
          <cell r="K1462">
            <v>0.7152558604</v>
          </cell>
          <cell r="L1462">
            <v>0.72853088710000002</v>
          </cell>
          <cell r="M1462">
            <v>0.74548309680000002</v>
          </cell>
          <cell r="N1462">
            <v>0.76268014610000001</v>
          </cell>
          <cell r="O1462">
            <v>0.78017912290000002</v>
          </cell>
          <cell r="P1462">
            <v>0.82315342260000002</v>
          </cell>
          <cell r="Q1462">
            <v>0.87402536350000004</v>
          </cell>
          <cell r="R1462">
            <v>0.92834962139999999</v>
          </cell>
          <cell r="S1462">
            <v>0.9846504049</v>
          </cell>
          <cell r="T1462">
            <v>1.0425249000000001</v>
          </cell>
          <cell r="U1462">
            <v>1.101895925</v>
          </cell>
          <cell r="V1462">
            <v>1.2188387009999999</v>
          </cell>
          <cell r="W1462">
            <v>1.3748843100000001</v>
          </cell>
          <cell r="X1462">
            <v>1.5586047439999999</v>
          </cell>
          <cell r="Y1462">
            <v>1.761018577</v>
          </cell>
          <cell r="Z1462">
            <v>1.9746903899999999</v>
          </cell>
          <cell r="AA1462">
            <v>2.1931689130000001</v>
          </cell>
          <cell r="AB1462">
            <v>2.410165321</v>
          </cell>
          <cell r="AC1462">
            <v>2.619403819</v>
          </cell>
          <cell r="AD1462">
            <v>2.814567442</v>
          </cell>
          <cell r="AE1462">
            <v>2.9890967079999999</v>
          </cell>
          <cell r="AF1462">
            <v>3.1111401660000002</v>
          </cell>
          <cell r="AG1462">
            <v>3.1760853830000002</v>
          </cell>
          <cell r="AH1462">
            <v>3.191263228</v>
          </cell>
          <cell r="AI1462">
            <v>3.1651090759999998</v>
          </cell>
          <cell r="AJ1462">
            <v>3.104585632</v>
          </cell>
          <cell r="AK1462">
            <v>3.0158755419999999</v>
          </cell>
          <cell r="AL1462">
            <v>2.904746716</v>
          </cell>
          <cell r="AM1462">
            <v>2.7767459909999999</v>
          </cell>
          <cell r="AN1462">
            <v>2.6370529020000002</v>
          </cell>
          <cell r="AO1462">
            <v>2.4902816520000002</v>
          </cell>
        </row>
        <row r="1463">
          <cell r="F1463">
            <v>87.053586490000001</v>
          </cell>
          <cell r="G1463">
            <v>87.400878340000006</v>
          </cell>
          <cell r="H1463">
            <v>87.790184679999996</v>
          </cell>
          <cell r="I1463">
            <v>88.252978540000001</v>
          </cell>
          <cell r="J1463">
            <v>88.672463989999997</v>
          </cell>
          <cell r="K1463">
            <v>89.065771119999994</v>
          </cell>
          <cell r="L1463">
            <v>90.855689440000006</v>
          </cell>
          <cell r="M1463">
            <v>93.914577719999997</v>
          </cell>
          <cell r="N1463">
            <v>98.053440890000005</v>
          </cell>
          <cell r="O1463">
            <v>103.28719340000001</v>
          </cell>
          <cell r="P1463">
            <v>109.34124079999999</v>
          </cell>
          <cell r="Q1463">
            <v>114.5878354</v>
          </cell>
          <cell r="R1463">
            <v>118.6562998</v>
          </cell>
          <cell r="S1463">
            <v>121.9138817</v>
          </cell>
          <cell r="T1463">
            <v>124.80463260000001</v>
          </cell>
          <cell r="U1463">
            <v>127.66697449999999</v>
          </cell>
          <cell r="V1463">
            <v>130.8196485</v>
          </cell>
          <cell r="W1463">
            <v>134.37041099999999</v>
          </cell>
          <cell r="X1463">
            <v>138.37535310000001</v>
          </cell>
          <cell r="Y1463">
            <v>142.87150539999999</v>
          </cell>
          <cell r="Z1463">
            <v>147.90701039999999</v>
          </cell>
          <cell r="AA1463">
            <v>153.530182</v>
          </cell>
          <cell r="AB1463">
            <v>159.87112970000001</v>
          </cell>
          <cell r="AC1463">
            <v>167.08840079999999</v>
          </cell>
          <cell r="AD1463">
            <v>175.3377648</v>
          </cell>
          <cell r="AE1463">
            <v>184.73208539999999</v>
          </cell>
          <cell r="AF1463">
            <v>190.1494036</v>
          </cell>
          <cell r="AG1463">
            <v>192.19710939999999</v>
          </cell>
          <cell r="AH1463">
            <v>192.51369099999999</v>
          </cell>
          <cell r="AI1463">
            <v>192.23528899999999</v>
          </cell>
          <cell r="AJ1463">
            <v>191.89565429999999</v>
          </cell>
          <cell r="AK1463">
            <v>191.6366372</v>
          </cell>
          <cell r="AL1463">
            <v>191.45493339999999</v>
          </cell>
          <cell r="AM1463">
            <v>191.29227800000001</v>
          </cell>
          <cell r="AN1463">
            <v>191.07906929999999</v>
          </cell>
          <cell r="AO1463">
            <v>190.75435100000001</v>
          </cell>
        </row>
        <row r="1473">
          <cell r="F1473">
            <v>27371.429380000001</v>
          </cell>
          <cell r="G1473">
            <v>27499.163789999999</v>
          </cell>
          <cell r="H1473">
            <v>27700.070090000001</v>
          </cell>
          <cell r="I1473">
            <v>27964.675920000001</v>
          </cell>
          <cell r="J1473">
            <v>28275.649000000001</v>
          </cell>
          <cell r="K1473">
            <v>28621.574720000001</v>
          </cell>
          <cell r="L1473">
            <v>28991.162619999999</v>
          </cell>
          <cell r="M1473">
            <v>29373.375179999999</v>
          </cell>
          <cell r="N1473">
            <v>29759.297999999999</v>
          </cell>
          <cell r="O1473">
            <v>30143.250690000001</v>
          </cell>
          <cell r="P1473">
            <v>30513.287560000001</v>
          </cell>
          <cell r="Q1473">
            <v>30822.706160000002</v>
          </cell>
          <cell r="R1473">
            <v>31056.10225</v>
          </cell>
          <cell r="S1473">
            <v>31215.233179999999</v>
          </cell>
          <cell r="T1473">
            <v>31312.336889999999</v>
          </cell>
          <cell r="U1473">
            <v>31364.336429999999</v>
          </cell>
          <cell r="V1473">
            <v>31392.44065</v>
          </cell>
          <cell r="W1473">
            <v>31416.624589999999</v>
          </cell>
          <cell r="X1473">
            <v>31453.0321</v>
          </cell>
          <cell r="Y1473">
            <v>31512.719160000001</v>
          </cell>
          <cell r="Z1473">
            <v>31601.08424</v>
          </cell>
          <cell r="AA1473">
            <v>31724.435259999998</v>
          </cell>
          <cell r="AB1473">
            <v>31887.164519999998</v>
          </cell>
          <cell r="AC1473">
            <v>32091.661029999999</v>
          </cell>
          <cell r="AD1473">
            <v>32337.605149999999</v>
          </cell>
          <cell r="AE1473">
            <v>32618.00719</v>
          </cell>
          <cell r="AF1473">
            <v>32916.71572</v>
          </cell>
          <cell r="AG1473">
            <v>33230.928959999997</v>
          </cell>
          <cell r="AH1473">
            <v>33562.331039999997</v>
          </cell>
          <cell r="AI1473">
            <v>33909.798040000001</v>
          </cell>
          <cell r="AJ1473">
            <v>34268.042710000002</v>
          </cell>
          <cell r="AK1473">
            <v>34629.730889999999</v>
          </cell>
          <cell r="AL1473">
            <v>34987.369250000003</v>
          </cell>
          <cell r="AM1473">
            <v>35333.909110000001</v>
          </cell>
          <cell r="AN1473">
            <v>35662.910799999998</v>
          </cell>
          <cell r="AO1473">
            <v>35968.597220000003</v>
          </cell>
        </row>
        <row r="1474">
          <cell r="F1474">
            <v>760.72189260000005</v>
          </cell>
          <cell r="G1474">
            <v>763.81120859999999</v>
          </cell>
          <cell r="H1474">
            <v>769.02654600000005</v>
          </cell>
          <cell r="I1474">
            <v>776.53137530000004</v>
          </cell>
          <cell r="J1474">
            <v>785.98606289999998</v>
          </cell>
          <cell r="K1474">
            <v>797.07750150000004</v>
          </cell>
          <cell r="L1474">
            <v>809.34497710000005</v>
          </cell>
          <cell r="M1474">
            <v>822.29348479999999</v>
          </cell>
          <cell r="N1474">
            <v>835.49272310000003</v>
          </cell>
          <cell r="O1474">
            <v>848.64376919999995</v>
          </cell>
          <cell r="P1474">
            <v>861.20794650000005</v>
          </cell>
          <cell r="Q1474">
            <v>871.34079889999998</v>
          </cell>
          <cell r="R1474">
            <v>878.51045220000003</v>
          </cell>
          <cell r="S1474">
            <v>882.82925690000002</v>
          </cell>
          <cell r="T1474">
            <v>884.80075450000004</v>
          </cell>
          <cell r="U1474">
            <v>885.09649590000004</v>
          </cell>
          <cell r="V1474">
            <v>884.57237929999997</v>
          </cell>
          <cell r="W1474">
            <v>883.98748169999999</v>
          </cell>
          <cell r="X1474">
            <v>883.95153689999995</v>
          </cell>
          <cell r="Y1474">
            <v>884.871264</v>
          </cell>
          <cell r="Z1474">
            <v>886.92691190000005</v>
          </cell>
          <cell r="AA1474">
            <v>890.33525010000005</v>
          </cell>
          <cell r="AB1474">
            <v>895.23120559999995</v>
          </cell>
          <cell r="AC1474">
            <v>901.66525690000003</v>
          </cell>
          <cell r="AD1474">
            <v>909.58132579999995</v>
          </cell>
          <cell r="AE1474">
            <v>918.6651114</v>
          </cell>
          <cell r="AF1474">
            <v>928.49107400000003</v>
          </cell>
          <cell r="AG1474">
            <v>939.06203930000004</v>
          </cell>
          <cell r="AH1474">
            <v>950.43812089999994</v>
          </cell>
          <cell r="AI1474">
            <v>962.5260826</v>
          </cell>
          <cell r="AJ1474">
            <v>975.07412150000005</v>
          </cell>
          <cell r="AK1474">
            <v>987.77131610000004</v>
          </cell>
          <cell r="AL1474">
            <v>1000.3195040000001</v>
          </cell>
          <cell r="AM1474">
            <v>1012.44993</v>
          </cell>
          <cell r="AN1474">
            <v>1023.924614</v>
          </cell>
          <cell r="AO1474">
            <v>1034.5349639999999</v>
          </cell>
        </row>
        <row r="1477">
          <cell r="F1477">
            <v>4367.8907149999995</v>
          </cell>
          <cell r="G1477">
            <v>4397.2788719999999</v>
          </cell>
          <cell r="H1477">
            <v>4443.7585879999997</v>
          </cell>
          <cell r="I1477">
            <v>4503.4872400000004</v>
          </cell>
          <cell r="J1477">
            <v>4572.0999439999996</v>
          </cell>
          <cell r="K1477">
            <v>4647.1052870000003</v>
          </cell>
          <cell r="L1477">
            <v>4726.773784</v>
          </cell>
          <cell r="M1477">
            <v>4809.5284389999997</v>
          </cell>
          <cell r="N1477">
            <v>4893.9515309999997</v>
          </cell>
          <cell r="O1477">
            <v>4979.1354119999996</v>
          </cell>
          <cell r="P1477">
            <v>5062.2477399999998</v>
          </cell>
          <cell r="Q1477">
            <v>5133.0769259999997</v>
          </cell>
          <cell r="R1477">
            <v>5188.928774</v>
          </cell>
          <cell r="S1477">
            <v>5230.7718420000001</v>
          </cell>
          <cell r="T1477">
            <v>5261.6768760000004</v>
          </cell>
          <cell r="U1477">
            <v>5285.4395080000004</v>
          </cell>
          <cell r="V1477">
            <v>5306.2229539999998</v>
          </cell>
          <cell r="W1477">
            <v>5328.0254919999998</v>
          </cell>
          <cell r="X1477">
            <v>5354.0963320000001</v>
          </cell>
          <cell r="Y1477">
            <v>5386.6203429999996</v>
          </cell>
          <cell r="Z1477">
            <v>5426.7809159999997</v>
          </cell>
          <cell r="AA1477">
            <v>5475.6347660000001</v>
          </cell>
          <cell r="AB1477">
            <v>5534.0274890000001</v>
          </cell>
          <cell r="AC1477">
            <v>5602.4561190000004</v>
          </cell>
          <cell r="AD1477">
            <v>5680.8737680000004</v>
          </cell>
          <cell r="AE1477">
            <v>5768.3156330000002</v>
          </cell>
          <cell r="AF1477">
            <v>5861.1557679999996</v>
          </cell>
          <cell r="AG1477">
            <v>5957.7694090000005</v>
          </cell>
          <cell r="AH1477">
            <v>6057.8758669999997</v>
          </cell>
          <cell r="AI1477">
            <v>6160.9904239999996</v>
          </cell>
          <cell r="AJ1477">
            <v>6265.9592469999998</v>
          </cell>
          <cell r="AK1477">
            <v>6371.3063490000004</v>
          </cell>
          <cell r="AL1477">
            <v>6475.5665209999997</v>
          </cell>
          <cell r="AM1477">
            <v>6577.3635160000003</v>
          </cell>
          <cell r="AN1477">
            <v>6675.421171</v>
          </cell>
          <cell r="AO1477">
            <v>6768.5623530000003</v>
          </cell>
        </row>
        <row r="1489">
          <cell r="F1489">
            <v>868.15907019999997</v>
          </cell>
          <cell r="G1489">
            <v>872.48399380000001</v>
          </cell>
          <cell r="H1489">
            <v>879.13084079999999</v>
          </cell>
          <cell r="I1489">
            <v>887.51311710000004</v>
          </cell>
          <cell r="J1489">
            <v>897.23500750000005</v>
          </cell>
          <cell r="K1489">
            <v>908.03434010000001</v>
          </cell>
          <cell r="L1489">
            <v>919.44815519999997</v>
          </cell>
          <cell r="M1489">
            <v>931.00857800000006</v>
          </cell>
          <cell r="N1489">
            <v>942.38051399999995</v>
          </cell>
          <cell r="O1489">
            <v>953.37301279999997</v>
          </cell>
          <cell r="P1489">
            <v>963.48006190000001</v>
          </cell>
          <cell r="Q1489">
            <v>970.87582299999997</v>
          </cell>
          <cell r="R1489">
            <v>975.19662679999999</v>
          </cell>
          <cell r="S1489">
            <v>976.74283049999997</v>
          </cell>
          <cell r="T1489">
            <v>976.16866640000001</v>
          </cell>
          <cell r="U1489">
            <v>974.22912759999997</v>
          </cell>
          <cell r="V1489">
            <v>971.80903139999998</v>
          </cell>
          <cell r="W1489">
            <v>969.68777929999999</v>
          </cell>
          <cell r="X1489">
            <v>968.43258449999996</v>
          </cell>
          <cell r="Y1489">
            <v>968.37019380000004</v>
          </cell>
          <cell r="Z1489">
            <v>969.6176835</v>
          </cell>
          <cell r="AA1489">
            <v>972.29243670000005</v>
          </cell>
          <cell r="AB1489">
            <v>976.46274359999995</v>
          </cell>
          <cell r="AC1489">
            <v>982.13086539999995</v>
          </cell>
          <cell r="AD1489">
            <v>989.20095019999997</v>
          </cell>
          <cell r="AE1489">
            <v>997.39070260000005</v>
          </cell>
          <cell r="AF1489">
            <v>1006.396481</v>
          </cell>
          <cell r="AG1489">
            <v>1016.139686</v>
          </cell>
          <cell r="AH1489">
            <v>1026.59889</v>
          </cell>
          <cell r="AI1489">
            <v>1037.6240459999999</v>
          </cell>
          <cell r="AJ1489">
            <v>1048.9317269999999</v>
          </cell>
          <cell r="AK1489">
            <v>1060.2066930000001</v>
          </cell>
          <cell r="AL1489">
            <v>1071.169924</v>
          </cell>
          <cell r="AM1489">
            <v>1081.586978</v>
          </cell>
          <cell r="AN1489">
            <v>1091.262076</v>
          </cell>
          <cell r="AO1489">
            <v>1100.0315579999999</v>
          </cell>
        </row>
        <row r="1494">
          <cell r="F1494">
            <v>21269.633740000001</v>
          </cell>
          <cell r="G1494">
            <v>21360.257140000002</v>
          </cell>
          <cell r="H1494">
            <v>21502.48818</v>
          </cell>
          <cell r="I1494">
            <v>21691.07015</v>
          </cell>
          <cell r="J1494">
            <v>21913.852650000001</v>
          </cell>
          <cell r="K1494">
            <v>22162.459009999999</v>
          </cell>
          <cell r="L1494">
            <v>22426.806519999998</v>
          </cell>
          <cell r="M1494">
            <v>22698.614099999999</v>
          </cell>
          <cell r="N1494">
            <v>22971.44095</v>
          </cell>
          <cell r="O1494">
            <v>23241.294040000001</v>
          </cell>
          <cell r="P1494">
            <v>23500.38278</v>
          </cell>
          <cell r="Q1494">
            <v>23716.916949999999</v>
          </cell>
          <cell r="R1494">
            <v>23879.307799999999</v>
          </cell>
          <cell r="S1494">
            <v>23987.647779999999</v>
          </cell>
          <cell r="T1494">
            <v>24049.642639999998</v>
          </cell>
          <cell r="U1494">
            <v>24076.755560000001</v>
          </cell>
          <cell r="V1494">
            <v>24083.983080000002</v>
          </cell>
          <cell r="W1494">
            <v>24085.6404</v>
          </cell>
          <cell r="X1494">
            <v>24093.348859999998</v>
          </cell>
          <cell r="Y1494">
            <v>24115.161690000001</v>
          </cell>
          <cell r="Z1494">
            <v>24154.922340000001</v>
          </cell>
          <cell r="AA1494">
            <v>24217.441879999998</v>
          </cell>
          <cell r="AB1494">
            <v>24305.94644</v>
          </cell>
          <cell r="AC1494">
            <v>24422.146140000001</v>
          </cell>
          <cell r="AD1494">
            <v>24565.78239</v>
          </cell>
          <cell r="AE1494">
            <v>24731.308700000001</v>
          </cell>
          <cell r="AF1494">
            <v>24912.123220000001</v>
          </cell>
          <cell r="AG1494">
            <v>25106.58899</v>
          </cell>
          <cell r="AH1494">
            <v>25314.994170000002</v>
          </cell>
          <cell r="AI1494">
            <v>25535.761770000001</v>
          </cell>
          <cell r="AJ1494">
            <v>25764.705870000002</v>
          </cell>
          <cell r="AK1494">
            <v>25996.393919999999</v>
          </cell>
          <cell r="AL1494">
            <v>26225.368559999999</v>
          </cell>
          <cell r="AM1494">
            <v>26446.53298</v>
          </cell>
          <cell r="AN1494">
            <v>26655.249169999999</v>
          </cell>
          <cell r="AO1494">
            <v>26847.374070000002</v>
          </cell>
        </row>
        <row r="1497">
          <cell r="F1497">
            <v>17.970377039999999</v>
          </cell>
          <cell r="G1497">
            <v>17.93170143</v>
          </cell>
          <cell r="H1497">
            <v>17.87575481</v>
          </cell>
          <cell r="I1497">
            <v>17.821056930000001</v>
          </cell>
          <cell r="J1497">
            <v>17.80286697</v>
          </cell>
          <cell r="K1497">
            <v>17.832806510000001</v>
          </cell>
          <cell r="L1497">
            <v>17.92474786</v>
          </cell>
          <cell r="M1497">
            <v>18.054541149999999</v>
          </cell>
          <cell r="N1497">
            <v>18.20432516</v>
          </cell>
          <cell r="O1497">
            <v>18.363188950000001</v>
          </cell>
          <cell r="P1497">
            <v>18.520139369999999</v>
          </cell>
          <cell r="Q1497">
            <v>18.629093950000001</v>
          </cell>
          <cell r="R1497">
            <v>18.686572099999999</v>
          </cell>
          <cell r="S1497">
            <v>18.701037830000001</v>
          </cell>
          <cell r="T1497">
            <v>18.684143089999999</v>
          </cell>
          <cell r="U1497">
            <v>18.647387080000001</v>
          </cell>
          <cell r="V1497">
            <v>18.604869019999999</v>
          </cell>
          <cell r="W1497">
            <v>18.572405289999999</v>
          </cell>
          <cell r="X1497">
            <v>18.559324849999999</v>
          </cell>
          <cell r="Y1497">
            <v>18.569544279999999</v>
          </cell>
          <cell r="Z1497">
            <v>18.603409849999998</v>
          </cell>
          <cell r="AA1497">
            <v>18.66124022</v>
          </cell>
          <cell r="AB1497">
            <v>18.743240979999999</v>
          </cell>
          <cell r="AC1497">
            <v>18.8493937</v>
          </cell>
          <cell r="AD1497">
            <v>18.978970499999999</v>
          </cell>
          <cell r="AE1497">
            <v>19.129440769999999</v>
          </cell>
          <cell r="AF1497">
            <v>19.26172321</v>
          </cell>
          <cell r="AG1497">
            <v>19.376085710000002</v>
          </cell>
          <cell r="AH1497">
            <v>19.484370160000001</v>
          </cell>
          <cell r="AI1497">
            <v>19.59457742</v>
          </cell>
          <cell r="AJ1497">
            <v>19.708570300000002</v>
          </cell>
          <cell r="AK1497">
            <v>19.82445749</v>
          </cell>
          <cell r="AL1497">
            <v>19.938880860000001</v>
          </cell>
          <cell r="AM1497">
            <v>20.048077769999999</v>
          </cell>
          <cell r="AN1497">
            <v>20.148345599999999</v>
          </cell>
          <cell r="AO1497">
            <v>20.236251249999999</v>
          </cell>
        </row>
        <row r="1499">
          <cell r="F1499">
            <v>6.6794205279999996</v>
          </cell>
          <cell r="G1499">
            <v>6.6546721560000002</v>
          </cell>
          <cell r="H1499">
            <v>6.6155547019999998</v>
          </cell>
          <cell r="I1499">
            <v>6.5749877210000003</v>
          </cell>
          <cell r="J1499">
            <v>6.5474230459999996</v>
          </cell>
          <cell r="K1499">
            <v>6.5383142530000002</v>
          </cell>
          <cell r="L1499">
            <v>6.5425436189999999</v>
          </cell>
          <cell r="M1499">
            <v>6.5553462439999999</v>
          </cell>
          <cell r="N1499">
            <v>6.5726962640000002</v>
          </cell>
          <cell r="O1499">
            <v>6.5915221949999996</v>
          </cell>
          <cell r="P1499">
            <v>6.6086706919999996</v>
          </cell>
          <cell r="Q1499">
            <v>6.622737839</v>
          </cell>
          <cell r="R1499">
            <v>6.6292342279999996</v>
          </cell>
          <cell r="S1499">
            <v>6.6264940230000002</v>
          </cell>
          <cell r="T1499">
            <v>6.6148971669999996</v>
          </cell>
          <cell r="U1499">
            <v>6.5959007080000003</v>
          </cell>
          <cell r="V1499">
            <v>6.5706844350000004</v>
          </cell>
          <cell r="W1499">
            <v>6.5442225690000004</v>
          </cell>
          <cell r="X1499">
            <v>6.5199190680000001</v>
          </cell>
          <cell r="Y1499">
            <v>6.4994603340000001</v>
          </cell>
          <cell r="Z1499">
            <v>6.4833116730000002</v>
          </cell>
          <cell r="AA1499">
            <v>6.4716843380000002</v>
          </cell>
          <cell r="AB1499">
            <v>6.4646559430000003</v>
          </cell>
          <cell r="AC1499">
            <v>6.4622048660000004</v>
          </cell>
          <cell r="AD1499">
            <v>6.4641268099999998</v>
          </cell>
          <cell r="AE1499">
            <v>6.4697531709999998</v>
          </cell>
          <cell r="AF1499">
            <v>6.4774597380000003</v>
          </cell>
          <cell r="AG1499">
            <v>6.4869569130000002</v>
          </cell>
          <cell r="AH1499">
            <v>6.4984112239999998</v>
          </cell>
          <cell r="AI1499">
            <v>6.511667879</v>
          </cell>
          <cell r="AJ1499">
            <v>6.5260813239999997</v>
          </cell>
          <cell r="AK1499">
            <v>6.5407400149999999</v>
          </cell>
          <cell r="AL1499">
            <v>6.5546753339999997</v>
          </cell>
          <cell r="AM1499">
            <v>6.5669223209999998</v>
          </cell>
          <cell r="AN1499">
            <v>6.5765380750000002</v>
          </cell>
          <cell r="AO1499">
            <v>6.5826223380000002</v>
          </cell>
        </row>
        <row r="1501">
          <cell r="F1501">
            <v>0.71845958980000002</v>
          </cell>
          <cell r="G1501">
            <v>0.71656204349999997</v>
          </cell>
          <cell r="H1501">
            <v>0.71473141240000004</v>
          </cell>
          <cell r="I1501">
            <v>0.71287059600000002</v>
          </cell>
          <cell r="J1501">
            <v>0.71292586059999996</v>
          </cell>
          <cell r="K1501">
            <v>0.71525603999999998</v>
          </cell>
          <cell r="L1501">
            <v>0.72640264779999997</v>
          </cell>
          <cell r="M1501">
            <v>0.74308201809999996</v>
          </cell>
          <cell r="N1501">
            <v>0.76300493430000005</v>
          </cell>
          <cell r="O1501">
            <v>0.78499684859999996</v>
          </cell>
          <cell r="P1501">
            <v>0.8083380791</v>
          </cell>
          <cell r="Q1501">
            <v>0.82353619690000002</v>
          </cell>
          <cell r="R1501">
            <v>0.83222036249999998</v>
          </cell>
          <cell r="S1501">
            <v>0.83689804069999996</v>
          </cell>
          <cell r="T1501">
            <v>0.83951822269999998</v>
          </cell>
          <cell r="U1501">
            <v>0.84143247889999995</v>
          </cell>
          <cell r="V1501">
            <v>0.84451680269999996</v>
          </cell>
          <cell r="W1501">
            <v>0.84961924899999997</v>
          </cell>
          <cell r="X1501">
            <v>0.85699018969999996</v>
          </cell>
          <cell r="Y1501">
            <v>0.86662736259999995</v>
          </cell>
          <cell r="Z1501">
            <v>0.87840314860000002</v>
          </cell>
          <cell r="AA1501">
            <v>0.89232488600000004</v>
          </cell>
          <cell r="AB1501">
            <v>0.90843348899999998</v>
          </cell>
          <cell r="AC1501">
            <v>0.92679232460000005</v>
          </cell>
          <cell r="AD1501">
            <v>0.94745158149999997</v>
          </cell>
          <cell r="AE1501">
            <v>0.9703155108</v>
          </cell>
          <cell r="AF1501">
            <v>0.98743799880000005</v>
          </cell>
          <cell r="AG1501">
            <v>0.99889894450000005</v>
          </cell>
          <cell r="AH1501">
            <v>1.007345849</v>
          </cell>
          <cell r="AI1501">
            <v>1.014862653</v>
          </cell>
          <cell r="AJ1501">
            <v>1.022454634</v>
          </cell>
          <cell r="AK1501">
            <v>1.030377359</v>
          </cell>
          <cell r="AL1501">
            <v>1.0385108080000001</v>
          </cell>
          <cell r="AM1501">
            <v>1.0465858100000001</v>
          </cell>
          <cell r="AN1501">
            <v>1.0543026710000001</v>
          </cell>
          <cell r="AO1501">
            <v>1.06138584</v>
          </cell>
        </row>
        <row r="1502">
          <cell r="F1502">
            <v>87.053586490000001</v>
          </cell>
          <cell r="G1502">
            <v>87.400878329999998</v>
          </cell>
          <cell r="H1502">
            <v>87.790184670000002</v>
          </cell>
          <cell r="I1502">
            <v>88.252978529999993</v>
          </cell>
          <cell r="J1502">
            <v>88.672463989999997</v>
          </cell>
          <cell r="K1502">
            <v>89.065771130000002</v>
          </cell>
          <cell r="L1502">
            <v>90.864442780000005</v>
          </cell>
          <cell r="M1502">
            <v>93.876039349999999</v>
          </cell>
          <cell r="N1502">
            <v>97.827961999999999</v>
          </cell>
          <cell r="O1502">
            <v>102.4412641</v>
          </cell>
          <cell r="P1502">
            <v>107.4488861</v>
          </cell>
          <cell r="Q1502">
            <v>111.8665675</v>
          </cell>
          <cell r="R1502">
            <v>115.47202780000001</v>
          </cell>
          <cell r="S1502">
            <v>118.54042990000001</v>
          </cell>
          <cell r="T1502">
            <v>121.36380819999999</v>
          </cell>
          <cell r="U1502">
            <v>124.16835159999999</v>
          </cell>
          <cell r="V1502">
            <v>127.2483367</v>
          </cell>
          <cell r="W1502">
            <v>130.71103859999999</v>
          </cell>
          <cell r="X1502">
            <v>134.64346309999999</v>
          </cell>
          <cell r="Y1502">
            <v>139.1261226</v>
          </cell>
          <cell r="Z1502">
            <v>144.2329843</v>
          </cell>
          <cell r="AA1502">
            <v>150.06969549999999</v>
          </cell>
          <cell r="AB1502">
            <v>156.75340159999999</v>
          </cell>
          <cell r="AC1502">
            <v>164.413251</v>
          </cell>
          <cell r="AD1502">
            <v>173.1877442</v>
          </cell>
          <cell r="AE1502">
            <v>183.19760669999999</v>
          </cell>
          <cell r="AF1502">
            <v>189.28745699999999</v>
          </cell>
          <cell r="AG1502">
            <v>191.992749</v>
          </cell>
          <cell r="AH1502">
            <v>192.9396198</v>
          </cell>
          <cell r="AI1502">
            <v>193.3011338</v>
          </cell>
          <cell r="AJ1502">
            <v>193.663174</v>
          </cell>
          <cell r="AK1502">
            <v>194.2281515</v>
          </cell>
          <cell r="AL1502">
            <v>195.00585960000001</v>
          </cell>
          <cell r="AM1502">
            <v>195.92763149999999</v>
          </cell>
          <cell r="AN1502">
            <v>196.90541669999999</v>
          </cell>
          <cell r="AO1502">
            <v>197.85803050000001</v>
          </cell>
        </row>
        <row r="1512">
          <cell r="F1512">
            <v>1966068.348</v>
          </cell>
          <cell r="G1512">
            <v>2002095.1569999999</v>
          </cell>
          <cell r="H1512">
            <v>2041583.284</v>
          </cell>
          <cell r="I1512">
            <v>2084846.263</v>
          </cell>
          <cell r="J1512">
            <v>2131129.665</v>
          </cell>
          <cell r="K1512">
            <v>2180235.781</v>
          </cell>
          <cell r="L1512">
            <v>2231210.8640000001</v>
          </cell>
          <cell r="M1512">
            <v>2277319.8530000001</v>
          </cell>
          <cell r="N1512">
            <v>2325183.4139999999</v>
          </cell>
          <cell r="O1512">
            <v>2383643.264</v>
          </cell>
          <cell r="P1512">
            <v>2442611.5720000002</v>
          </cell>
          <cell r="Q1512">
            <v>2493795.0759999999</v>
          </cell>
          <cell r="R1512">
            <v>2539298.446</v>
          </cell>
          <cell r="S1512">
            <v>2580687.9509999999</v>
          </cell>
          <cell r="T1512">
            <v>2619913.5589999999</v>
          </cell>
          <cell r="U1512">
            <v>2658245.2829999998</v>
          </cell>
          <cell r="V1512">
            <v>2696184.9530000002</v>
          </cell>
          <cell r="W1512">
            <v>2735163.7050000001</v>
          </cell>
          <cell r="X1512">
            <v>2776105.1690000002</v>
          </cell>
          <cell r="Y1512">
            <v>2819581.2850000001</v>
          </cell>
          <cell r="Z1512">
            <v>2865751.375</v>
          </cell>
          <cell r="AA1512">
            <v>2915298.1430000002</v>
          </cell>
          <cell r="AB1512">
            <v>2968799.8480000002</v>
          </cell>
          <cell r="AC1512">
            <v>3026590.0750000002</v>
          </cell>
          <cell r="AD1512">
            <v>3088725.3670000001</v>
          </cell>
          <cell r="AE1512">
            <v>3154300.2069999999</v>
          </cell>
          <cell r="AF1512">
            <v>3224605.6609999998</v>
          </cell>
          <cell r="AG1512">
            <v>3299150.1910000001</v>
          </cell>
          <cell r="AH1512">
            <v>3377943.6349999998</v>
          </cell>
          <cell r="AI1512">
            <v>3460613.9989999998</v>
          </cell>
          <cell r="AJ1512">
            <v>3546529.8390000002</v>
          </cell>
          <cell r="AK1512">
            <v>3634986.1510000001</v>
          </cell>
          <cell r="AL1512">
            <v>3725574.3810000001</v>
          </cell>
          <cell r="AM1512">
            <v>3817819.966</v>
          </cell>
          <cell r="AN1512">
            <v>3911215.4679999999</v>
          </cell>
          <cell r="AO1512">
            <v>4005227.392</v>
          </cell>
        </row>
        <row r="1513">
          <cell r="F1513">
            <v>36093.471129999998</v>
          </cell>
          <cell r="G1513">
            <v>36606.043689999999</v>
          </cell>
          <cell r="H1513">
            <v>37209.220630000003</v>
          </cell>
          <cell r="I1513">
            <v>37907.741439999998</v>
          </cell>
          <cell r="J1513">
            <v>38701.380259999998</v>
          </cell>
          <cell r="K1513">
            <v>39575.106310000003</v>
          </cell>
          <cell r="L1513">
            <v>40535.082690000003</v>
          </cell>
          <cell r="M1513">
            <v>41353.543369999999</v>
          </cell>
          <cell r="N1513">
            <v>42210.659229999997</v>
          </cell>
          <cell r="O1513">
            <v>43298.231339999998</v>
          </cell>
          <cell r="P1513">
            <v>44363.201630000003</v>
          </cell>
          <cell r="Q1513">
            <v>45254.013279999999</v>
          </cell>
          <cell r="R1513">
            <v>46027.328079999999</v>
          </cell>
          <cell r="S1513">
            <v>46720.91042</v>
          </cell>
          <cell r="T1513">
            <v>47377.163280000001</v>
          </cell>
          <cell r="U1513">
            <v>48021.950550000001</v>
          </cell>
          <cell r="V1513">
            <v>48685.596590000001</v>
          </cell>
          <cell r="W1513">
            <v>49378.241499999996</v>
          </cell>
          <cell r="X1513">
            <v>50118.192210000001</v>
          </cell>
          <cell r="Y1513">
            <v>50917.082869999998</v>
          </cell>
          <cell r="Z1513">
            <v>51778.848879999998</v>
          </cell>
          <cell r="AA1513">
            <v>52723.281170000002</v>
          </cell>
          <cell r="AB1513">
            <v>53764.195240000001</v>
          </cell>
          <cell r="AC1513">
            <v>54910.08582</v>
          </cell>
          <cell r="AD1513">
            <v>56163.462959999997</v>
          </cell>
          <cell r="AE1513">
            <v>57502.1702</v>
          </cell>
          <cell r="AF1513">
            <v>58779.606290000003</v>
          </cell>
          <cell r="AG1513">
            <v>60113.310319999997</v>
          </cell>
          <cell r="AH1513">
            <v>61538.931349999999</v>
          </cell>
          <cell r="AI1513">
            <v>63054.198920000003</v>
          </cell>
          <cell r="AJ1513">
            <v>64642.957150000002</v>
          </cell>
          <cell r="AK1513">
            <v>66285.485310000004</v>
          </cell>
          <cell r="AL1513">
            <v>67969.614539999995</v>
          </cell>
          <cell r="AM1513">
            <v>69681.546820000003</v>
          </cell>
          <cell r="AN1513">
            <v>71406.884999999995</v>
          </cell>
          <cell r="AO1513">
            <v>73131.113379999995</v>
          </cell>
        </row>
        <row r="1516">
          <cell r="F1516">
            <v>331632.60889999999</v>
          </cell>
          <cell r="G1516">
            <v>339679.97759999998</v>
          </cell>
          <cell r="H1516">
            <v>348003.6716</v>
          </cell>
          <cell r="I1516">
            <v>356886.93180000002</v>
          </cell>
          <cell r="J1516">
            <v>366290.91580000002</v>
          </cell>
          <cell r="K1516">
            <v>376180.22110000002</v>
          </cell>
          <cell r="L1516">
            <v>386547.50910000002</v>
          </cell>
          <cell r="M1516">
            <v>395216.22249999997</v>
          </cell>
          <cell r="N1516">
            <v>404597.63429999998</v>
          </cell>
          <cell r="O1516">
            <v>416938.05330000003</v>
          </cell>
          <cell r="P1516">
            <v>428743.95480000001</v>
          </cell>
          <cell r="Q1516">
            <v>438618.57919999998</v>
          </cell>
          <cell r="R1516">
            <v>447379.59379999997</v>
          </cell>
          <cell r="S1516">
            <v>455515.7255</v>
          </cell>
          <cell r="T1516">
            <v>463556.75870000001</v>
          </cell>
          <cell r="U1516">
            <v>471761.22859999997</v>
          </cell>
          <cell r="V1516">
            <v>480138.32069999998</v>
          </cell>
          <cell r="W1516">
            <v>489019.38150000002</v>
          </cell>
          <cell r="X1516">
            <v>498581.6249</v>
          </cell>
          <cell r="Y1516">
            <v>508932.14020000002</v>
          </cell>
          <cell r="Z1516">
            <v>520107.50949999999</v>
          </cell>
          <cell r="AA1516">
            <v>532274.50840000005</v>
          </cell>
          <cell r="AB1516">
            <v>545547.06409999996</v>
          </cell>
          <cell r="AC1516">
            <v>559995.28319999995</v>
          </cell>
          <cell r="AD1516">
            <v>575628.7378</v>
          </cell>
          <cell r="AE1516">
            <v>592342.6483</v>
          </cell>
          <cell r="AF1516">
            <v>609742.00670000003</v>
          </cell>
          <cell r="AG1516">
            <v>627982.37639999995</v>
          </cell>
          <cell r="AH1516">
            <v>647187.01040000003</v>
          </cell>
          <cell r="AI1516">
            <v>667274.34959999996</v>
          </cell>
          <cell r="AJ1516">
            <v>688082.72450000001</v>
          </cell>
          <cell r="AK1516">
            <v>709484.55240000004</v>
          </cell>
          <cell r="AL1516">
            <v>731380.17559999996</v>
          </cell>
          <cell r="AM1516">
            <v>753660.60499999998</v>
          </cell>
          <cell r="AN1516">
            <v>776209.93059999996</v>
          </cell>
          <cell r="AO1516">
            <v>798904.6531</v>
          </cell>
        </row>
        <row r="1528">
          <cell r="F1528">
            <v>48465.392570000004</v>
          </cell>
          <cell r="G1528">
            <v>49489.280590000002</v>
          </cell>
          <cell r="H1528">
            <v>50531.9035</v>
          </cell>
          <cell r="I1528">
            <v>51637.402699999999</v>
          </cell>
          <cell r="J1528">
            <v>52826.663209999999</v>
          </cell>
          <cell r="K1528">
            <v>54098.030100000004</v>
          </cell>
          <cell r="L1528">
            <v>55436.220809999999</v>
          </cell>
          <cell r="M1528">
            <v>56485.204239999999</v>
          </cell>
          <cell r="N1528">
            <v>57538.182630000003</v>
          </cell>
          <cell r="O1528">
            <v>58858.319839999996</v>
          </cell>
          <cell r="P1528">
            <v>59965.715349999999</v>
          </cell>
          <cell r="Q1528">
            <v>60785.168030000001</v>
          </cell>
          <cell r="R1528">
            <v>61460.095249999998</v>
          </cell>
          <cell r="S1528">
            <v>62052.845979999998</v>
          </cell>
          <cell r="T1528">
            <v>62622.304100000001</v>
          </cell>
          <cell r="U1528">
            <v>63194.309869999997</v>
          </cell>
          <cell r="V1528">
            <v>63767.552280000004</v>
          </cell>
          <cell r="W1528">
            <v>64364.49755</v>
          </cell>
          <cell r="X1528">
            <v>65013.92095</v>
          </cell>
          <cell r="Y1528">
            <v>65744.122610000006</v>
          </cell>
          <cell r="Z1528">
            <v>66560.784499999994</v>
          </cell>
          <cell r="AA1528">
            <v>67501.839550000004</v>
          </cell>
          <cell r="AB1528">
            <v>68583.743600000002</v>
          </cell>
          <cell r="AC1528">
            <v>69812.093630000003</v>
          </cell>
          <cell r="AD1528">
            <v>71184.24914</v>
          </cell>
          <cell r="AE1528">
            <v>72679.299039999998</v>
          </cell>
          <cell r="AF1528">
            <v>74300.618440000006</v>
          </cell>
          <cell r="AG1528">
            <v>76069.341339999999</v>
          </cell>
          <cell r="AH1528">
            <v>77992.862099999998</v>
          </cell>
          <cell r="AI1528">
            <v>80055.26685</v>
          </cell>
          <cell r="AJ1528">
            <v>82232.285180000006</v>
          </cell>
          <cell r="AK1528">
            <v>84508.684559999994</v>
          </cell>
          <cell r="AL1528">
            <v>86869.160600000003</v>
          </cell>
          <cell r="AM1528">
            <v>89294.559670000002</v>
          </cell>
          <cell r="AN1528">
            <v>91764.162880000003</v>
          </cell>
          <cell r="AO1528">
            <v>94256.393179999999</v>
          </cell>
        </row>
        <row r="1533">
          <cell r="F1533">
            <v>1511265.9580000001</v>
          </cell>
          <cell r="G1533">
            <v>1537087.466</v>
          </cell>
          <cell r="H1533">
            <v>1566001.192</v>
          </cell>
          <cell r="I1533">
            <v>1597914.9620000001</v>
          </cell>
          <cell r="J1533">
            <v>1632200.128</v>
          </cell>
          <cell r="K1533">
            <v>1668652.1170000001</v>
          </cell>
          <cell r="L1533">
            <v>1706944.8529999999</v>
          </cell>
          <cell r="M1533">
            <v>1742666.0279999999</v>
          </cell>
          <cell r="N1533">
            <v>1779422.8689999999</v>
          </cell>
          <cell r="O1533">
            <v>1823170.274</v>
          </cell>
          <cell r="P1533">
            <v>1868248.969</v>
          </cell>
          <cell r="Q1533">
            <v>1908210.5209999999</v>
          </cell>
          <cell r="R1533">
            <v>1944071.7849999999</v>
          </cell>
          <cell r="S1533">
            <v>1976768.882</v>
          </cell>
          <cell r="T1533">
            <v>2007576.0109999999</v>
          </cell>
          <cell r="U1533">
            <v>2037436.0619999999</v>
          </cell>
          <cell r="V1533">
            <v>2066820.311</v>
          </cell>
          <cell r="W1533">
            <v>2096782.1869999999</v>
          </cell>
          <cell r="X1533">
            <v>2128034.4789999998</v>
          </cell>
          <cell r="Y1533">
            <v>2161047.7629999998</v>
          </cell>
          <cell r="Z1533">
            <v>2195947.3990000002</v>
          </cell>
          <cell r="AA1533">
            <v>2233188.906</v>
          </cell>
          <cell r="AB1533">
            <v>2273205.4210000001</v>
          </cell>
          <cell r="AC1533">
            <v>2316283.7340000002</v>
          </cell>
          <cell r="AD1533">
            <v>2362529.0099999998</v>
          </cell>
          <cell r="AE1533">
            <v>2411268.1880000001</v>
          </cell>
          <cell r="AF1533">
            <v>2461904.6239999998</v>
          </cell>
          <cell r="AG1533">
            <v>2515002.2140000002</v>
          </cell>
          <cell r="AH1533">
            <v>2570997.486</v>
          </cell>
          <cell r="AI1533">
            <v>2629807.2239999999</v>
          </cell>
          <cell r="AJ1533">
            <v>2691048.7850000001</v>
          </cell>
          <cell r="AK1533">
            <v>2754182.9049999998</v>
          </cell>
          <cell r="AL1533">
            <v>2818905.5329999998</v>
          </cell>
          <cell r="AM1533">
            <v>2884868.7259999998</v>
          </cell>
          <cell r="AN1533">
            <v>2951703.4309999999</v>
          </cell>
          <cell r="AO1533">
            <v>3019024.7390000001</v>
          </cell>
        </row>
        <row r="1537">
          <cell r="F1537">
            <v>-2125.2218440000001</v>
          </cell>
          <cell r="G1537">
            <v>-2143.3584350000001</v>
          </cell>
          <cell r="H1537">
            <v>-2161.2339630000001</v>
          </cell>
          <cell r="I1537">
            <v>-2180.1434570000001</v>
          </cell>
          <cell r="J1537">
            <v>-2199.4566129999998</v>
          </cell>
          <cell r="K1537">
            <v>-2228.1486620000001</v>
          </cell>
          <cell r="L1537">
            <v>-2264.937285</v>
          </cell>
          <cell r="M1537">
            <v>-2316.188967</v>
          </cell>
          <cell r="N1537">
            <v>-2354.6655609999998</v>
          </cell>
          <cell r="O1537">
            <v>-2380.1626419999998</v>
          </cell>
          <cell r="P1537">
            <v>-2414.3273170000002</v>
          </cell>
          <cell r="Q1537">
            <v>-2432.121623</v>
          </cell>
          <cell r="R1537">
            <v>-2444.5129659999998</v>
          </cell>
          <cell r="S1537">
            <v>-2454.2745450000002</v>
          </cell>
          <cell r="T1537">
            <v>-2463.276977</v>
          </cell>
          <cell r="U1537">
            <v>-2473.656536</v>
          </cell>
          <cell r="V1537">
            <v>-2489.5753949999998</v>
          </cell>
          <cell r="W1537">
            <v>-2494.7353170000001</v>
          </cell>
          <cell r="X1537">
            <v>-2503.0576209999999</v>
          </cell>
          <cell r="Y1537">
            <v>-2509.2777329999999</v>
          </cell>
          <cell r="Z1537">
            <v>-2485.9915900000001</v>
          </cell>
          <cell r="AA1537">
            <v>-2462.0588120000002</v>
          </cell>
          <cell r="AB1537">
            <v>-2439.4099980000001</v>
          </cell>
          <cell r="AC1537">
            <v>-2417.47595</v>
          </cell>
          <cell r="AD1537">
            <v>-2395.7321179999999</v>
          </cell>
          <cell r="AE1537">
            <v>-2373.7429529999999</v>
          </cell>
          <cell r="AF1537">
            <v>-2351.9549619999998</v>
          </cell>
          <cell r="AG1537">
            <v>-2324.0328020000002</v>
          </cell>
          <cell r="AH1537">
            <v>-2293.360956</v>
          </cell>
          <cell r="AI1537">
            <v>-2262.825519</v>
          </cell>
          <cell r="AJ1537">
            <v>-2233.1797769999998</v>
          </cell>
          <cell r="AK1537">
            <v>-2204.2032300000001</v>
          </cell>
          <cell r="AL1537">
            <v>-2176.3473159999999</v>
          </cell>
          <cell r="AM1537">
            <v>-2150.1537290000001</v>
          </cell>
          <cell r="AN1537">
            <v>-2126.2477640000002</v>
          </cell>
          <cell r="AO1537">
            <v>-2105.2602769999999</v>
          </cell>
        </row>
        <row r="1538">
          <cell r="F1538">
            <v>-612.35718799999995</v>
          </cell>
          <cell r="G1538">
            <v>-616.73057010000002</v>
          </cell>
          <cell r="H1538">
            <v>-618.83694639999999</v>
          </cell>
          <cell r="I1538">
            <v>-621.09058419999997</v>
          </cell>
          <cell r="J1538">
            <v>-624.86686970000005</v>
          </cell>
          <cell r="K1538">
            <v>-631.04317289999995</v>
          </cell>
          <cell r="L1538">
            <v>-639.07934039999998</v>
          </cell>
          <cell r="M1538">
            <v>-647.10295559999997</v>
          </cell>
          <cell r="N1538">
            <v>-653.18400799999995</v>
          </cell>
          <cell r="O1538">
            <v>-657.73727250000002</v>
          </cell>
          <cell r="P1538">
            <v>-660.86380140000006</v>
          </cell>
          <cell r="Q1538">
            <v>-662.85878449999996</v>
          </cell>
          <cell r="R1538">
            <v>-665.57921469999997</v>
          </cell>
          <cell r="S1538">
            <v>-668.62285589999999</v>
          </cell>
          <cell r="T1538">
            <v>-671.77072910000004</v>
          </cell>
          <cell r="U1538">
            <v>-674.91439230000003</v>
          </cell>
          <cell r="V1538">
            <v>-677.71695539999996</v>
          </cell>
          <cell r="W1538">
            <v>-679.917058</v>
          </cell>
          <cell r="X1538">
            <v>-694.90595599999995</v>
          </cell>
          <cell r="Y1538">
            <v>-767.33263669999997</v>
          </cell>
          <cell r="Z1538">
            <v>-924.78947230000006</v>
          </cell>
          <cell r="AA1538">
            <v>-1113.098661</v>
          </cell>
          <cell r="AB1538">
            <v>-1327.095403</v>
          </cell>
          <cell r="AC1538">
            <v>-1568.2922140000001</v>
          </cell>
          <cell r="AD1538">
            <v>-1838.7385200000001</v>
          </cell>
          <cell r="AE1538">
            <v>-2139.8868170000001</v>
          </cell>
          <cell r="AF1538">
            <v>-2472.1716459999998</v>
          </cell>
          <cell r="AG1538">
            <v>-2835.1900799999999</v>
          </cell>
          <cell r="AH1538">
            <v>-3227.9234459999998</v>
          </cell>
          <cell r="AI1538">
            <v>-3648.0481930000001</v>
          </cell>
          <cell r="AJ1538">
            <v>-4091.7362739999999</v>
          </cell>
          <cell r="AK1538">
            <v>-4554.0851339999999</v>
          </cell>
          <cell r="AL1538">
            <v>-5029.5991379999996</v>
          </cell>
          <cell r="AM1538">
            <v>-5512.0852320000004</v>
          </cell>
          <cell r="AN1538">
            <v>-5995.1738340000002</v>
          </cell>
          <cell r="AO1538">
            <v>-6472.7530859999997</v>
          </cell>
        </row>
        <row r="1540">
          <cell r="F1540">
            <v>492.95896809999999</v>
          </cell>
          <cell r="G1540">
            <v>496.4139194</v>
          </cell>
          <cell r="H1540">
            <v>500.67526650000002</v>
          </cell>
          <cell r="I1540">
            <v>504.7641835</v>
          </cell>
          <cell r="J1540">
            <v>511.24136220000003</v>
          </cell>
          <cell r="K1540">
            <v>519.39126539999995</v>
          </cell>
          <cell r="L1540">
            <v>539.92111320000004</v>
          </cell>
          <cell r="M1540">
            <v>558.38987469999995</v>
          </cell>
          <cell r="N1540">
            <v>575.53398489999995</v>
          </cell>
          <cell r="O1540">
            <v>593.65198190000001</v>
          </cell>
          <cell r="P1540">
            <v>645.46963779999999</v>
          </cell>
          <cell r="Q1540">
            <v>691.30964070000005</v>
          </cell>
          <cell r="R1540">
            <v>738.48254919999999</v>
          </cell>
          <cell r="S1540">
            <v>788.25242960000003</v>
          </cell>
          <cell r="T1540">
            <v>841.08890020000001</v>
          </cell>
          <cell r="U1540">
            <v>897.12280969999995</v>
          </cell>
          <cell r="V1540">
            <v>1035.298102</v>
          </cell>
          <cell r="W1540">
            <v>1187.8322169999999</v>
          </cell>
          <cell r="X1540">
            <v>1354.874568</v>
          </cell>
          <cell r="Y1540">
            <v>1534.5568249999999</v>
          </cell>
          <cell r="Z1540">
            <v>1724.805638</v>
          </cell>
          <cell r="AA1540">
            <v>1923.1233500000001</v>
          </cell>
          <cell r="AB1540">
            <v>2125.591242</v>
          </cell>
          <cell r="AC1540">
            <v>2327.5215910000002</v>
          </cell>
          <cell r="AD1540">
            <v>2523.5344169999998</v>
          </cell>
          <cell r="AE1540">
            <v>2707.3038550000001</v>
          </cell>
          <cell r="AF1540">
            <v>2833.3843430000002</v>
          </cell>
          <cell r="AG1540">
            <v>2917.0718350000002</v>
          </cell>
          <cell r="AH1540">
            <v>2967.7584189999998</v>
          </cell>
          <cell r="AI1540">
            <v>2988.1753739999999</v>
          </cell>
          <cell r="AJ1540">
            <v>2979.5865829999998</v>
          </cell>
          <cell r="AK1540">
            <v>2944.516869</v>
          </cell>
          <cell r="AL1540">
            <v>2886.2548550000001</v>
          </cell>
          <cell r="AM1540">
            <v>2808.7650159999998</v>
          </cell>
          <cell r="AN1540">
            <v>2716.1428529999998</v>
          </cell>
          <cell r="AO1540">
            <v>2612.2645240000002</v>
          </cell>
        </row>
        <row r="1541">
          <cell r="F1541">
            <v>40646.551729999999</v>
          </cell>
          <cell r="G1541">
            <v>41285.607640000002</v>
          </cell>
          <cell r="H1541">
            <v>41904.395360000002</v>
          </cell>
          <cell r="I1541">
            <v>42581.66214</v>
          </cell>
          <cell r="J1541">
            <v>43206.816919999997</v>
          </cell>
          <cell r="K1541">
            <v>43849.774389999999</v>
          </cell>
          <cell r="L1541">
            <v>43881.952019999997</v>
          </cell>
          <cell r="M1541">
            <v>43766.723989999999</v>
          </cell>
          <cell r="N1541">
            <v>43602.206209999997</v>
          </cell>
          <cell r="O1541">
            <v>43570.803070000002</v>
          </cell>
          <cell r="P1541">
            <v>43464.427479999998</v>
          </cell>
          <cell r="Q1541">
            <v>43075.659590000003</v>
          </cell>
          <cell r="R1541">
            <v>42476.900159999997</v>
          </cell>
          <cell r="S1541">
            <v>41710.277600000001</v>
          </cell>
          <cell r="T1541">
            <v>40821.540260000002</v>
          </cell>
          <cell r="U1541">
            <v>39829.41012</v>
          </cell>
          <cell r="V1541">
            <v>38660.348689999999</v>
          </cell>
          <cell r="W1541">
            <v>37370.59072</v>
          </cell>
          <cell r="X1541">
            <v>35974.355230000001</v>
          </cell>
          <cell r="Y1541">
            <v>34467.135540000003</v>
          </cell>
          <cell r="Z1541">
            <v>32838.529519999996</v>
          </cell>
          <cell r="AA1541">
            <v>31067.853640000001</v>
          </cell>
          <cell r="AB1541">
            <v>29156.18504</v>
          </cell>
          <cell r="AC1541">
            <v>27071.16921</v>
          </cell>
          <cell r="AD1541">
            <v>24761.065480000001</v>
          </cell>
          <cell r="AE1541">
            <v>22148.108840000001</v>
          </cell>
          <cell r="AF1541">
            <v>21706.538690000001</v>
          </cell>
          <cell r="AG1541">
            <v>22062.72709</v>
          </cell>
          <cell r="AH1541">
            <v>22616.00878</v>
          </cell>
          <cell r="AI1541">
            <v>23175.23806</v>
          </cell>
          <cell r="AJ1541">
            <v>23689.6963</v>
          </cell>
          <cell r="AK1541">
            <v>24148.926070000001</v>
          </cell>
          <cell r="AL1541">
            <v>24567.6669</v>
          </cell>
          <cell r="AM1541">
            <v>24952.063750000001</v>
          </cell>
          <cell r="AN1541">
            <v>25305.325540000002</v>
          </cell>
          <cell r="AO1541">
            <v>25629.478070000001</v>
          </cell>
        </row>
        <row r="1551">
          <cell r="F1551">
            <v>1966068.348</v>
          </cell>
          <cell r="G1551">
            <v>2002095.1569999999</v>
          </cell>
          <cell r="H1551">
            <v>2041583.284</v>
          </cell>
          <cell r="I1551">
            <v>2084846.263</v>
          </cell>
          <cell r="J1551">
            <v>2131129.665</v>
          </cell>
          <cell r="K1551">
            <v>2180235.781</v>
          </cell>
          <cell r="L1551">
            <v>2230715.0249999999</v>
          </cell>
          <cell r="M1551">
            <v>2282506.7880000002</v>
          </cell>
          <cell r="N1551">
            <v>2335428.0690000001</v>
          </cell>
          <cell r="O1551">
            <v>2389422.3790000002</v>
          </cell>
          <cell r="P1551">
            <v>2443096.39</v>
          </cell>
          <cell r="Q1551">
            <v>2490722.298</v>
          </cell>
          <cell r="R1551">
            <v>2533950.736</v>
          </cell>
          <cell r="S1551">
            <v>2573636.8450000002</v>
          </cell>
          <cell r="T1551">
            <v>2610941.9350000001</v>
          </cell>
          <cell r="U1551">
            <v>2647018.3429999999</v>
          </cell>
          <cell r="V1551">
            <v>2683567.716</v>
          </cell>
          <cell r="W1551">
            <v>2721824.148</v>
          </cell>
          <cell r="X1551">
            <v>2762644.9789999998</v>
          </cell>
          <cell r="Y1551">
            <v>2806512.9040000001</v>
          </cell>
          <cell r="Z1551">
            <v>2853526.8330000001</v>
          </cell>
          <cell r="AA1551">
            <v>2904489.7740000002</v>
          </cell>
          <cell r="AB1551">
            <v>2959788.682</v>
          </cell>
          <cell r="AC1551">
            <v>3019657.4730000002</v>
          </cell>
          <cell r="AD1551">
            <v>3084041.963</v>
          </cell>
          <cell r="AE1551">
            <v>3151935.74</v>
          </cell>
          <cell r="AF1551">
            <v>3224760.8870000001</v>
          </cell>
          <cell r="AG1551">
            <v>3301991.5070000002</v>
          </cell>
          <cell r="AH1551">
            <v>3383489.642</v>
          </cell>
          <cell r="AI1551">
            <v>3468725.7030000002</v>
          </cell>
          <cell r="AJ1551">
            <v>3556937.2760000001</v>
          </cell>
          <cell r="AK1551">
            <v>3647465.9840000002</v>
          </cell>
          <cell r="AL1551">
            <v>3739780.949</v>
          </cell>
          <cell r="AM1551">
            <v>3833373.02</v>
          </cell>
          <cell r="AN1551">
            <v>3927735.0320000001</v>
          </cell>
          <cell r="AO1551">
            <v>4022352.7370000002</v>
          </cell>
        </row>
        <row r="1552">
          <cell r="F1552">
            <v>36093.471129999998</v>
          </cell>
          <cell r="G1552">
            <v>36606.043689999999</v>
          </cell>
          <cell r="H1552">
            <v>37209.220630000003</v>
          </cell>
          <cell r="I1552">
            <v>37907.741439999998</v>
          </cell>
          <cell r="J1552">
            <v>38701.380250000002</v>
          </cell>
          <cell r="K1552">
            <v>39575.106310000003</v>
          </cell>
          <cell r="L1552">
            <v>40524.638509999997</v>
          </cell>
          <cell r="M1552">
            <v>41517.113279999998</v>
          </cell>
          <cell r="N1552">
            <v>42541.372049999998</v>
          </cell>
          <cell r="O1552">
            <v>43592.00733</v>
          </cell>
          <cell r="P1552">
            <v>44635.209150000002</v>
          </cell>
          <cell r="Q1552">
            <v>45523.326480000003</v>
          </cell>
          <cell r="R1552">
            <v>46310.324330000003</v>
          </cell>
          <cell r="S1552">
            <v>47019.318829999997</v>
          </cell>
          <cell r="T1552">
            <v>47677.62846</v>
          </cell>
          <cell r="U1552">
            <v>48311.748370000001</v>
          </cell>
          <cell r="V1552">
            <v>48976.945330000002</v>
          </cell>
          <cell r="W1552">
            <v>49686.524369999999</v>
          </cell>
          <cell r="X1552">
            <v>50458.519480000003</v>
          </cell>
          <cell r="Y1552">
            <v>51303.77867</v>
          </cell>
          <cell r="Z1552">
            <v>52223.248070000001</v>
          </cell>
          <cell r="AA1552">
            <v>53238.40322</v>
          </cell>
          <cell r="AB1552">
            <v>54357.463000000003</v>
          </cell>
          <cell r="AC1552">
            <v>55585.717689999998</v>
          </cell>
          <cell r="AD1552">
            <v>56922.363420000001</v>
          </cell>
          <cell r="AE1552">
            <v>58341.553999999996</v>
          </cell>
          <cell r="AF1552">
            <v>59725.546320000001</v>
          </cell>
          <cell r="AG1552">
            <v>61168.394670000001</v>
          </cell>
          <cell r="AH1552">
            <v>62699.266960000001</v>
          </cell>
          <cell r="AI1552">
            <v>64311.92815</v>
          </cell>
          <cell r="AJ1552">
            <v>65988.123489999998</v>
          </cell>
          <cell r="AK1552">
            <v>67711.137220000004</v>
          </cell>
          <cell r="AL1552">
            <v>69467.609500000006</v>
          </cell>
          <cell r="AM1552">
            <v>71244.997629999998</v>
          </cell>
          <cell r="AN1552">
            <v>73031.157229999997</v>
          </cell>
          <cell r="AO1552">
            <v>74814.120060000001</v>
          </cell>
        </row>
        <row r="1555">
          <cell r="F1555">
            <v>331632.60889999999</v>
          </cell>
          <cell r="G1555">
            <v>339679.97759999998</v>
          </cell>
          <cell r="H1555">
            <v>348003.6715</v>
          </cell>
          <cell r="I1555">
            <v>356886.93170000002</v>
          </cell>
          <cell r="J1555">
            <v>366290.91570000001</v>
          </cell>
          <cell r="K1555">
            <v>376180.22100000002</v>
          </cell>
          <cell r="L1555">
            <v>386457.48359999998</v>
          </cell>
          <cell r="M1555">
            <v>397063.25020000001</v>
          </cell>
          <cell r="N1555">
            <v>407978.49680000002</v>
          </cell>
          <cell r="O1555">
            <v>419213.46039999998</v>
          </cell>
          <cell r="P1555">
            <v>430332.34960000002</v>
          </cell>
          <cell r="Q1555">
            <v>439817.77169999998</v>
          </cell>
          <cell r="R1555">
            <v>448489.1249</v>
          </cell>
          <cell r="S1555">
            <v>456631.01699999999</v>
          </cell>
          <cell r="T1555">
            <v>464554.3639</v>
          </cell>
          <cell r="U1555">
            <v>472518.91470000002</v>
          </cell>
          <cell r="V1555">
            <v>480882.14399999997</v>
          </cell>
          <cell r="W1555">
            <v>489887.25550000003</v>
          </cell>
          <cell r="X1555">
            <v>499691.02220000001</v>
          </cell>
          <cell r="Y1555">
            <v>510363.80959999998</v>
          </cell>
          <cell r="Z1555">
            <v>521937.45039999997</v>
          </cell>
          <cell r="AA1555">
            <v>534536.45759999997</v>
          </cell>
          <cell r="AB1555">
            <v>548262.09840000002</v>
          </cell>
          <cell r="AC1555">
            <v>563168.18949999998</v>
          </cell>
          <cell r="AD1555">
            <v>579239.27590000001</v>
          </cell>
          <cell r="AE1555">
            <v>596348.04009999998</v>
          </cell>
          <cell r="AF1555">
            <v>614080.39419999998</v>
          </cell>
          <cell r="AG1555">
            <v>632603.05460000003</v>
          </cell>
          <cell r="AH1555">
            <v>652026.65209999995</v>
          </cell>
          <cell r="AI1555">
            <v>672251.62410000002</v>
          </cell>
          <cell r="AJ1555">
            <v>693105.19689999998</v>
          </cell>
          <cell r="AK1555">
            <v>714457.84340000001</v>
          </cell>
          <cell r="AL1555">
            <v>736218.33189999999</v>
          </cell>
          <cell r="AM1555">
            <v>758297.2058</v>
          </cell>
          <cell r="AN1555">
            <v>780602.78960000002</v>
          </cell>
          <cell r="AO1555">
            <v>803038.58920000005</v>
          </cell>
        </row>
        <row r="1567">
          <cell r="F1567">
            <v>48465.392570000004</v>
          </cell>
          <cell r="G1567">
            <v>49489.280590000002</v>
          </cell>
          <cell r="H1567">
            <v>50531.9035</v>
          </cell>
          <cell r="I1567">
            <v>51637.402690000003</v>
          </cell>
          <cell r="J1567">
            <v>52826.663209999999</v>
          </cell>
          <cell r="K1567">
            <v>54098.030100000004</v>
          </cell>
          <cell r="L1567">
            <v>55419.896159999997</v>
          </cell>
          <cell r="M1567">
            <v>56771.259339999997</v>
          </cell>
          <cell r="N1567">
            <v>58144.189599999998</v>
          </cell>
          <cell r="O1567">
            <v>59535.485070000002</v>
          </cell>
          <cell r="P1567">
            <v>60885.519849999997</v>
          </cell>
          <cell r="Q1567">
            <v>61988.020759999999</v>
          </cell>
          <cell r="R1567">
            <v>62947.112240000002</v>
          </cell>
          <cell r="S1567">
            <v>63800.02476</v>
          </cell>
          <cell r="T1567">
            <v>64589.655019999998</v>
          </cell>
          <cell r="U1567">
            <v>65354.074860000001</v>
          </cell>
          <cell r="V1567">
            <v>66148.902660000007</v>
          </cell>
          <cell r="W1567">
            <v>67011.382920000004</v>
          </cell>
          <cell r="X1567">
            <v>67964.96918</v>
          </cell>
          <cell r="Y1567">
            <v>69020.364990000002</v>
          </cell>
          <cell r="Z1567">
            <v>70180.402759999997</v>
          </cell>
          <cell r="AA1567">
            <v>71464.305470000007</v>
          </cell>
          <cell r="AB1567">
            <v>72882.896470000007</v>
          </cell>
          <cell r="AC1567">
            <v>74440.290059999999</v>
          </cell>
          <cell r="AD1567">
            <v>76130.736799999999</v>
          </cell>
          <cell r="AE1567">
            <v>77928.011459999994</v>
          </cell>
          <cell r="AF1567">
            <v>79825.197400000005</v>
          </cell>
          <cell r="AG1567">
            <v>81839.850659999996</v>
          </cell>
          <cell r="AH1567">
            <v>83975.884319999997</v>
          </cell>
          <cell r="AI1567">
            <v>86212.38652</v>
          </cell>
          <cell r="AJ1567">
            <v>88521.032019999999</v>
          </cell>
          <cell r="AK1567">
            <v>90880.378970000005</v>
          </cell>
          <cell r="AL1567">
            <v>93274.835829999996</v>
          </cell>
          <cell r="AM1567">
            <v>95689.758759999997</v>
          </cell>
          <cell r="AN1567">
            <v>98110.900299999994</v>
          </cell>
          <cell r="AO1567">
            <v>100524.1505</v>
          </cell>
        </row>
        <row r="1572">
          <cell r="F1572">
            <v>1511265.9580000001</v>
          </cell>
          <cell r="G1572">
            <v>1537087.466</v>
          </cell>
          <cell r="H1572">
            <v>1566001.192</v>
          </cell>
          <cell r="I1572">
            <v>1597914.9620000001</v>
          </cell>
          <cell r="J1572">
            <v>1632200.128</v>
          </cell>
          <cell r="K1572">
            <v>1668652.1159999999</v>
          </cell>
          <cell r="L1572">
            <v>1706563.9709999999</v>
          </cell>
          <cell r="M1572">
            <v>1745590.6680000001</v>
          </cell>
          <cell r="N1572">
            <v>1785510.3330000001</v>
          </cell>
          <cell r="O1572">
            <v>1826249.6410000001</v>
          </cell>
          <cell r="P1572">
            <v>1866970.53</v>
          </cell>
          <cell r="Q1572">
            <v>1903628.3330000001</v>
          </cell>
          <cell r="R1572">
            <v>1937033.088</v>
          </cell>
          <cell r="S1572">
            <v>1967746.811</v>
          </cell>
          <cell r="T1572">
            <v>1996545.7549999999</v>
          </cell>
          <cell r="U1572">
            <v>2024244.412</v>
          </cell>
          <cell r="V1572">
            <v>2052112.233</v>
          </cell>
          <cell r="W1572">
            <v>2081036.9790000001</v>
          </cell>
          <cell r="X1572">
            <v>2111655.7179999999</v>
          </cell>
          <cell r="Y1572">
            <v>2144359.0669999998</v>
          </cell>
          <cell r="Z1572">
            <v>2179228.0589999999</v>
          </cell>
          <cell r="AA1572">
            <v>2216909.6880000001</v>
          </cell>
          <cell r="AB1572">
            <v>2257701.8909999998</v>
          </cell>
          <cell r="AC1572">
            <v>2301815.5639999998</v>
          </cell>
          <cell r="AD1572">
            <v>2349269.727</v>
          </cell>
          <cell r="AE1572">
            <v>2399311.8309999998</v>
          </cell>
          <cell r="AF1572">
            <v>2451515.233</v>
          </cell>
          <cell r="AG1572">
            <v>2506368.7420000001</v>
          </cell>
          <cell r="AH1572">
            <v>2564170.4470000002</v>
          </cell>
          <cell r="AI1572">
            <v>2624702.1329999999</v>
          </cell>
          <cell r="AJ1572">
            <v>2687468.26</v>
          </cell>
          <cell r="AK1572">
            <v>2751983.3339999998</v>
          </cell>
          <cell r="AL1572">
            <v>2817831.5460000001</v>
          </cell>
          <cell r="AM1572">
            <v>2884615.557</v>
          </cell>
          <cell r="AN1572">
            <v>2951943.014</v>
          </cell>
          <cell r="AO1572">
            <v>3019420.585</v>
          </cell>
        </row>
        <row r="1575">
          <cell r="F1575">
            <v>-2035.6335200000001</v>
          </cell>
          <cell r="G1575">
            <v>-2053.2184240000001</v>
          </cell>
          <cell r="H1575">
            <v>-2067.0986790000002</v>
          </cell>
          <cell r="I1575">
            <v>-2082.4375009999999</v>
          </cell>
          <cell r="J1575">
            <v>-2096.23848</v>
          </cell>
          <cell r="K1575">
            <v>-2119.4669920000001</v>
          </cell>
          <cell r="L1575">
            <v>-2139.0162959999998</v>
          </cell>
          <cell r="M1575">
            <v>-2165.5399299999999</v>
          </cell>
          <cell r="N1575">
            <v>-2193.1333</v>
          </cell>
          <cell r="O1575">
            <v>-2219.702722</v>
          </cell>
          <cell r="P1575">
            <v>-2245.3161890000001</v>
          </cell>
          <cell r="Q1575">
            <v>-2286.863527</v>
          </cell>
          <cell r="R1575">
            <v>-2321.0133190000001</v>
          </cell>
          <cell r="S1575">
            <v>-2347.012702</v>
          </cell>
          <cell r="T1575">
            <v>-2367.0612689999998</v>
          </cell>
          <cell r="U1575">
            <v>-2383.3741070000001</v>
          </cell>
          <cell r="V1575">
            <v>-2393.887655</v>
          </cell>
          <cell r="W1575">
            <v>-2402.133902</v>
          </cell>
          <cell r="X1575">
            <v>-2412.6965479999999</v>
          </cell>
          <cell r="Y1575">
            <v>-2426.91419</v>
          </cell>
          <cell r="Z1575">
            <v>-2444.7863689999999</v>
          </cell>
          <cell r="AA1575">
            <v>-2465.3200769999999</v>
          </cell>
          <cell r="AB1575">
            <v>-2488.3667559999999</v>
          </cell>
          <cell r="AC1575">
            <v>-2513.892128</v>
          </cell>
          <cell r="AD1575">
            <v>-2541.8623419999999</v>
          </cell>
          <cell r="AE1575">
            <v>-2572.3084199999998</v>
          </cell>
          <cell r="AF1575">
            <v>-2624.905397</v>
          </cell>
          <cell r="AG1575">
            <v>-2676.9150260000001</v>
          </cell>
          <cell r="AH1575">
            <v>-2728.5588849999999</v>
          </cell>
          <cell r="AI1575">
            <v>-2782.5823770000002</v>
          </cell>
          <cell r="AJ1575">
            <v>-2839.7013339999999</v>
          </cell>
          <cell r="AK1575">
            <v>-2899.2094229999998</v>
          </cell>
          <cell r="AL1575">
            <v>-2960.2109959999998</v>
          </cell>
          <cell r="AM1575">
            <v>-3022.0731919999998</v>
          </cell>
          <cell r="AN1575">
            <v>-3084.2814010000002</v>
          </cell>
          <cell r="AO1575">
            <v>-3146.351772</v>
          </cell>
        </row>
        <row r="1577">
          <cell r="F1577">
            <v>-612.35718799999995</v>
          </cell>
          <cell r="G1577">
            <v>-616.73056999999994</v>
          </cell>
          <cell r="H1577">
            <v>-618.83694630000002</v>
          </cell>
          <cell r="I1577">
            <v>-621.0905841</v>
          </cell>
          <cell r="J1577">
            <v>-624.86686959999997</v>
          </cell>
          <cell r="K1577">
            <v>-631.04317270000001</v>
          </cell>
          <cell r="L1577">
            <v>-639.02406010000004</v>
          </cell>
          <cell r="M1577">
            <v>-647.82510890000003</v>
          </cell>
          <cell r="N1577">
            <v>-657.07385980000004</v>
          </cell>
          <cell r="O1577">
            <v>-666.53004039999996</v>
          </cell>
          <cell r="P1577">
            <v>-675.96796440000003</v>
          </cell>
          <cell r="Q1577">
            <v>-685.20373119999999</v>
          </cell>
          <cell r="R1577">
            <v>-693.97588450000001</v>
          </cell>
          <cell r="S1577">
            <v>-701.8385141</v>
          </cell>
          <cell r="T1577">
            <v>-708.89049929999999</v>
          </cell>
          <cell r="U1577">
            <v>-715.34872199999995</v>
          </cell>
          <cell r="V1577">
            <v>-721.38428350000004</v>
          </cell>
          <cell r="W1577">
            <v>-727.36649139999997</v>
          </cell>
          <cell r="X1577">
            <v>-733.92972529999997</v>
          </cell>
          <cell r="Y1577">
            <v>-741.2384945</v>
          </cell>
          <cell r="Z1577">
            <v>-749.28731900000002</v>
          </cell>
          <cell r="AA1577">
            <v>-758.05112269999995</v>
          </cell>
          <cell r="AB1577">
            <v>-767.55542179999998</v>
          </cell>
          <cell r="AC1577">
            <v>-777.82788589999996</v>
          </cell>
          <cell r="AD1577">
            <v>-788.88050120000003</v>
          </cell>
          <cell r="AE1577">
            <v>-800.67273439999997</v>
          </cell>
          <cell r="AF1577">
            <v>-813.04150189999996</v>
          </cell>
          <cell r="AG1577">
            <v>-825.85955899999999</v>
          </cell>
          <cell r="AH1577">
            <v>-839.24328890000004</v>
          </cell>
          <cell r="AI1577">
            <v>-853.24691359999997</v>
          </cell>
          <cell r="AJ1577">
            <v>-867.80571529999997</v>
          </cell>
          <cell r="AK1577">
            <v>-882.79142409999997</v>
          </cell>
          <cell r="AL1577">
            <v>-898.06982479999999</v>
          </cell>
          <cell r="AM1577">
            <v>-913.51430330000005</v>
          </cell>
          <cell r="AN1577">
            <v>-928.99858229999995</v>
          </cell>
          <cell r="AO1577">
            <v>-944.39350100000001</v>
          </cell>
        </row>
        <row r="1579">
          <cell r="F1579">
            <v>492.9590791</v>
          </cell>
        </row>
        <row r="1580">
          <cell r="F1580">
            <v>40646.551720000003</v>
          </cell>
          <cell r="G1580">
            <v>41285.607640000002</v>
          </cell>
          <cell r="H1580">
            <v>41904.395360000002</v>
          </cell>
          <cell r="I1580">
            <v>42581.66214</v>
          </cell>
          <cell r="J1580">
            <v>43206.816919999997</v>
          </cell>
          <cell r="K1580">
            <v>43849.774389999999</v>
          </cell>
          <cell r="L1580">
            <v>43888.051700000004</v>
          </cell>
          <cell r="M1580">
            <v>43730.036870000004</v>
          </cell>
          <cell r="N1580">
            <v>43446.81162</v>
          </cell>
          <cell r="O1580">
            <v>43051.487659999999</v>
          </cell>
          <cell r="P1580">
            <v>42518.097099999999</v>
          </cell>
          <cell r="Q1580">
            <v>42051.709410000003</v>
          </cell>
          <cell r="R1580">
            <v>41492.100330000001</v>
          </cell>
          <cell r="S1580">
            <v>40786.686280000002</v>
          </cell>
          <cell r="T1580">
            <v>39941.594010000001</v>
          </cell>
          <cell r="U1580">
            <v>38972.567539999996</v>
          </cell>
          <cell r="V1580">
            <v>37841.37876</v>
          </cell>
          <cell r="W1580">
            <v>36604.140319999999</v>
          </cell>
          <cell r="X1580">
            <v>35287.44586</v>
          </cell>
          <cell r="Y1580">
            <v>33892.798139999999</v>
          </cell>
          <cell r="Z1580">
            <v>32402.459060000001</v>
          </cell>
          <cell r="AA1580">
            <v>30806.239460000001</v>
          </cell>
          <cell r="AB1580">
            <v>29072.699840000001</v>
          </cell>
          <cell r="AC1580">
            <v>27161.60353</v>
          </cell>
          <cell r="AD1580">
            <v>25021.72234</v>
          </cell>
          <cell r="AE1580">
            <v>22578.611239999998</v>
          </cell>
          <cell r="AF1580">
            <v>22239.421920000001</v>
          </cell>
          <cell r="AG1580">
            <v>22688.380450000001</v>
          </cell>
          <cell r="AH1580">
            <v>23345.950140000001</v>
          </cell>
          <cell r="AI1580">
            <v>24030.213189999999</v>
          </cell>
          <cell r="AJ1580">
            <v>24694.36407</v>
          </cell>
          <cell r="AK1580">
            <v>25332.500540000001</v>
          </cell>
          <cell r="AL1580">
            <v>25948.83642</v>
          </cell>
          <cell r="AM1580">
            <v>26547.573039999999</v>
          </cell>
          <cell r="AN1580">
            <v>27131.452140000001</v>
          </cell>
          <cell r="AO1580">
            <v>27701.644520000002</v>
          </cell>
        </row>
        <row r="1600">
          <cell r="F1600">
            <v>472642.1851</v>
          </cell>
        </row>
        <row r="1601">
          <cell r="F1601">
            <v>4443.8431529999998</v>
          </cell>
        </row>
        <row r="1604">
          <cell r="F1604">
            <v>234846.3744</v>
          </cell>
        </row>
        <row r="1616">
          <cell r="F1616">
            <v>8011.6435270000002</v>
          </cell>
        </row>
        <row r="1621">
          <cell r="F1621">
            <v>219444.01990000001</v>
          </cell>
        </row>
        <row r="1624">
          <cell r="F1624">
            <v>2246.5263770000001</v>
          </cell>
        </row>
        <row r="1629">
          <cell r="F1629">
            <v>3649.7777529999998</v>
          </cell>
        </row>
        <row r="1702">
          <cell r="F1702">
            <v>1202604.7109999999</v>
          </cell>
          <cell r="G1702">
            <v>1219919.959</v>
          </cell>
          <cell r="H1702">
            <v>1241152.446</v>
          </cell>
          <cell r="I1702">
            <v>1266165.433</v>
          </cell>
          <cell r="J1702">
            <v>1294200.9739999999</v>
          </cell>
          <cell r="K1702">
            <v>1324927.4509999999</v>
          </cell>
          <cell r="L1702">
            <v>1357444.817</v>
          </cell>
          <cell r="M1702">
            <v>1390788.17</v>
          </cell>
          <cell r="N1702">
            <v>1424939.4990000001</v>
          </cell>
          <cell r="O1702">
            <v>1462266.902</v>
          </cell>
          <cell r="P1702">
            <v>1503981.5859999999</v>
          </cell>
          <cell r="Q1702">
            <v>1545601.0360000001</v>
          </cell>
          <cell r="R1702">
            <v>1585735.172</v>
          </cell>
          <cell r="S1702">
            <v>1622993.3259999999</v>
          </cell>
          <cell r="T1702">
            <v>1656973.953</v>
          </cell>
          <cell r="U1702">
            <v>1688039.9720000001</v>
          </cell>
          <cell r="V1702">
            <v>1717127.5889999999</v>
          </cell>
          <cell r="W1702">
            <v>1745061.5079999999</v>
          </cell>
          <cell r="X1702">
            <v>1772629.888</v>
          </cell>
          <cell r="Y1702">
            <v>1800478.1359999999</v>
          </cell>
          <cell r="Z1702">
            <v>1828605.32</v>
          </cell>
          <cell r="AA1702">
            <v>1857887.6950000001</v>
          </cell>
          <cell r="AB1702">
            <v>1888618.172</v>
          </cell>
          <cell r="AC1702">
            <v>1921117.04</v>
          </cell>
          <cell r="AD1702">
            <v>1955677.52</v>
          </cell>
          <cell r="AE1702">
            <v>1991138.372</v>
          </cell>
          <cell r="AF1702">
            <v>2028414.9539999999</v>
          </cell>
          <cell r="AG1702">
            <v>2067539.277</v>
          </cell>
          <cell r="AH1702">
            <v>2108813.585</v>
          </cell>
          <cell r="AI1702">
            <v>2152462.5449999999</v>
          </cell>
          <cell r="AJ1702">
            <v>2198490.8709999998</v>
          </cell>
          <cell r="AK1702">
            <v>2246501.4440000001</v>
          </cell>
          <cell r="AL1702">
            <v>2296263.1919999998</v>
          </cell>
          <cell r="AM1702">
            <v>2347434.6129999999</v>
          </cell>
          <cell r="AN1702">
            <v>2399639.2549999999</v>
          </cell>
          <cell r="AO1702">
            <v>2452479.8629999999</v>
          </cell>
        </row>
        <row r="1731">
          <cell r="F1731">
            <v>1202604.7109999999</v>
          </cell>
          <cell r="G1731">
            <v>1219919.959</v>
          </cell>
          <cell r="H1731">
            <v>1241152.446</v>
          </cell>
          <cell r="I1731">
            <v>1266165.433</v>
          </cell>
          <cell r="J1731">
            <v>1294200.9739999999</v>
          </cell>
          <cell r="K1731">
            <v>1324927.4509999999</v>
          </cell>
          <cell r="L1731">
            <v>1356748.5049999999</v>
          </cell>
          <cell r="M1731">
            <v>1389611.669</v>
          </cell>
          <cell r="N1731">
            <v>1423538.906</v>
          </cell>
          <cell r="O1731">
            <v>1458569.449</v>
          </cell>
          <cell r="P1731">
            <v>1494940.4750000001</v>
          </cell>
          <cell r="Q1731">
            <v>1530217.125</v>
          </cell>
          <cell r="R1731">
            <v>1563342.6769999999</v>
          </cell>
          <cell r="S1731">
            <v>1593661.797</v>
          </cell>
          <cell r="T1731">
            <v>1621039.689</v>
          </cell>
          <cell r="U1731">
            <v>1645775.925</v>
          </cell>
          <cell r="V1731">
            <v>1669266.023</v>
          </cell>
          <cell r="W1731">
            <v>1692191.794</v>
          </cell>
          <cell r="X1731">
            <v>1715067.548</v>
          </cell>
          <cell r="Y1731">
            <v>1738358.0859999999</v>
          </cell>
          <cell r="Z1731">
            <v>1762035.5349999999</v>
          </cell>
          <cell r="AA1731">
            <v>1787259.9080000001</v>
          </cell>
          <cell r="AB1731">
            <v>1814328.611</v>
          </cell>
          <cell r="AC1731">
            <v>1843590.4990000001</v>
          </cell>
          <cell r="AD1731">
            <v>1875309.7609999999</v>
          </cell>
          <cell r="AE1731">
            <v>1908284.2209999999</v>
          </cell>
          <cell r="AF1731">
            <v>1943855.7479999999</v>
          </cell>
          <cell r="AG1731">
            <v>1981985.382</v>
          </cell>
          <cell r="AH1731">
            <v>2022831.085</v>
          </cell>
          <cell r="AI1731">
            <v>2066464.7050000001</v>
          </cell>
          <cell r="AJ1731">
            <v>2112750.6340000001</v>
          </cell>
          <cell r="AK1731">
            <v>2161378.2889999999</v>
          </cell>
          <cell r="AL1731">
            <v>2211933.5389999999</v>
          </cell>
          <cell r="AM1731">
            <v>2263944.202</v>
          </cell>
          <cell r="AN1731">
            <v>2316905.409</v>
          </cell>
          <cell r="AO1731">
            <v>2370293.1740000001</v>
          </cell>
        </row>
        <row r="1760">
          <cell r="F1760">
            <v>1.0018776709999999</v>
          </cell>
          <cell r="G1760">
            <v>1.0237714090000001</v>
          </cell>
          <cell r="H1760">
            <v>1.0474093419999999</v>
          </cell>
          <cell r="I1760">
            <v>1.0737881010000001</v>
          </cell>
          <cell r="J1760">
            <v>1.1003315119999999</v>
          </cell>
          <cell r="K1760">
            <v>1.1286027729999999</v>
          </cell>
          <cell r="L1760">
            <v>1.1589221279999999</v>
          </cell>
          <cell r="M1760">
            <v>1.1944240269999999</v>
          </cell>
          <cell r="N1760">
            <v>1.2339017370000001</v>
          </cell>
          <cell r="O1760">
            <v>1.2791514470000001</v>
          </cell>
          <cell r="P1760">
            <v>1.3317702119999999</v>
          </cell>
          <cell r="Q1760">
            <v>1.3806152190000001</v>
          </cell>
          <cell r="R1760">
            <v>1.430405948</v>
          </cell>
          <cell r="S1760">
            <v>1.480806171</v>
          </cell>
          <cell r="T1760">
            <v>1.5314543329999999</v>
          </cell>
          <cell r="U1760">
            <v>1.5820797280000001</v>
          </cell>
          <cell r="V1760">
            <v>1.6329421120000001</v>
          </cell>
          <cell r="W1760">
            <v>1.6835370140000001</v>
          </cell>
          <cell r="X1760">
            <v>1.73376073</v>
          </cell>
          <cell r="Y1760">
            <v>1.7832830399999999</v>
          </cell>
          <cell r="Z1760">
            <v>1.832682881</v>
          </cell>
          <cell r="AA1760">
            <v>1.880623218</v>
          </cell>
          <cell r="AB1760">
            <v>1.9281874080000001</v>
          </cell>
          <cell r="AC1760">
            <v>1.975712175</v>
          </cell>
          <cell r="AD1760">
            <v>2.023535887</v>
          </cell>
          <cell r="AE1760">
            <v>2.0723413370000001</v>
          </cell>
          <cell r="AF1760">
            <v>2.1209614999999999</v>
          </cell>
          <cell r="AG1760">
            <v>2.1704570269999999</v>
          </cell>
          <cell r="AH1760">
            <v>2.221233309</v>
          </cell>
          <cell r="AI1760">
            <v>2.2736548430000001</v>
          </cell>
          <cell r="AJ1760">
            <v>2.3280148029999999</v>
          </cell>
          <cell r="AK1760">
            <v>2.3839579689999999</v>
          </cell>
          <cell r="AL1760">
            <v>2.4419507999999999</v>
          </cell>
          <cell r="AM1760">
            <v>2.5020663480000001</v>
          </cell>
          <cell r="AN1760">
            <v>2.5642929419999998</v>
          </cell>
          <cell r="AO1760">
            <v>2.6285491639999998</v>
          </cell>
        </row>
        <row r="1789">
          <cell r="F1789">
            <v>1.0018776700000001</v>
          </cell>
          <cell r="G1789">
            <v>1.0237714090000001</v>
          </cell>
          <cell r="H1789">
            <v>1.0474093419999999</v>
          </cell>
          <cell r="I1789">
            <v>1.0737881010000001</v>
          </cell>
          <cell r="J1789">
            <v>1.100331511</v>
          </cell>
          <cell r="K1789">
            <v>1.128602772</v>
          </cell>
          <cell r="L1789">
            <v>1.1598497210000001</v>
          </cell>
          <cell r="M1789">
            <v>1.1941200380000001</v>
          </cell>
          <cell r="N1789">
            <v>1.2308911819999999</v>
          </cell>
          <cell r="O1789">
            <v>1.2700701190000001</v>
          </cell>
          <cell r="P1789">
            <v>1.311275524</v>
          </cell>
          <cell r="Q1789">
            <v>1.353775677</v>
          </cell>
          <cell r="R1789">
            <v>1.3969239</v>
          </cell>
          <cell r="S1789">
            <v>1.4401750440000001</v>
          </cell>
          <cell r="T1789">
            <v>1.4831307570000001</v>
          </cell>
          <cell r="U1789">
            <v>1.525532194</v>
          </cell>
          <cell r="V1789">
            <v>1.5662297780000001</v>
          </cell>
          <cell r="W1789">
            <v>1.6054670099999999</v>
          </cell>
          <cell r="X1789">
            <v>1.6435033910000001</v>
          </cell>
          <cell r="Y1789">
            <v>1.680656666</v>
          </cell>
          <cell r="Z1789">
            <v>1.717365174</v>
          </cell>
          <cell r="AA1789">
            <v>1.753940831</v>
          </cell>
          <cell r="AB1789">
            <v>1.790758743</v>
          </cell>
          <cell r="AC1789">
            <v>1.8282302020000001</v>
          </cell>
          <cell r="AD1789">
            <v>1.866770998</v>
          </cell>
          <cell r="AE1789">
            <v>1.907069484</v>
          </cell>
          <cell r="AF1789">
            <v>1.949079094</v>
          </cell>
          <cell r="AG1789">
            <v>1.993047746</v>
          </cell>
          <cell r="AH1789">
            <v>2.039226899</v>
          </cell>
          <cell r="AI1789">
            <v>2.087828869</v>
          </cell>
          <cell r="AJ1789">
            <v>2.138966946</v>
          </cell>
          <cell r="AK1789">
            <v>2.1926469389999999</v>
          </cell>
          <cell r="AL1789">
            <v>2.248785673</v>
          </cell>
          <cell r="AM1789">
            <v>2.3072246980000002</v>
          </cell>
          <cell r="AN1789">
            <v>2.3677378390000001</v>
          </cell>
          <cell r="AO1789">
            <v>2.43003686</v>
          </cell>
        </row>
      </sheetData>
      <sheetData sheetId="5"/>
      <sheetData sheetId="6">
        <row r="820">
          <cell r="B820">
            <v>347.96453320000001</v>
          </cell>
          <cell r="C820">
            <v>348.33814860000001</v>
          </cell>
          <cell r="D820">
            <v>348.92544700000002</v>
          </cell>
          <cell r="E820">
            <v>349.38157419999999</v>
          </cell>
          <cell r="F820">
            <v>351.90915319999999</v>
          </cell>
          <cell r="G820">
            <v>356.04349239999999</v>
          </cell>
          <cell r="H820">
            <v>360.83220080000001</v>
          </cell>
          <cell r="I820">
            <v>365.8492847</v>
          </cell>
          <cell r="J820">
            <v>371.09210209999998</v>
          </cell>
          <cell r="K820">
            <v>376.50630940000002</v>
          </cell>
          <cell r="L820">
            <v>381.9158966</v>
          </cell>
          <cell r="M820">
            <v>387.55952109999998</v>
          </cell>
          <cell r="N820">
            <v>392.53897899999998</v>
          </cell>
          <cell r="O820">
            <v>397.0634369</v>
          </cell>
          <cell r="P820">
            <v>401.34464179999998</v>
          </cell>
          <cell r="Q820">
            <v>405.57688289999999</v>
          </cell>
          <cell r="R820">
            <v>410.51298450000002</v>
          </cell>
          <cell r="S820">
            <v>416.35380350000003</v>
          </cell>
          <cell r="T820">
            <v>423.12096889999998</v>
          </cell>
          <cell r="U820">
            <v>430.80970600000001</v>
          </cell>
          <cell r="V820">
            <v>439.37975770000003</v>
          </cell>
          <cell r="W820">
            <v>448.93522000000002</v>
          </cell>
          <cell r="X820">
            <v>459.53585889999999</v>
          </cell>
          <cell r="Y820">
            <v>471.24503989999999</v>
          </cell>
          <cell r="Z820">
            <v>484.1077252</v>
          </cell>
          <cell r="AA820">
            <v>498.03644709999998</v>
          </cell>
          <cell r="AB820">
            <v>509.19697989999997</v>
          </cell>
          <cell r="AC820">
            <v>519.81974579999996</v>
          </cell>
          <cell r="AD820">
            <v>530.88146500000005</v>
          </cell>
          <cell r="AE820">
            <v>542.59647910000001</v>
          </cell>
          <cell r="AF820">
            <v>554.88892169999997</v>
          </cell>
          <cell r="AG820">
            <v>567.61817189999999</v>
          </cell>
          <cell r="AH820">
            <v>580.65045459999999</v>
          </cell>
          <cell r="AI820">
            <v>593.86071819999995</v>
          </cell>
          <cell r="AJ820">
            <v>607.13039200000003</v>
          </cell>
          <cell r="AK820">
            <v>620.34477660000005</v>
          </cell>
        </row>
        <row r="821">
          <cell r="B821">
            <v>213.22631569999999</v>
          </cell>
          <cell r="C821">
            <v>214.46398060000001</v>
          </cell>
          <cell r="D821">
            <v>216.00539330000001</v>
          </cell>
          <cell r="E821">
            <v>217.34219569999999</v>
          </cell>
          <cell r="F821">
            <v>220.07722240000001</v>
          </cell>
          <cell r="G821">
            <v>223.98245120000001</v>
          </cell>
          <cell r="H821">
            <v>228.5112374</v>
          </cell>
          <cell r="I821">
            <v>233.25620269999999</v>
          </cell>
          <cell r="J821">
            <v>238.144711</v>
          </cell>
          <cell r="K821">
            <v>243.12112930000001</v>
          </cell>
          <cell r="L821">
            <v>247.98655579999999</v>
          </cell>
          <cell r="M821">
            <v>253.0986254</v>
          </cell>
          <cell r="N821">
            <v>257.5678284</v>
          </cell>
          <cell r="O821">
            <v>261.6125816</v>
          </cell>
          <cell r="P821">
            <v>265.45070290000001</v>
          </cell>
          <cell r="Q821">
            <v>269.27778760000001</v>
          </cell>
          <cell r="R821">
            <v>273.69801769999998</v>
          </cell>
          <cell r="S821">
            <v>278.9634418</v>
          </cell>
          <cell r="T821">
            <v>285.11807299999998</v>
          </cell>
          <cell r="U821">
            <v>292.1671235</v>
          </cell>
          <cell r="V821">
            <v>300.09987169999999</v>
          </cell>
          <cell r="W821">
            <v>308.97661670000002</v>
          </cell>
          <cell r="X821">
            <v>318.85689300000001</v>
          </cell>
          <cell r="Y821">
            <v>329.79948150000001</v>
          </cell>
          <cell r="Z821">
            <v>341.84472090000003</v>
          </cell>
          <cell r="AA821">
            <v>354.9753475</v>
          </cell>
          <cell r="AB821">
            <v>365.30202259999999</v>
          </cell>
          <cell r="AC821">
            <v>375.05420400000003</v>
          </cell>
          <cell r="AD821">
            <v>385.20097490000001</v>
          </cell>
          <cell r="AE821">
            <v>395.95396140000003</v>
          </cell>
          <cell r="AF821">
            <v>407.2411573</v>
          </cell>
          <cell r="AG821">
            <v>418.9306067</v>
          </cell>
          <cell r="AH821">
            <v>430.89818889999998</v>
          </cell>
          <cell r="AI821">
            <v>443.02953780000001</v>
          </cell>
          <cell r="AJ821">
            <v>455.2176417</v>
          </cell>
          <cell r="AK821">
            <v>467.3600414</v>
          </cell>
        </row>
        <row r="822">
          <cell r="B822">
            <v>2.7531315899999999E-2</v>
          </cell>
          <cell r="C822">
            <v>2.79907904E-2</v>
          </cell>
          <cell r="D822">
            <v>2.85353089E-2</v>
          </cell>
          <cell r="E822">
            <v>2.91645146E-2</v>
          </cell>
          <cell r="F822">
            <v>2.9865119799999999E-2</v>
          </cell>
          <cell r="G822">
            <v>3.0632209099999998E-2</v>
          </cell>
          <cell r="H822">
            <v>3.1441720100000001E-2</v>
          </cell>
          <cell r="I822">
            <v>3.2280957899999997E-2</v>
          </cell>
          <cell r="J822">
            <v>3.3140074300000003E-2</v>
          </cell>
          <cell r="K822">
            <v>3.4014096600000002E-2</v>
          </cell>
          <cell r="L822">
            <v>3.4875932800000002E-2</v>
          </cell>
          <cell r="M822">
            <v>3.5617700099999997E-2</v>
          </cell>
          <cell r="N822">
            <v>3.6261685100000003E-2</v>
          </cell>
          <cell r="O822">
            <v>3.6825752500000003E-2</v>
          </cell>
          <cell r="P822">
            <v>3.7333207299999997E-2</v>
          </cell>
          <cell r="Q822">
            <v>3.7807658299999998E-2</v>
          </cell>
          <cell r="R822">
            <v>3.82836062E-2</v>
          </cell>
          <cell r="S822">
            <v>3.87878719E-2</v>
          </cell>
          <cell r="T822">
            <v>3.9339387300000001E-2</v>
          </cell>
          <cell r="U822">
            <v>3.99488037E-2</v>
          </cell>
          <cell r="V822">
            <v>4.0618586399999997E-2</v>
          </cell>
          <cell r="W822">
            <v>4.1362612399999998E-2</v>
          </cell>
          <cell r="X822">
            <v>4.21878085E-2</v>
          </cell>
          <cell r="Y822">
            <v>4.3097813200000001E-2</v>
          </cell>
          <cell r="Z822">
            <v>4.4090981699999997E-2</v>
          </cell>
          <cell r="AA822">
            <v>4.51487109E-2</v>
          </cell>
          <cell r="AB822">
            <v>4.6279569E-2</v>
          </cell>
          <cell r="AC822">
            <v>4.7487730499999999E-2</v>
          </cell>
          <cell r="AD822">
            <v>4.8774536100000002E-2</v>
          </cell>
          <cell r="AE822">
            <v>5.0130411100000001E-2</v>
          </cell>
          <cell r="AF822">
            <v>5.1539909100000003E-2</v>
          </cell>
          <cell r="AG822">
            <v>5.29888835E-2</v>
          </cell>
          <cell r="AH822">
            <v>5.4465694600000003E-2</v>
          </cell>
          <cell r="AI822">
            <v>5.5959512500000003E-2</v>
          </cell>
          <cell r="AJ822">
            <v>5.7459820500000001E-2</v>
          </cell>
          <cell r="AK822">
            <v>5.8956216399999997E-2</v>
          </cell>
        </row>
        <row r="823">
          <cell r="B823">
            <v>15.22020024</v>
          </cell>
          <cell r="C823">
            <v>15.467027610000001</v>
          </cell>
          <cell r="D823">
            <v>15.747909760000001</v>
          </cell>
          <cell r="E823">
            <v>16.05069825</v>
          </cell>
          <cell r="F823">
            <v>16.37725618</v>
          </cell>
          <cell r="G823">
            <v>16.7285301</v>
          </cell>
          <cell r="H823">
            <v>17.10218003</v>
          </cell>
          <cell r="I823">
            <v>17.491727619999999</v>
          </cell>
          <cell r="J823">
            <v>17.893440989999998</v>
          </cell>
          <cell r="K823">
            <v>18.305995339999999</v>
          </cell>
          <cell r="L823">
            <v>18.719981199999999</v>
          </cell>
          <cell r="M823">
            <v>19.09750901</v>
          </cell>
          <cell r="N823">
            <v>19.443306440000001</v>
          </cell>
          <cell r="O823">
            <v>19.766241099999998</v>
          </cell>
          <cell r="P823">
            <v>20.07676536</v>
          </cell>
          <cell r="Q823">
            <v>20.384694870000001</v>
          </cell>
          <cell r="R823">
            <v>20.703489309999998</v>
          </cell>
          <cell r="S823">
            <v>21.043891649999999</v>
          </cell>
          <cell r="T823">
            <v>21.413205659999999</v>
          </cell>
          <cell r="U823">
            <v>21.81540871</v>
          </cell>
          <cell r="V823">
            <v>22.252076110000001</v>
          </cell>
          <cell r="W823">
            <v>22.72663412</v>
          </cell>
          <cell r="X823">
            <v>23.242367689999998</v>
          </cell>
          <cell r="Y823">
            <v>23.801597409999999</v>
          </cell>
          <cell r="Z823">
            <v>24.404903610000002</v>
          </cell>
          <cell r="AA823">
            <v>25.048984520000001</v>
          </cell>
          <cell r="AB823">
            <v>25.712337420000001</v>
          </cell>
          <cell r="AC823">
            <v>26.396657430000001</v>
          </cell>
          <cell r="AD823">
            <v>27.10773897</v>
          </cell>
          <cell r="AE823">
            <v>27.84623126</v>
          </cell>
          <cell r="AF823">
            <v>28.60852766</v>
          </cell>
          <cell r="AG823">
            <v>29.390148360000001</v>
          </cell>
          <cell r="AH823">
            <v>30.187117409999999</v>
          </cell>
          <cell r="AI823">
            <v>30.995755930000001</v>
          </cell>
          <cell r="AJ823">
            <v>31.812520299999999</v>
          </cell>
          <cell r="AK823">
            <v>32.633878840000001</v>
          </cell>
        </row>
        <row r="824">
          <cell r="B824">
            <v>119.490486</v>
          </cell>
          <cell r="C824">
            <v>118.37914960000001</v>
          </cell>
          <cell r="D824">
            <v>117.14360859999999</v>
          </cell>
          <cell r="E824">
            <v>115.9595157</v>
          </cell>
          <cell r="F824">
            <v>115.42480949999999</v>
          </cell>
          <cell r="G824">
            <v>115.30187890000001</v>
          </cell>
          <cell r="H824">
            <v>115.1873416</v>
          </cell>
          <cell r="I824">
            <v>115.06907339999999</v>
          </cell>
          <cell r="J824">
            <v>115.02081</v>
          </cell>
          <cell r="K824">
            <v>115.0451707</v>
          </cell>
          <cell r="L824">
            <v>115.1744837</v>
          </cell>
          <cell r="M824">
            <v>115.327769</v>
          </cell>
          <cell r="N824">
            <v>115.49158250000001</v>
          </cell>
          <cell r="O824">
            <v>115.6477884</v>
          </cell>
          <cell r="P824">
            <v>115.7798404</v>
          </cell>
          <cell r="Q824">
            <v>115.8765928</v>
          </cell>
          <cell r="R824">
            <v>116.0731938</v>
          </cell>
          <cell r="S824">
            <v>116.30768209999999</v>
          </cell>
          <cell r="T824">
            <v>116.5503508</v>
          </cell>
          <cell r="U824">
            <v>116.78722500000001</v>
          </cell>
          <cell r="V824">
            <v>116.9871914</v>
          </cell>
          <cell r="W824">
            <v>117.1906066</v>
          </cell>
          <cell r="X824">
            <v>117.3944104</v>
          </cell>
          <cell r="Y824">
            <v>117.60086320000001</v>
          </cell>
          <cell r="Z824">
            <v>117.81400960000001</v>
          </cell>
          <cell r="AA824">
            <v>117.9669663</v>
          </cell>
          <cell r="AB824">
            <v>118.1363403</v>
          </cell>
          <cell r="AC824">
            <v>118.32139669999999</v>
          </cell>
          <cell r="AD824">
            <v>118.5239766</v>
          </cell>
          <cell r="AE824">
            <v>118.746156</v>
          </cell>
          <cell r="AF824">
            <v>118.9876969</v>
          </cell>
          <cell r="AG824">
            <v>119.24442790000001</v>
          </cell>
          <cell r="AH824">
            <v>119.5106826</v>
          </cell>
          <cell r="AI824">
            <v>119.779465</v>
          </cell>
          <cell r="AJ824">
            <v>120.0427701</v>
          </cell>
          <cell r="AK824">
            <v>120.29190010000001</v>
          </cell>
        </row>
        <row r="825">
          <cell r="B825">
            <v>347.96455589999999</v>
          </cell>
          <cell r="C825">
            <v>348.33817060000001</v>
          </cell>
          <cell r="D825">
            <v>348.92546859999999</v>
          </cell>
          <cell r="E825">
            <v>349.38159530000001</v>
          </cell>
          <cell r="F825">
            <v>351.90917400000001</v>
          </cell>
          <cell r="G825">
            <v>356.04351329999997</v>
          </cell>
          <cell r="H825">
            <v>361.61399030000001</v>
          </cell>
          <cell r="I825">
            <v>364.17928590000002</v>
          </cell>
          <cell r="J825">
            <v>363.84600469999998</v>
          </cell>
          <cell r="K825">
            <v>362.11428389999998</v>
          </cell>
          <cell r="L825">
            <v>356.90350919999997</v>
          </cell>
          <cell r="M825">
            <v>354.31403419999998</v>
          </cell>
          <cell r="N825">
            <v>352.69193630000001</v>
          </cell>
          <cell r="O825">
            <v>351.72633980000001</v>
          </cell>
          <cell r="P825">
            <v>351.29867330000002</v>
          </cell>
          <cell r="Q825">
            <v>351.31684689999997</v>
          </cell>
          <cell r="R825">
            <v>349.25025979999998</v>
          </cell>
          <cell r="S825">
            <v>347.18624219999998</v>
          </cell>
          <cell r="T825">
            <v>344.33975429999998</v>
          </cell>
          <cell r="U825">
            <v>339.03035899999998</v>
          </cell>
          <cell r="V825">
            <v>333.49951299999998</v>
          </cell>
          <cell r="W825">
            <v>328.09119920000001</v>
          </cell>
          <cell r="X825">
            <v>322.89490009999997</v>
          </cell>
          <cell r="Y825">
            <v>318.04318009999997</v>
          </cell>
          <cell r="Z825">
            <v>313.69455859999999</v>
          </cell>
          <cell r="AA825">
            <v>309.94583940000001</v>
          </cell>
          <cell r="AB825">
            <v>304.47614629999998</v>
          </cell>
          <cell r="AC825">
            <v>299.06500729999999</v>
          </cell>
          <cell r="AD825">
            <v>294.40081730000003</v>
          </cell>
          <cell r="AE825">
            <v>290.60376300000001</v>
          </cell>
          <cell r="AF825">
            <v>287.58965910000001</v>
          </cell>
          <cell r="AG825">
            <v>285.30553809999998</v>
          </cell>
          <cell r="AH825">
            <v>283.62546839999999</v>
          </cell>
          <cell r="AI825">
            <v>282.43901</v>
          </cell>
          <cell r="AJ825">
            <v>281.65498789999998</v>
          </cell>
          <cell r="AK825">
            <v>281.20055170000001</v>
          </cell>
        </row>
        <row r="826">
          <cell r="B826">
            <v>213.2263312</v>
          </cell>
          <cell r="C826">
            <v>214.46399589999999</v>
          </cell>
          <cell r="D826">
            <v>216.00540839999999</v>
          </cell>
          <cell r="E826">
            <v>217.3422104</v>
          </cell>
          <cell r="F826">
            <v>220.077237</v>
          </cell>
          <cell r="G826">
            <v>223.98246589999999</v>
          </cell>
          <cell r="H826">
            <v>229.05414949999999</v>
          </cell>
          <cell r="I826">
            <v>231.70614470000001</v>
          </cell>
          <cell r="J826">
            <v>232.07684459999999</v>
          </cell>
          <cell r="K826">
            <v>231.39828700000001</v>
          </cell>
          <cell r="L826">
            <v>227.8506199</v>
          </cell>
          <cell r="M826">
            <v>226.02228210000001</v>
          </cell>
          <cell r="N826">
            <v>224.7635243</v>
          </cell>
          <cell r="O826">
            <v>224.02622489999999</v>
          </cell>
          <cell r="P826">
            <v>223.81943229999999</v>
          </cell>
          <cell r="Q826">
            <v>224.1101118</v>
          </cell>
          <cell r="R826">
            <v>222.9157553</v>
          </cell>
          <cell r="S826">
            <v>221.8616596</v>
          </cell>
          <cell r="T826">
            <v>220.54886149999999</v>
          </cell>
          <cell r="U826">
            <v>218.13297109999999</v>
          </cell>
          <cell r="V826">
            <v>215.78305470000001</v>
          </cell>
          <cell r="W826">
            <v>213.7097785</v>
          </cell>
          <cell r="X826">
            <v>211.99136089999999</v>
          </cell>
          <cell r="Y826">
            <v>210.72275379999999</v>
          </cell>
          <cell r="Z826">
            <v>210.009759</v>
          </cell>
          <cell r="AA826">
            <v>209.93685859999999</v>
          </cell>
          <cell r="AB826">
            <v>208.07353749999999</v>
          </cell>
          <cell r="AC826">
            <v>206.1598262</v>
          </cell>
          <cell r="AD826">
            <v>204.8403021</v>
          </cell>
          <cell r="AE826">
            <v>204.19908899999999</v>
          </cell>
          <cell r="AF826">
            <v>204.12634009999999</v>
          </cell>
          <cell r="AG826">
            <v>204.5288644</v>
          </cell>
          <cell r="AH826">
            <v>205.27782640000001</v>
          </cell>
          <cell r="AI826">
            <v>206.2619196</v>
          </cell>
          <cell r="AJ826">
            <v>207.3922781</v>
          </cell>
          <cell r="AK826">
            <v>208.6025104</v>
          </cell>
        </row>
        <row r="827">
          <cell r="B827">
            <v>2.7531315899999999E-2</v>
          </cell>
          <cell r="C827">
            <v>2.79907904E-2</v>
          </cell>
          <cell r="D827">
            <v>2.85353089E-2</v>
          </cell>
          <cell r="E827">
            <v>2.91645146E-2</v>
          </cell>
          <cell r="F827">
            <v>2.9865119799999999E-2</v>
          </cell>
          <cell r="G827">
            <v>3.0632209099999998E-2</v>
          </cell>
          <cell r="H827">
            <v>3.1452012299999998E-2</v>
          </cell>
          <cell r="I827">
            <v>3.2172193600000003E-2</v>
          </cell>
          <cell r="J827">
            <v>3.2902337900000002E-2</v>
          </cell>
          <cell r="K827">
            <v>3.3792011199999999E-2</v>
          </cell>
          <cell r="L827">
            <v>3.4677489999999998E-2</v>
          </cell>
          <cell r="M827">
            <v>3.5402346100000003E-2</v>
          </cell>
          <cell r="N827">
            <v>3.6006328300000001E-2</v>
          </cell>
          <cell r="O827">
            <v>3.65270356E-2</v>
          </cell>
          <cell r="P827">
            <v>3.7003002200000003E-2</v>
          </cell>
          <cell r="Q827">
            <v>3.7459102100000002E-2</v>
          </cell>
          <cell r="R827">
            <v>3.79157496E-2</v>
          </cell>
          <cell r="S827">
            <v>3.8386527400000002E-2</v>
          </cell>
          <cell r="T827">
            <v>3.8887643399999998E-2</v>
          </cell>
          <cell r="U827">
            <v>3.9430529300000003E-2</v>
          </cell>
          <cell r="V827">
            <v>4.0020318200000002E-2</v>
          </cell>
          <cell r="W827">
            <v>4.0669295100000002E-2</v>
          </cell>
          <cell r="X827">
            <v>4.1390959400000003E-2</v>
          </cell>
          <cell r="Y827">
            <v>4.2192830100000002E-2</v>
          </cell>
          <cell r="Z827">
            <v>4.3076162000000001E-2</v>
          </cell>
          <cell r="AA827">
            <v>4.4024816600000002E-2</v>
          </cell>
          <cell r="AB827">
            <v>4.5034232899999999E-2</v>
          </cell>
          <cell r="AC827">
            <v>4.6120141199999999E-2</v>
          </cell>
          <cell r="AD827">
            <v>4.7288003500000002E-2</v>
          </cell>
          <cell r="AE827">
            <v>4.8531706799999998E-2</v>
          </cell>
          <cell r="AF827">
            <v>4.9838569899999997E-2</v>
          </cell>
          <cell r="AG827">
            <v>5.1193949000000002E-2</v>
          </cell>
          <cell r="AH827">
            <v>5.2589245999999999E-2</v>
          </cell>
          <cell r="AI827">
            <v>5.4014876400000002E-2</v>
          </cell>
          <cell r="AJ827">
            <v>5.5460513599999997E-2</v>
          </cell>
          <cell r="AK827">
            <v>5.6915401599999998E-2</v>
          </cell>
        </row>
        <row r="828">
          <cell r="B828">
            <v>15.22020024</v>
          </cell>
          <cell r="C828">
            <v>15.467027610000001</v>
          </cell>
          <cell r="D828">
            <v>15.747909760000001</v>
          </cell>
          <cell r="E828">
            <v>16.05069825</v>
          </cell>
          <cell r="F828">
            <v>16.377256169999999</v>
          </cell>
          <cell r="G828">
            <v>16.7285301</v>
          </cell>
          <cell r="H828">
            <v>17.106200680000001</v>
          </cell>
          <cell r="I828">
            <v>17.43695851</v>
          </cell>
          <cell r="J828">
            <v>17.752843339999998</v>
          </cell>
          <cell r="K828">
            <v>18.10129916</v>
          </cell>
          <cell r="L828">
            <v>18.427150480000002</v>
          </cell>
          <cell r="M828">
            <v>18.70708531</v>
          </cell>
          <cell r="N828">
            <v>18.957498990000001</v>
          </cell>
          <cell r="O828">
            <v>19.19449831</v>
          </cell>
          <cell r="P828">
            <v>19.432105969999999</v>
          </cell>
          <cell r="Q828">
            <v>19.678399110000001</v>
          </cell>
          <cell r="R828">
            <v>19.93827233</v>
          </cell>
          <cell r="S828">
            <v>20.211548799999999</v>
          </cell>
          <cell r="T828">
            <v>20.50226159</v>
          </cell>
          <cell r="U828">
            <v>20.813976100000001</v>
          </cell>
          <cell r="V828">
            <v>21.14780331</v>
          </cell>
          <cell r="W828">
            <v>21.511435500000001</v>
          </cell>
          <cell r="X828">
            <v>21.910657449999999</v>
          </cell>
          <cell r="Y828">
            <v>22.348319289999999</v>
          </cell>
          <cell r="Z828">
            <v>22.824748469999999</v>
          </cell>
          <cell r="AA828">
            <v>23.336103040000001</v>
          </cell>
          <cell r="AB828">
            <v>23.860517160000001</v>
          </cell>
          <cell r="AC828">
            <v>24.40301547</v>
          </cell>
          <cell r="AD828">
            <v>24.968642590000002</v>
          </cell>
          <cell r="AE828">
            <v>25.55716778</v>
          </cell>
          <cell r="AF828">
            <v>26.164345839999999</v>
          </cell>
          <cell r="AG828">
            <v>26.787597420000001</v>
          </cell>
          <cell r="AH828">
            <v>27.423621440000002</v>
          </cell>
          <cell r="AI828">
            <v>28.0682121</v>
          </cell>
          <cell r="AJ828">
            <v>28.716783549999999</v>
          </cell>
          <cell r="AK828">
            <v>29.36468009</v>
          </cell>
        </row>
        <row r="829">
          <cell r="B829">
            <v>119.49049309999999</v>
          </cell>
          <cell r="C829">
            <v>118.3791564</v>
          </cell>
          <cell r="D829">
            <v>117.1436152</v>
          </cell>
          <cell r="E829">
            <v>115.9595221</v>
          </cell>
          <cell r="F829">
            <v>115.4248157</v>
          </cell>
          <cell r="G829">
            <v>115.30188510000001</v>
          </cell>
          <cell r="H829">
            <v>115.4221881</v>
          </cell>
          <cell r="I829">
            <v>115.00401050000001</v>
          </cell>
          <cell r="J829">
            <v>113.9834144</v>
          </cell>
          <cell r="K829">
            <v>112.5809057</v>
          </cell>
          <cell r="L829">
            <v>110.59106130000001</v>
          </cell>
          <cell r="M829">
            <v>109.5492644</v>
          </cell>
          <cell r="N829">
            <v>108.93490660000001</v>
          </cell>
          <cell r="O829">
            <v>108.4690895</v>
          </cell>
          <cell r="P829">
            <v>108.010132</v>
          </cell>
          <cell r="Q829">
            <v>107.4908768</v>
          </cell>
          <cell r="R829">
            <v>106.3583165</v>
          </cell>
          <cell r="S829">
            <v>105.0746472</v>
          </cell>
          <cell r="T829">
            <v>103.2497436</v>
          </cell>
          <cell r="U829">
            <v>100.0439813</v>
          </cell>
          <cell r="V829">
            <v>96.528634690000004</v>
          </cell>
          <cell r="W829">
            <v>92.829315940000001</v>
          </cell>
          <cell r="X829">
            <v>88.951490789999994</v>
          </cell>
          <cell r="Y829">
            <v>84.929914190000005</v>
          </cell>
          <cell r="Z829">
            <v>80.816974979999998</v>
          </cell>
          <cell r="AA829">
            <v>76.628853000000007</v>
          </cell>
          <cell r="AB829">
            <v>72.497057409999996</v>
          </cell>
          <cell r="AC829">
            <v>68.456045470000007</v>
          </cell>
          <cell r="AD829">
            <v>64.544584560000004</v>
          </cell>
          <cell r="AE829">
            <v>60.798974459999997</v>
          </cell>
          <cell r="AF829">
            <v>57.249134589999997</v>
          </cell>
          <cell r="AG829">
            <v>53.937882260000002</v>
          </cell>
          <cell r="AH829">
            <v>50.871431260000001</v>
          </cell>
          <cell r="AI829">
            <v>48.054863419999997</v>
          </cell>
          <cell r="AJ829">
            <v>45.490465759999999</v>
          </cell>
          <cell r="AK829">
            <v>43.17644584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81"/>
  <sheetViews>
    <sheetView tabSelected="1" workbookViewId="0">
      <pane xSplit="2" ySplit="3" topLeftCell="C66" activePane="bottomRight" state="frozen"/>
      <selection pane="topRight" activeCell="C1" sqref="C1"/>
      <selection pane="bottomLeft" activeCell="A4" sqref="A4"/>
      <selection pane="bottomRight" activeCell="B66" sqref="B66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3" spans="1:38" x14ac:dyDescent="0.35">
      <c r="B3" t="s">
        <v>0</v>
      </c>
      <c r="C3" s="2">
        <v>42005</v>
      </c>
      <c r="D3" s="2">
        <v>42370</v>
      </c>
      <c r="E3" s="2">
        <v>42736</v>
      </c>
      <c r="F3" s="2">
        <v>43101</v>
      </c>
      <c r="G3" s="2">
        <v>43466</v>
      </c>
      <c r="H3" s="2">
        <v>43831</v>
      </c>
      <c r="I3" s="2">
        <v>44197</v>
      </c>
      <c r="J3" s="2">
        <v>44562</v>
      </c>
      <c r="K3" s="2">
        <v>44927</v>
      </c>
      <c r="L3" s="2">
        <v>45292</v>
      </c>
      <c r="M3" s="2">
        <v>45658</v>
      </c>
      <c r="N3" s="2">
        <v>46023</v>
      </c>
      <c r="O3" s="2">
        <v>46388</v>
      </c>
      <c r="P3" s="2">
        <v>46753</v>
      </c>
      <c r="Q3" s="2">
        <v>47119</v>
      </c>
      <c r="R3" s="2">
        <v>47484</v>
      </c>
      <c r="S3" s="2">
        <v>47849</v>
      </c>
      <c r="T3" s="2">
        <v>48214</v>
      </c>
      <c r="U3" s="2">
        <v>48580</v>
      </c>
      <c r="V3" s="2">
        <v>48945</v>
      </c>
      <c r="W3" s="2">
        <v>49310</v>
      </c>
      <c r="X3" s="2">
        <v>49675</v>
      </c>
      <c r="Y3" s="2">
        <v>50041</v>
      </c>
      <c r="Z3" s="2">
        <v>50406</v>
      </c>
      <c r="AA3" s="2">
        <v>50771</v>
      </c>
      <c r="AB3" s="2">
        <v>51136</v>
      </c>
      <c r="AC3" s="2">
        <v>51502</v>
      </c>
      <c r="AD3" s="2">
        <v>51867</v>
      </c>
      <c r="AE3" s="2">
        <v>52232</v>
      </c>
      <c r="AF3" s="2">
        <v>52597</v>
      </c>
      <c r="AG3" s="2">
        <v>52963</v>
      </c>
      <c r="AH3" s="2">
        <v>53328</v>
      </c>
      <c r="AI3" s="2">
        <v>53693</v>
      </c>
      <c r="AJ3" s="2">
        <v>54058</v>
      </c>
      <c r="AK3" s="2">
        <v>54424</v>
      </c>
      <c r="AL3" s="2">
        <v>54789</v>
      </c>
    </row>
    <row r="4" spans="1:38" x14ac:dyDescent="0.35">
      <c r="A4" s="3" t="str">
        <f>[1]Results!E1365</f>
        <v>100*(GDP_2/GDP_0-1)</v>
      </c>
      <c r="B4" t="s">
        <v>20</v>
      </c>
      <c r="C4" s="1">
        <f>[1]Results!F1365</f>
        <v>0</v>
      </c>
      <c r="D4" s="1">
        <f>[1]Results!G1365</f>
        <v>0</v>
      </c>
      <c r="E4" s="1">
        <f>[1]Results!H1365</f>
        <v>0</v>
      </c>
      <c r="F4" s="1">
        <f>[1]Results!I1365</f>
        <v>0</v>
      </c>
      <c r="G4" s="1">
        <f>[1]Results!J1365</f>
        <v>0</v>
      </c>
      <c r="H4" s="1">
        <f>[1]Results!K1365</f>
        <v>4.1071679390825011E-8</v>
      </c>
      <c r="I4" s="1">
        <f>[1]Results!L1365</f>
        <v>2.5043590758500045E-2</v>
      </c>
      <c r="J4" s="1">
        <f>[1]Results!M1365</f>
        <v>-0.20746925559940177</v>
      </c>
      <c r="K4" s="1">
        <f>[1]Results!N1365</f>
        <v>-0.41114053426568598</v>
      </c>
      <c r="L4" s="1">
        <f>[1]Results!O1365</f>
        <v>-0.22878309148918197</v>
      </c>
      <c r="M4" s="1">
        <f>[1]Results!P1365</f>
        <v>-1.2274325027983313E-2</v>
      </c>
      <c r="N4" s="1">
        <f>[1]Results!Q1365</f>
        <v>0.13998192378448238</v>
      </c>
      <c r="O4" s="1">
        <f>[1]Results!R1365</f>
        <v>0.2457342861577283</v>
      </c>
      <c r="P4" s="1">
        <f>[1]Results!S1365</f>
        <v>0.32905277137398325</v>
      </c>
      <c r="Q4" s="1">
        <f>[1]Results!T1365</f>
        <v>0.41761024914368505</v>
      </c>
      <c r="R4" s="1">
        <f>[1]Results!U1365</f>
        <v>0.51539535875166909</v>
      </c>
      <c r="S4" s="1">
        <f>[1]Results!V1365</f>
        <v>0.57603472219254215</v>
      </c>
      <c r="T4" s="1">
        <f>[1]Results!W1365</f>
        <v>0.6085840741736348</v>
      </c>
      <c r="U4" s="1">
        <f>[1]Results!X1365</f>
        <v>0.61874876687861846</v>
      </c>
      <c r="V4" s="1">
        <f>[1]Results!Y1365</f>
        <v>0.61402915575039518</v>
      </c>
      <c r="W4" s="1">
        <f>[1]Results!Z1365</f>
        <v>0.59467492823535029</v>
      </c>
      <c r="X4" s="1">
        <f>[1]Results!AA1365</f>
        <v>0.55680448982464714</v>
      </c>
      <c r="Y4" s="1">
        <f>[1]Results!AB1365</f>
        <v>0.50720322073565249</v>
      </c>
      <c r="Z4" s="1">
        <f>[1]Results!AC1365</f>
        <v>0.44959490828970772</v>
      </c>
      <c r="AA4" s="1">
        <f>[1]Results!AD1365</f>
        <v>0.38813231600065556</v>
      </c>
      <c r="AB4" s="1">
        <f>[1]Results!AE1365</f>
        <v>0.32649143005005765</v>
      </c>
      <c r="AC4" s="1">
        <f>[1]Results!AF1365</f>
        <v>0.26041493076909283</v>
      </c>
      <c r="AD4" s="1">
        <f>[1]Results!AG1365</f>
        <v>0.19135208676472892</v>
      </c>
      <c r="AE4" s="1">
        <f>[1]Results!AH1365</f>
        <v>0.12400362550486488</v>
      </c>
      <c r="AF4" s="1">
        <f>[1]Results!AI1365</f>
        <v>6.2965748625010143E-2</v>
      </c>
      <c r="AG4" s="1">
        <f>[1]Results!AJ1365</f>
        <v>1.1639285512599074E-2</v>
      </c>
      <c r="AH4" s="1">
        <f>[1]Results!AK1365</f>
        <v>-3.1975392267202807E-2</v>
      </c>
      <c r="AI4" s="1">
        <f>[1]Results!AL1365</f>
        <v>-6.4968961422839921E-2</v>
      </c>
      <c r="AJ4" s="1">
        <f>[1]Results!AM1365</f>
        <v>-8.6999891223460413E-2</v>
      </c>
      <c r="AK4" s="1">
        <f>[1]Results!AN1365</f>
        <v>-9.8610857151837372E-2</v>
      </c>
      <c r="AL4" s="1">
        <f>[1]Results!AO1365</f>
        <v>-0.1007482524325698</v>
      </c>
    </row>
    <row r="5" spans="1:38" x14ac:dyDescent="0.35">
      <c r="A5" s="3" t="str">
        <f>[1]Results!E1366</f>
        <v>100*((VA_2-VA_spub_2)/(VA_0-VA_spub_0)-1)</v>
      </c>
      <c r="B5" t="str">
        <f>[1]Results!C1366</f>
        <v>VA du secteur marchand</v>
      </c>
      <c r="C5" s="1">
        <f>[1]Results!F1366</f>
        <v>0</v>
      </c>
      <c r="D5" s="1">
        <f>[1]Results!G1366</f>
        <v>0</v>
      </c>
      <c r="E5" s="1">
        <f>[1]Results!H1366</f>
        <v>-6.107991890047515E-9</v>
      </c>
      <c r="F5" s="1">
        <f>[1]Results!I1366</f>
        <v>0</v>
      </c>
      <c r="G5" s="1">
        <f>[1]Results!J1366</f>
        <v>0</v>
      </c>
      <c r="H5" s="1">
        <f>[1]Results!K1366</f>
        <v>-5.6873061815565507E-9</v>
      </c>
      <c r="I5" s="1">
        <f>[1]Results!L1366</f>
        <v>2.6181726458007759E-2</v>
      </c>
      <c r="J5" s="1">
        <f>[1]Results!M1366</f>
        <v>-0.27273372688301212</v>
      </c>
      <c r="K5" s="1">
        <f>[1]Results!N1366</f>
        <v>-0.52438280473445786</v>
      </c>
      <c r="L5" s="1">
        <f>[1]Results!O1366</f>
        <v>-0.29317226153491305</v>
      </c>
      <c r="M5" s="1">
        <f>[1]Results!P1366</f>
        <v>-3.907667570748341E-2</v>
      </c>
      <c r="N5" s="1">
        <f>[1]Results!Q1366</f>
        <v>0.12269694133071329</v>
      </c>
      <c r="O5" s="1">
        <f>[1]Results!R1366</f>
        <v>0.21961228666520505</v>
      </c>
      <c r="P5" s="1">
        <f>[1]Results!S1366</f>
        <v>0.28820104359181808</v>
      </c>
      <c r="Q5" s="1">
        <f>[1]Results!T1366</f>
        <v>0.3654636232437225</v>
      </c>
      <c r="R5" s="1">
        <f>[1]Results!U1366</f>
        <v>0.45591013287902271</v>
      </c>
      <c r="S5" s="1">
        <f>[1]Results!V1366</f>
        <v>0.50582787900359527</v>
      </c>
      <c r="T5" s="1">
        <f>[1]Results!W1366</f>
        <v>0.52530802135843935</v>
      </c>
      <c r="U5" s="1">
        <f>[1]Results!X1366</f>
        <v>0.51825441720050325</v>
      </c>
      <c r="V5" s="1">
        <f>[1]Results!Y1366</f>
        <v>0.48964237140540767</v>
      </c>
      <c r="W5" s="1">
        <f>[1]Results!Z1366</f>
        <v>0.44296238207330862</v>
      </c>
      <c r="X5" s="1">
        <f>[1]Results!AA1366</f>
        <v>0.3750881839819975</v>
      </c>
      <c r="Y5" s="1">
        <f>[1]Results!AB1366</f>
        <v>0.29478986166517895</v>
      </c>
      <c r="Z5" s="1">
        <f>[1]Results!AC1366</f>
        <v>0.2069018606067452</v>
      </c>
      <c r="AA5" s="1">
        <f>[1]Results!AD1366</f>
        <v>0.11643137569077311</v>
      </c>
      <c r="AB5" s="1">
        <f>[1]Results!AE1366</f>
        <v>2.7627373084571083E-2</v>
      </c>
      <c r="AC5" s="1">
        <f>[1]Results!AF1366</f>
        <v>-6.3334849800644744E-2</v>
      </c>
      <c r="AD5" s="1">
        <f>[1]Results!AG1366</f>
        <v>-0.15503470194435653</v>
      </c>
      <c r="AE5" s="1">
        <f>[1]Results!AH1366</f>
        <v>-0.24223327263235284</v>
      </c>
      <c r="AF5" s="1">
        <f>[1]Results!AI1366</f>
        <v>-0.31991208504291713</v>
      </c>
      <c r="AG5" s="1">
        <f>[1]Results!AJ1366</f>
        <v>-0.38452899512385619</v>
      </c>
      <c r="AH5" s="1">
        <f>[1]Results!AK1366</f>
        <v>-0.43835263991494067</v>
      </c>
      <c r="AI5" s="1">
        <f>[1]Results!AL1366</f>
        <v>-0.47861107120218405</v>
      </c>
      <c r="AJ5" s="1">
        <f>[1]Results!AM1366</f>
        <v>-0.50544912339782755</v>
      </c>
      <c r="AK5" s="1">
        <f>[1]Results!AN1366</f>
        <v>-0.52002959589112496</v>
      </c>
      <c r="AL5" s="1">
        <f>[1]Results!AO1366</f>
        <v>-0.52395048932621924</v>
      </c>
    </row>
    <row r="6" spans="1:38" x14ac:dyDescent="0.35">
      <c r="A6" s="3" t="str">
        <f>[1]Results!E1367</f>
        <v>100*((CH_2-CH_0)/GDP_0)</v>
      </c>
      <c r="B6" t="s">
        <v>21</v>
      </c>
      <c r="C6" s="1">
        <f>[1]Results!F1367</f>
        <v>0</v>
      </c>
      <c r="D6" s="1">
        <f>[1]Results!G1367</f>
        <v>0</v>
      </c>
      <c r="E6" s="1">
        <f>[1]Results!H1367</f>
        <v>0</v>
      </c>
      <c r="F6" s="1">
        <f>[1]Results!I1367</f>
        <v>0</v>
      </c>
      <c r="G6" s="1">
        <f>[1]Results!J1367</f>
        <v>0</v>
      </c>
      <c r="H6" s="1">
        <f>[1]Results!K1367</f>
        <v>0</v>
      </c>
      <c r="I6" s="1">
        <f>[1]Results!L1367</f>
        <v>2.7948041856367394E-2</v>
      </c>
      <c r="J6" s="1">
        <f>[1]Results!M1367</f>
        <v>4.614300712859519E-2</v>
      </c>
      <c r="K6" s="1">
        <f>[1]Results!N1367</f>
        <v>5.367761843911821E-2</v>
      </c>
      <c r="L6" s="1">
        <f>[1]Results!O1367</f>
        <v>0.13847348660738812</v>
      </c>
      <c r="M6" s="1">
        <f>[1]Results!P1367</f>
        <v>0.33106465661917162</v>
      </c>
      <c r="N6" s="1">
        <f>[1]Results!Q1367</f>
        <v>0.55233764021112175</v>
      </c>
      <c r="O6" s="1">
        <f>[1]Results!R1367</f>
        <v>0.78994343438607306</v>
      </c>
      <c r="P6" s="1">
        <f>[1]Results!S1367</f>
        <v>1.0184127548953112</v>
      </c>
      <c r="Q6" s="1">
        <f>[1]Results!T1367</f>
        <v>1.2294827560729855</v>
      </c>
      <c r="R6" s="1">
        <f>[1]Results!U1367</f>
        <v>1.4260496889928242</v>
      </c>
      <c r="S6" s="1">
        <f>[1]Results!V1367</f>
        <v>1.5926786649855726</v>
      </c>
      <c r="T6" s="1">
        <f>[1]Results!W1367</f>
        <v>1.7344287875537461</v>
      </c>
      <c r="U6" s="1">
        <f>[1]Results!X1367</f>
        <v>1.8603756107069394</v>
      </c>
      <c r="V6" s="1">
        <f>[1]Results!Y1367</f>
        <v>1.9762771162734363</v>
      </c>
      <c r="W6" s="1">
        <f>[1]Results!Z1367</f>
        <v>2.0830150391380466</v>
      </c>
      <c r="X6" s="1">
        <f>[1]Results!AA1367</f>
        <v>2.1713152163776588</v>
      </c>
      <c r="Y6" s="1">
        <f>[1]Results!AB1367</f>
        <v>2.241337094576052</v>
      </c>
      <c r="Z6" s="1">
        <f>[1]Results!AC1367</f>
        <v>2.2927329145794877</v>
      </c>
      <c r="AA6" s="1">
        <f>[1]Results!AD1367</f>
        <v>2.3272011217460435</v>
      </c>
      <c r="AB6" s="1">
        <f>[1]Results!AE1367</f>
        <v>2.3475699185920731</v>
      </c>
      <c r="AC6" s="1">
        <f>[1]Results!AF1367</f>
        <v>2.342137049937334</v>
      </c>
      <c r="AD6" s="1">
        <f>[1]Results!AG1367</f>
        <v>2.3146946518984781</v>
      </c>
      <c r="AE6" s="1">
        <f>[1]Results!AH1367</f>
        <v>2.2706544347074105</v>
      </c>
      <c r="AF6" s="1">
        <f>[1]Results!AI1367</f>
        <v>2.2155649881172867</v>
      </c>
      <c r="AG6" s="1">
        <f>[1]Results!AJ1367</f>
        <v>2.1543543410926724</v>
      </c>
      <c r="AH6" s="1">
        <f>[1]Results!AK1367</f>
        <v>2.0858737845935118</v>
      </c>
      <c r="AI6" s="1">
        <f>[1]Results!AL1367</f>
        <v>2.015453933401318</v>
      </c>
      <c r="AJ6" s="1">
        <f>[1]Results!AM1367</f>
        <v>1.9466570066757771</v>
      </c>
      <c r="AK6" s="1">
        <f>[1]Results!AN1367</f>
        <v>1.8826172386531597</v>
      </c>
      <c r="AL6" s="1">
        <f>[1]Results!AO1367</f>
        <v>1.8261019500238962</v>
      </c>
    </row>
    <row r="7" spans="1:38" x14ac:dyDescent="0.35">
      <c r="A7" s="3" t="str">
        <f>[1]Results!E1368</f>
        <v>100*((CH_cveh_2-CH_cveh_0)/GDP_0)</v>
      </c>
      <c r="B7" t="str">
        <f>[1]Results!C1368</f>
        <v>Consommation des ménages automobile</v>
      </c>
      <c r="C7" s="1">
        <f>[1]Results!F1368</f>
        <v>0</v>
      </c>
      <c r="D7" s="1">
        <f>[1]Results!G1368</f>
        <v>4.471223447372298E-10</v>
      </c>
      <c r="E7" s="1">
        <f>[1]Results!H1368</f>
        <v>8.7713285687708979E-10</v>
      </c>
      <c r="F7" s="1">
        <f>[1]Results!I1368</f>
        <v>1.7180764677866315E-9</v>
      </c>
      <c r="G7" s="1">
        <f>[1]Results!J1368</f>
        <v>1.6808070759069787E-9</v>
      </c>
      <c r="H7" s="1">
        <f>[1]Results!K1368</f>
        <v>2.0535847838341749E-9</v>
      </c>
      <c r="I7" s="1">
        <f>[1]Results!L1368</f>
        <v>7.0143507478588633E-3</v>
      </c>
      <c r="J7" s="1">
        <f>[1]Results!M1368</f>
        <v>-8.9928800839668248E-3</v>
      </c>
      <c r="K7" s="1">
        <f>[1]Results!N1368</f>
        <v>-4.1872596776079629E-2</v>
      </c>
      <c r="L7" s="1">
        <f>[1]Results!O1368</f>
        <v>-8.1079358758032724E-2</v>
      </c>
      <c r="M7" s="1">
        <f>[1]Results!P1368</f>
        <v>-0.13287209578130066</v>
      </c>
      <c r="N7" s="1">
        <f>[1]Results!Q1368</f>
        <v>-0.11993768453639903</v>
      </c>
      <c r="O7" s="1">
        <f>[1]Results!R1368</f>
        <v>-8.8827772462859278E-2</v>
      </c>
      <c r="P7" s="1">
        <f>[1]Results!S1368</f>
        <v>-6.4415249454295748E-2</v>
      </c>
      <c r="Q7" s="1">
        <f>[1]Results!T1368</f>
        <v>-5.1245181589697229E-2</v>
      </c>
      <c r="R7" s="1">
        <f>[1]Results!U1368</f>
        <v>-4.7036881441023921E-2</v>
      </c>
      <c r="S7" s="1">
        <f>[1]Results!V1368</f>
        <v>-6.0958000963954456E-2</v>
      </c>
      <c r="T7" s="1">
        <f>[1]Results!W1368</f>
        <v>-8.3657133289046573E-2</v>
      </c>
      <c r="U7" s="1">
        <f>[1]Results!X1368</f>
        <v>-0.1062726422541445</v>
      </c>
      <c r="V7" s="1">
        <f>[1]Results!Y1368</f>
        <v>-0.12087367123534674</v>
      </c>
      <c r="W7" s="1">
        <f>[1]Results!Z1368</f>
        <v>-0.13217155262613675</v>
      </c>
      <c r="X7" s="1">
        <f>[1]Results!AA1368</f>
        <v>-0.13254989087810781</v>
      </c>
      <c r="Y7" s="1">
        <f>[1]Results!AB1368</f>
        <v>-0.13041360065626298</v>
      </c>
      <c r="Z7" s="1">
        <f>[1]Results!AC1368</f>
        <v>-0.12896963209499548</v>
      </c>
      <c r="AA7" s="1">
        <f>[1]Results!AD1368</f>
        <v>-0.12845475679287016</v>
      </c>
      <c r="AB7" s="1">
        <f>[1]Results!AE1368</f>
        <v>-0.12843522295692009</v>
      </c>
      <c r="AC7" s="1">
        <f>[1]Results!AF1368</f>
        <v>-0.12422524524010276</v>
      </c>
      <c r="AD7" s="1">
        <f>[1]Results!AG1368</f>
        <v>-0.11987408912494572</v>
      </c>
      <c r="AE7" s="1">
        <f>[1]Results!AH1368</f>
        <v>-0.11680494650458811</v>
      </c>
      <c r="AF7" s="1">
        <f>[1]Results!AI1368</f>
        <v>-0.11512682741823461</v>
      </c>
      <c r="AG7" s="1">
        <f>[1]Results!AJ1368</f>
        <v>-0.11469650552786795</v>
      </c>
      <c r="AH7" s="1">
        <f>[1]Results!AK1368</f>
        <v>-0.11366082549884605</v>
      </c>
      <c r="AI7" s="1">
        <f>[1]Results!AL1368</f>
        <v>-0.11376797193140471</v>
      </c>
      <c r="AJ7" s="1">
        <f>[1]Results!AM1368</f>
        <v>-0.11568620667369085</v>
      </c>
      <c r="AK7" s="1">
        <f>[1]Results!AN1368</f>
        <v>-0.11938816908401551</v>
      </c>
      <c r="AL7" s="1">
        <f>[1]Results!AO1368</f>
        <v>-0.12464289808777981</v>
      </c>
    </row>
    <row r="8" spans="1:38" x14ac:dyDescent="0.35">
      <c r="A8" s="3" t="str">
        <f>[1]Results!E1369</f>
        <v>100*((G_2-G_0)/GDP_0)</v>
      </c>
      <c r="B8" t="str">
        <f>[1]Results!C1369</f>
        <v>Dépenses publiques</v>
      </c>
      <c r="C8" s="1">
        <f>[1]Results!F1369</f>
        <v>0</v>
      </c>
      <c r="D8" s="1">
        <f>[1]Results!G1369</f>
        <v>0</v>
      </c>
      <c r="E8" s="1">
        <f>[1]Results!H1369</f>
        <v>0</v>
      </c>
      <c r="F8" s="1">
        <f>[1]Results!I1369</f>
        <v>0</v>
      </c>
      <c r="G8" s="1">
        <f>[1]Results!J1369</f>
        <v>0</v>
      </c>
      <c r="H8" s="1">
        <f>[1]Results!K1369</f>
        <v>0</v>
      </c>
      <c r="I8" s="1">
        <f>[1]Results!L1369</f>
        <v>0</v>
      </c>
      <c r="J8" s="1">
        <f>[1]Results!M1369</f>
        <v>0</v>
      </c>
      <c r="K8" s="1">
        <f>[1]Results!N1369</f>
        <v>0</v>
      </c>
      <c r="L8" s="1">
        <f>[1]Results!O1369</f>
        <v>0</v>
      </c>
      <c r="M8" s="1">
        <f>[1]Results!P1369</f>
        <v>0</v>
      </c>
      <c r="N8" s="1">
        <f>[1]Results!Q1369</f>
        <v>0</v>
      </c>
      <c r="O8" s="1">
        <f>[1]Results!R1369</f>
        <v>0</v>
      </c>
      <c r="P8" s="1">
        <f>[1]Results!S1369</f>
        <v>0</v>
      </c>
      <c r="Q8" s="1">
        <f>[1]Results!T1369</f>
        <v>0</v>
      </c>
      <c r="R8" s="1">
        <f>[1]Results!U1369</f>
        <v>0</v>
      </c>
      <c r="S8" s="1">
        <f>[1]Results!V1369</f>
        <v>0</v>
      </c>
      <c r="T8" s="1">
        <f>[1]Results!W1369</f>
        <v>0</v>
      </c>
      <c r="U8" s="1">
        <f>[1]Results!X1369</f>
        <v>0</v>
      </c>
      <c r="V8" s="1">
        <f>[1]Results!Y1369</f>
        <v>0</v>
      </c>
      <c r="W8" s="1">
        <f>[1]Results!Z1369</f>
        <v>0</v>
      </c>
      <c r="X8" s="1">
        <f>[1]Results!AA1369</f>
        <v>0</v>
      </c>
      <c r="Y8" s="1">
        <f>[1]Results!AB1369</f>
        <v>0</v>
      </c>
      <c r="Z8" s="1">
        <f>[1]Results!AC1369</f>
        <v>0</v>
      </c>
      <c r="AA8" s="1">
        <f>[1]Results!AD1369</f>
        <v>0</v>
      </c>
      <c r="AB8" s="1">
        <f>[1]Results!AE1369</f>
        <v>0</v>
      </c>
      <c r="AC8" s="1">
        <f>[1]Results!AF1369</f>
        <v>0</v>
      </c>
      <c r="AD8" s="1">
        <f>[1]Results!AG1369</f>
        <v>0</v>
      </c>
      <c r="AE8" s="1">
        <f>[1]Results!AH1369</f>
        <v>0</v>
      </c>
      <c r="AF8" s="1">
        <f>[1]Results!AI1369</f>
        <v>0</v>
      </c>
      <c r="AG8" s="1">
        <f>[1]Results!AJ1369</f>
        <v>0</v>
      </c>
      <c r="AH8" s="1">
        <f>[1]Results!AK1369</f>
        <v>0</v>
      </c>
      <c r="AI8" s="1">
        <f>[1]Results!AL1369</f>
        <v>0</v>
      </c>
      <c r="AJ8" s="1">
        <f>[1]Results!AM1369</f>
        <v>0</v>
      </c>
      <c r="AK8" s="1">
        <f>[1]Results!AN1369</f>
        <v>0</v>
      </c>
      <c r="AL8" s="1">
        <f>[1]Results!AO1369</f>
        <v>0</v>
      </c>
    </row>
    <row r="9" spans="1:38" x14ac:dyDescent="0.35">
      <c r="A9" s="3" t="str">
        <f>[1]Results!E1370</f>
        <v>100*((I_2-I_0)/GDP_0)</v>
      </c>
      <c r="B9" t="s">
        <v>23</v>
      </c>
      <c r="C9" s="1">
        <f>[1]Results!F1370</f>
        <v>0</v>
      </c>
      <c r="D9" s="1">
        <f>[1]Results!G1370</f>
        <v>0</v>
      </c>
      <c r="E9" s="1">
        <f>[1]Results!H1370</f>
        <v>0</v>
      </c>
      <c r="F9" s="1">
        <f>[1]Results!I1370</f>
        <v>4.2951914819828759E-9</v>
      </c>
      <c r="G9" s="1">
        <f>[1]Results!J1370</f>
        <v>0</v>
      </c>
      <c r="H9" s="1">
        <f>[1]Results!K1370</f>
        <v>4.1071719583555708E-9</v>
      </c>
      <c r="I9" s="1">
        <f>[1]Results!L1370</f>
        <v>4.6025894887990401E-3</v>
      </c>
      <c r="J9" s="1">
        <f>[1]Results!M1370</f>
        <v>-3.1797023095116277E-2</v>
      </c>
      <c r="K9" s="1">
        <f>[1]Results!N1370</f>
        <v>-8.362437193389774E-2</v>
      </c>
      <c r="L9" s="1">
        <f>[1]Results!O1370</f>
        <v>-8.3307959343825011E-2</v>
      </c>
      <c r="M9" s="1">
        <f>[1]Results!P1370</f>
        <v>-5.7743532807315152E-2</v>
      </c>
      <c r="N9" s="1">
        <f>[1]Results!Q1370</f>
        <v>-1.7828466396575187E-2</v>
      </c>
      <c r="O9" s="1">
        <f>[1]Results!R1370</f>
        <v>2.4066241955915176E-2</v>
      </c>
      <c r="P9" s="1">
        <f>[1]Results!S1370</f>
        <v>6.5305224972798712E-2</v>
      </c>
      <c r="Q9" s="1">
        <f>[1]Results!T1370</f>
        <v>0.10917510768316881</v>
      </c>
      <c r="R9" s="1">
        <f>[1]Results!U1370</f>
        <v>0.1577517801263579</v>
      </c>
      <c r="S9" s="1">
        <f>[1]Results!V1370</f>
        <v>0.20180199012557781</v>
      </c>
      <c r="T9" s="1">
        <f>[1]Results!W1370</f>
        <v>0.24046281298033628</v>
      </c>
      <c r="U9" s="1">
        <f>[1]Results!X1370</f>
        <v>0.27490559089893368</v>
      </c>
      <c r="V9" s="1">
        <f>[1]Results!Y1370</f>
        <v>0.30757348335545476</v>
      </c>
      <c r="W9" s="1">
        <f>[1]Results!Z1370</f>
        <v>0.33950795660244576</v>
      </c>
      <c r="X9" s="1">
        <f>[1]Results!AA1370</f>
        <v>0.37280186358901496</v>
      </c>
      <c r="Y9" s="1">
        <f>[1]Results!AB1370</f>
        <v>0.40745603760187754</v>
      </c>
      <c r="Z9" s="1">
        <f>[1]Results!AC1370</f>
        <v>0.44360034046612568</v>
      </c>
      <c r="AA9" s="1">
        <f>[1]Results!AD1370</f>
        <v>0.48166462167685209</v>
      </c>
      <c r="AB9" s="1">
        <f>[1]Results!AE1370</f>
        <v>0.52219822839165664</v>
      </c>
      <c r="AC9" s="1">
        <f>[1]Results!AF1370</f>
        <v>0.56636967907201996</v>
      </c>
      <c r="AD9" s="1">
        <f>[1]Results!AG1370</f>
        <v>0.61283747543864631</v>
      </c>
      <c r="AE9" s="1">
        <f>[1]Results!AH1370</f>
        <v>0.66098388932221286</v>
      </c>
      <c r="AF9" s="1">
        <f>[1]Results!AI1370</f>
        <v>0.71068225114951422</v>
      </c>
      <c r="AG9" s="1">
        <f>[1]Results!AJ1370</f>
        <v>0.76192382571154449</v>
      </c>
      <c r="AH9" s="1">
        <f>[1]Results!AK1370</f>
        <v>0.81467642460021605</v>
      </c>
      <c r="AI9" s="1">
        <f>[1]Results!AL1370</f>
        <v>0.86839458317861351</v>
      </c>
      <c r="AJ9" s="1">
        <f>[1]Results!AM1370</f>
        <v>0.92252264934945016</v>
      </c>
      <c r="AK9" s="1">
        <f>[1]Results!AN1370</f>
        <v>0.97648955687093075</v>
      </c>
      <c r="AL9" s="1">
        <f>[1]Results!AO1370</f>
        <v>1.0297310923867189</v>
      </c>
    </row>
    <row r="10" spans="1:38" x14ac:dyDescent="0.35">
      <c r="A10" s="3" t="str">
        <f>[1]Results!E1371</f>
        <v>100*((DS_2-DS_0)/GDP_0)</v>
      </c>
      <c r="B10" t="str">
        <f>[1]Results!C1371</f>
        <v>Variations de stocks</v>
      </c>
      <c r="C10" s="1">
        <f>[1]Results!F1371</f>
        <v>0</v>
      </c>
      <c r="D10" s="1">
        <f>[1]Results!G1371</f>
        <v>0</v>
      </c>
      <c r="E10" s="1">
        <f>[1]Results!H1371</f>
        <v>0</v>
      </c>
      <c r="F10" s="1">
        <f>[1]Results!I1371</f>
        <v>0</v>
      </c>
      <c r="G10" s="1">
        <f>[1]Results!J1371</f>
        <v>0</v>
      </c>
      <c r="H10" s="1">
        <f>[1]Results!K1371</f>
        <v>0</v>
      </c>
      <c r="I10" s="1">
        <f>[1]Results!L1371</f>
        <v>0</v>
      </c>
      <c r="J10" s="1">
        <f>[1]Results!M1371</f>
        <v>0</v>
      </c>
      <c r="K10" s="1">
        <f>[1]Results!N1371</f>
        <v>0</v>
      </c>
      <c r="L10" s="1">
        <f>[1]Results!O1371</f>
        <v>0</v>
      </c>
      <c r="M10" s="1">
        <f>[1]Results!P1371</f>
        <v>0</v>
      </c>
      <c r="N10" s="1">
        <f>[1]Results!Q1371</f>
        <v>0</v>
      </c>
      <c r="O10" s="1">
        <f>[1]Results!R1371</f>
        <v>0</v>
      </c>
      <c r="P10" s="1">
        <f>[1]Results!S1371</f>
        <v>0</v>
      </c>
      <c r="Q10" s="1">
        <f>[1]Results!T1371</f>
        <v>0</v>
      </c>
      <c r="R10" s="1">
        <f>[1]Results!U1371</f>
        <v>0</v>
      </c>
      <c r="S10" s="1">
        <f>[1]Results!V1371</f>
        <v>0</v>
      </c>
      <c r="T10" s="1">
        <f>[1]Results!W1371</f>
        <v>0</v>
      </c>
      <c r="U10" s="1">
        <f>[1]Results!X1371</f>
        <v>0</v>
      </c>
      <c r="V10" s="1">
        <f>[1]Results!Y1371</f>
        <v>0</v>
      </c>
      <c r="W10" s="1">
        <f>[1]Results!Z1371</f>
        <v>0</v>
      </c>
      <c r="X10" s="1">
        <f>[1]Results!AA1371</f>
        <v>0</v>
      </c>
      <c r="Y10" s="1">
        <f>[1]Results!AB1371</f>
        <v>0</v>
      </c>
      <c r="Z10" s="1">
        <f>[1]Results!AC1371</f>
        <v>0</v>
      </c>
      <c r="AA10" s="1">
        <f>[1]Results!AD1371</f>
        <v>0</v>
      </c>
      <c r="AB10" s="1">
        <f>[1]Results!AE1371</f>
        <v>0</v>
      </c>
      <c r="AC10" s="1">
        <f>[1]Results!AF1371</f>
        <v>0</v>
      </c>
      <c r="AD10" s="1">
        <f>[1]Results!AG1371</f>
        <v>0</v>
      </c>
      <c r="AE10" s="1">
        <f>[1]Results!AH1371</f>
        <v>0</v>
      </c>
      <c r="AF10" s="1">
        <f>[1]Results!AI1371</f>
        <v>0</v>
      </c>
      <c r="AG10" s="1">
        <f>[1]Results!AJ1371</f>
        <v>0</v>
      </c>
      <c r="AH10" s="1">
        <f>[1]Results!AK1371</f>
        <v>0</v>
      </c>
      <c r="AI10" s="1">
        <f>[1]Results!AL1371</f>
        <v>0</v>
      </c>
      <c r="AJ10" s="1">
        <f>[1]Results!AM1371</f>
        <v>0</v>
      </c>
      <c r="AK10" s="1">
        <f>[1]Results!AN1371</f>
        <v>0</v>
      </c>
      <c r="AL10" s="1">
        <f>[1]Results!AO1371</f>
        <v>0</v>
      </c>
    </row>
    <row r="11" spans="1:38" x14ac:dyDescent="0.35">
      <c r="A11" s="3" t="str">
        <f>[1]Results!E1372</f>
        <v>100*((X_2-X_0)/GDP_0)-100*((M_2-M_0)/GDP_0)</v>
      </c>
      <c r="B11" t="s">
        <v>22</v>
      </c>
      <c r="C11" s="1">
        <f>[1]Results!F1372</f>
        <v>-4.5515840316693176E-9</v>
      </c>
      <c r="D11" s="1">
        <f>[1]Results!G1372</f>
        <v>-4.4712260499697865E-9</v>
      </c>
      <c r="E11" s="1">
        <f>[1]Results!H1372</f>
        <v>0</v>
      </c>
      <c r="F11" s="1">
        <f>[1]Results!I1372</f>
        <v>-8.5903829639657518E-9</v>
      </c>
      <c r="G11" s="1">
        <f>[1]Results!J1372</f>
        <v>-8.4040359910089622E-9</v>
      </c>
      <c r="H11" s="1">
        <f>[1]Results!K1372</f>
        <v>-8.2143391353366997E-9</v>
      </c>
      <c r="I11" s="1">
        <f>[1]Results!L1372</f>
        <v>-7.5070325592047253E-3</v>
      </c>
      <c r="J11" s="1">
        <f>[1]Results!M1372</f>
        <v>-0.2218152984636893</v>
      </c>
      <c r="K11" s="1">
        <f>[1]Results!N1372</f>
        <v>-0.38119379610085957</v>
      </c>
      <c r="L11" s="1">
        <f>[1]Results!O1372</f>
        <v>-0.28394863747826676</v>
      </c>
      <c r="M11" s="1">
        <f>[1]Results!P1372</f>
        <v>-0.28559544151630906</v>
      </c>
      <c r="N11" s="1">
        <f>[1]Results!Q1372</f>
        <v>-0.39452725721079362</v>
      </c>
      <c r="O11" s="1">
        <f>[1]Results!R1372</f>
        <v>-0.56827541487828159</v>
      </c>
      <c r="P11" s="1">
        <f>[1]Results!S1372</f>
        <v>-0.75466523974280963</v>
      </c>
      <c r="Q11" s="1">
        <f>[1]Results!T1372</f>
        <v>-0.92104762829838271</v>
      </c>
      <c r="R11" s="1">
        <f>[1]Results!U1372</f>
        <v>-1.0684061103675171</v>
      </c>
      <c r="S11" s="1">
        <f>[1]Results!V1372</f>
        <v>-1.2184459562123529</v>
      </c>
      <c r="T11" s="1">
        <f>[1]Results!W1372</f>
        <v>-1.3663075296410061</v>
      </c>
      <c r="U11" s="1">
        <f>[1]Results!X1372</f>
        <v>-1.5165324314953199</v>
      </c>
      <c r="V11" s="1">
        <f>[1]Results!Y1372</f>
        <v>-1.6698214343343354</v>
      </c>
      <c r="W11" s="1">
        <f>[1]Results!Z1372</f>
        <v>-1.8278480549888596</v>
      </c>
      <c r="X11" s="1">
        <f>[1]Results!AA1372</f>
        <v>-1.9873125747704938</v>
      </c>
      <c r="Y11" s="1">
        <f>[1]Results!AB1372</f>
        <v>-2.1415899446295845</v>
      </c>
      <c r="Z11" s="1">
        <f>[1]Results!AC1372</f>
        <v>-2.286738331969147</v>
      </c>
      <c r="AA11" s="1">
        <f>[1]Results!AD1372</f>
        <v>-2.4207334419006812</v>
      </c>
      <c r="AB11" s="1">
        <f>[1]Results!AE1372</f>
        <v>-2.5432766914332929</v>
      </c>
      <c r="AC11" s="1">
        <f>[1]Results!AF1372</f>
        <v>-2.6480917677722502</v>
      </c>
      <c r="AD11" s="1">
        <f>[1]Results!AG1372</f>
        <v>-2.736180032455767</v>
      </c>
      <c r="AE11" s="1">
        <f>[1]Results!AH1372</f>
        <v>-2.8076347302147506</v>
      </c>
      <c r="AF11" s="1">
        <f>[1]Results!AI1372</f>
        <v>-2.8632814829128916</v>
      </c>
      <c r="AG11" s="1">
        <f>[1]Results!AJ1372</f>
        <v>-2.9046388812916168</v>
      </c>
      <c r="AH11" s="1">
        <f>[1]Results!AK1372</f>
        <v>-2.9325256259651145</v>
      </c>
      <c r="AI11" s="1">
        <f>[1]Results!AL1372</f>
        <v>-2.9488175019024809</v>
      </c>
      <c r="AJ11" s="1">
        <f>[1]Results!AM1372</f>
        <v>-2.9561795239327608</v>
      </c>
      <c r="AK11" s="1">
        <f>[1]Results!AN1372</f>
        <v>-2.9577176071657205</v>
      </c>
      <c r="AL11" s="1">
        <f>[1]Results!AO1372</f>
        <v>-2.9565812948431924</v>
      </c>
    </row>
    <row r="12" spans="1:38" x14ac:dyDescent="0.35">
      <c r="A12" s="3" t="str">
        <f>[1]Results!E1373</f>
        <v>100*((CH_2-CH_ccon_2-(CH_0-CH_ccon_0))/GDP_0)</v>
      </c>
      <c r="B12" t="str">
        <f>[1]Results!C1373</f>
        <v>Consommation des ménages</v>
      </c>
      <c r="C12" s="1">
        <f>[1]Results!F1373</f>
        <v>0</v>
      </c>
      <c r="D12" s="1">
        <f>[1]Results!G1373</f>
        <v>0</v>
      </c>
      <c r="E12" s="1">
        <f>[1]Results!H1373</f>
        <v>0</v>
      </c>
      <c r="F12" s="1">
        <f>[1]Results!I1373</f>
        <v>0</v>
      </c>
      <c r="G12" s="1">
        <f>[1]Results!J1373</f>
        <v>0</v>
      </c>
      <c r="H12" s="1">
        <f>[1]Results!K1373</f>
        <v>-4.1072006466022304E-10</v>
      </c>
      <c r="I12" s="1">
        <f>[1]Results!L1373</f>
        <v>2.7464605658252275E-2</v>
      </c>
      <c r="J12" s="1">
        <f>[1]Results!M1373</f>
        <v>4.5370895846465628E-2</v>
      </c>
      <c r="K12" s="1">
        <f>[1]Results!N1373</f>
        <v>5.3033839837088433E-2</v>
      </c>
      <c r="L12" s="1">
        <f>[1]Results!O1373</f>
        <v>0.13732306421775259</v>
      </c>
      <c r="M12" s="1">
        <f>[1]Results!P1373</f>
        <v>0.32852060408780775</v>
      </c>
      <c r="N12" s="1">
        <f>[1]Results!Q1373</f>
        <v>0.54827851383511794</v>
      </c>
      <c r="O12" s="1">
        <f>[1]Results!R1373</f>
        <v>0.78360550045972377</v>
      </c>
      <c r="P12" s="1">
        <f>[1]Results!S1373</f>
        <v>1.0093548616131593</v>
      </c>
      <c r="Q12" s="1">
        <f>[1]Results!T1373</f>
        <v>1.2176031733913606</v>
      </c>
      <c r="R12" s="1">
        <f>[1]Results!U1373</f>
        <v>1.4113995696047561</v>
      </c>
      <c r="S12" s="1">
        <f>[1]Results!V1373</f>
        <v>1.5756758055297471</v>
      </c>
      <c r="T12" s="1">
        <f>[1]Results!W1373</f>
        <v>1.7155533536053209</v>
      </c>
      <c r="U12" s="1">
        <f>[1]Results!X1373</f>
        <v>1.8399702119174337</v>
      </c>
      <c r="V12" s="1">
        <f>[1]Results!Y1373</f>
        <v>1.9545389966403119</v>
      </c>
      <c r="W12" s="1">
        <f>[1]Results!Z1373</f>
        <v>2.0599837436563107</v>
      </c>
      <c r="X12" s="1">
        <f>[1]Results!AA1373</f>
        <v>2.1470975145910751</v>
      </c>
      <c r="Y12" s="1">
        <f>[1]Results!AB1373</f>
        <v>2.2159534170103172</v>
      </c>
      <c r="Z12" s="1">
        <f>[1]Results!AC1373</f>
        <v>2.2662687808063833</v>
      </c>
      <c r="AA12" s="1">
        <f>[1]Results!AD1373</f>
        <v>2.2998099663798262</v>
      </c>
      <c r="AB12" s="1">
        <f>[1]Results!AE1373</f>
        <v>2.3194350065544005</v>
      </c>
      <c r="AC12" s="1">
        <f>[1]Results!AF1373</f>
        <v>2.3136382539447373</v>
      </c>
      <c r="AD12" s="1">
        <f>[1]Results!AG1373</f>
        <v>2.2861493391757937</v>
      </c>
      <c r="AE12" s="1">
        <f>[1]Results!AH1373</f>
        <v>2.2423500905399147</v>
      </c>
      <c r="AF12" s="1">
        <f>[1]Results!AI1373</f>
        <v>2.1877548373524824</v>
      </c>
      <c r="AG12" s="1">
        <f>[1]Results!AJ1373</f>
        <v>2.127245849207994</v>
      </c>
      <c r="AH12" s="1">
        <f>[1]Results!AK1373</f>
        <v>2.0596705365869248</v>
      </c>
      <c r="AI12" s="1">
        <f>[1]Results!AL1373</f>
        <v>1.9902580772685277</v>
      </c>
      <c r="AJ12" s="1">
        <f>[1]Results!AM1373</f>
        <v>1.9225208549550681</v>
      </c>
      <c r="AK12" s="1">
        <f>[1]Results!AN1373</f>
        <v>1.8595502640497765</v>
      </c>
      <c r="AL12" s="1">
        <f>[1]Results!AO1373</f>
        <v>1.8040678974838984</v>
      </c>
    </row>
    <row r="13" spans="1:38" x14ac:dyDescent="0.35">
      <c r="A13" s="3" t="str">
        <f>[1]Results!E1374</f>
        <v>100*((I_2+CH_ccon_2-(I_0+CH_ccon_0))/GDP_0)</v>
      </c>
      <c r="B13" t="s">
        <v>23</v>
      </c>
      <c r="C13" s="1">
        <f>[1]Results!F1374</f>
        <v>0</v>
      </c>
      <c r="D13" s="1">
        <f>[1]Results!G1374</f>
        <v>0</v>
      </c>
      <c r="E13" s="1">
        <f>[1]Results!H1374</f>
        <v>0</v>
      </c>
      <c r="F13" s="1">
        <f>[1]Results!I1374</f>
        <v>4.2951914819828759E-9</v>
      </c>
      <c r="G13" s="1">
        <f>[1]Results!J1374</f>
        <v>0</v>
      </c>
      <c r="H13" s="1">
        <f>[1]Results!K1374</f>
        <v>4.5178872416413514E-9</v>
      </c>
      <c r="I13" s="1">
        <f>[1]Results!L1374</f>
        <v>5.0860256869188257E-3</v>
      </c>
      <c r="J13" s="1">
        <f>[1]Results!M1374</f>
        <v>-3.1024911812986718E-2</v>
      </c>
      <c r="K13" s="1">
        <f>[1]Results!N1374</f>
        <v>-8.29805933318635E-2</v>
      </c>
      <c r="L13" s="1">
        <f>[1]Results!O1374</f>
        <v>-8.2157536954193866E-2</v>
      </c>
      <c r="M13" s="1">
        <f>[1]Results!P1374</f>
        <v>-5.5199480275955497E-2</v>
      </c>
      <c r="N13" s="1">
        <f>[1]Results!Q1374</f>
        <v>-1.3769340020571475E-2</v>
      </c>
      <c r="O13" s="1">
        <f>[1]Results!R1374</f>
        <v>3.040417588226859E-2</v>
      </c>
      <c r="P13" s="1">
        <f>[1]Results!S1374</f>
        <v>7.4363118254946778E-2</v>
      </c>
      <c r="Q13" s="1">
        <f>[1]Results!T1374</f>
        <v>0.12105469036479395</v>
      </c>
      <c r="R13" s="1">
        <f>[1]Results!U1374</f>
        <v>0.17240189951442622</v>
      </c>
      <c r="S13" s="1">
        <f>[1]Results!V1374</f>
        <v>0.21880484958139956</v>
      </c>
      <c r="T13" s="1">
        <f>[1]Results!W1374</f>
        <v>0.25933824692876151</v>
      </c>
      <c r="U13" s="1">
        <f>[1]Results!X1374</f>
        <v>0.2953109896884431</v>
      </c>
      <c r="V13" s="1">
        <f>[1]Results!Y1374</f>
        <v>0.32931160298857509</v>
      </c>
      <c r="W13" s="1">
        <f>[1]Results!Z1374</f>
        <v>0.36253925208418192</v>
      </c>
      <c r="X13" s="1">
        <f>[1]Results!AA1374</f>
        <v>0.39701956537559852</v>
      </c>
      <c r="Y13" s="1">
        <f>[1]Results!AB1374</f>
        <v>0.43283971516760861</v>
      </c>
      <c r="Z13" s="1">
        <f>[1]Results!AC1374</f>
        <v>0.47006447423922315</v>
      </c>
      <c r="AA13" s="1">
        <f>[1]Results!AD1374</f>
        <v>0.50905577704306582</v>
      </c>
      <c r="AB13" s="1">
        <f>[1]Results!AE1374</f>
        <v>0.55033314042932602</v>
      </c>
      <c r="AC13" s="1">
        <f>[1]Results!AF1374</f>
        <v>0.59486847506461038</v>
      </c>
      <c r="AD13" s="1">
        <f>[1]Results!AG1374</f>
        <v>0.64138278816132777</v>
      </c>
      <c r="AE13" s="1">
        <f>[1]Results!AH1374</f>
        <v>0.68928823348971169</v>
      </c>
      <c r="AF13" s="1">
        <f>[1]Results!AI1374</f>
        <v>0.73849240191431509</v>
      </c>
      <c r="AG13" s="1">
        <f>[1]Results!AJ1374</f>
        <v>0.78903231759623171</v>
      </c>
      <c r="AH13" s="1">
        <f>[1]Results!AK1374</f>
        <v>0.84087967260679741</v>
      </c>
      <c r="AI13" s="1">
        <f>[1]Results!AL1374</f>
        <v>0.89359043931141491</v>
      </c>
      <c r="AJ13" s="1">
        <f>[1]Results!AM1374</f>
        <v>0.94665880107015388</v>
      </c>
      <c r="AK13" s="1">
        <f>[1]Results!AN1374</f>
        <v>0.99955653147431389</v>
      </c>
      <c r="AL13" s="1">
        <f>[1]Results!AO1374</f>
        <v>1.0517651449267216</v>
      </c>
    </row>
    <row r="14" spans="1:38" x14ac:dyDescent="0.35">
      <c r="A14" s="3" t="str">
        <f>[1]Results!E1375</f>
        <v>100*((I_2-IA_spub_2-(I_0-IA_spub_0))/GDP_0)</v>
      </c>
      <c r="B14" t="str">
        <f>[1]Results!C1375</f>
        <v>Investissement entreprises</v>
      </c>
      <c r="C14" s="1">
        <f>[1]Results!F1375</f>
        <v>0</v>
      </c>
      <c r="D14" s="1">
        <f>[1]Results!G1375</f>
        <v>0</v>
      </c>
      <c r="E14" s="1">
        <f>[1]Results!H1375</f>
        <v>0</v>
      </c>
      <c r="F14" s="1">
        <f>[1]Results!I1375</f>
        <v>4.2951889818525007E-9</v>
      </c>
      <c r="G14" s="1">
        <f>[1]Results!J1375</f>
        <v>0</v>
      </c>
      <c r="H14" s="1">
        <f>[1]Results!K1375</f>
        <v>3.6964542843825696E-9</v>
      </c>
      <c r="I14" s="1">
        <f>[1]Results!L1375</f>
        <v>4.3163680207779108E-3</v>
      </c>
      <c r="J14" s="1">
        <f>[1]Results!M1375</f>
        <v>-3.1491353092950439E-2</v>
      </c>
      <c r="K14" s="1">
        <f>[1]Results!N1375</f>
        <v>-8.2321135620713484E-2</v>
      </c>
      <c r="L14" s="1">
        <f>[1]Results!O1375</f>
        <v>-8.14457917875996E-2</v>
      </c>
      <c r="M14" s="1">
        <f>[1]Results!P1375</f>
        <v>-5.5312024033114644E-2</v>
      </c>
      <c r="N14" s="1">
        <f>[1]Results!Q1375</f>
        <v>-1.6253985885115268E-2</v>
      </c>
      <c r="O14" s="1">
        <f>[1]Results!R1375</f>
        <v>2.4148942181737663E-2</v>
      </c>
      <c r="P14" s="1">
        <f>[1]Results!S1375</f>
        <v>6.3644790751201566E-2</v>
      </c>
      <c r="Q14" s="1">
        <f>[1]Results!T1375</f>
        <v>0.10564796127629753</v>
      </c>
      <c r="R14" s="1">
        <f>[1]Results!U1375</f>
        <v>0.15227290527108001</v>
      </c>
      <c r="S14" s="1">
        <f>[1]Results!V1375</f>
        <v>0.19466642618028107</v>
      </c>
      <c r="T14" s="1">
        <f>[1]Results!W1375</f>
        <v>0.2319180818481423</v>
      </c>
      <c r="U14" s="1">
        <f>[1]Results!X1375</f>
        <v>0.2650617162550874</v>
      </c>
      <c r="V14" s="1">
        <f>[1]Results!Y1375</f>
        <v>0.29634037239906597</v>
      </c>
      <c r="W14" s="1">
        <f>[1]Results!Z1375</f>
        <v>0.32676147486156765</v>
      </c>
      <c r="X14" s="1">
        <f>[1]Results!AA1375</f>
        <v>0.35820043488671777</v>
      </c>
      <c r="Y14" s="1">
        <f>[1]Results!AB1375</f>
        <v>0.3907608235366829</v>
      </c>
      <c r="Z14" s="1">
        <f>[1]Results!AC1375</f>
        <v>0.42464048273679517</v>
      </c>
      <c r="AA14" s="1">
        <f>[1]Results!AD1375</f>
        <v>0.46030762433435773</v>
      </c>
      <c r="AB14" s="1">
        <f>[1]Results!AE1375</f>
        <v>0.49833189925861482</v>
      </c>
      <c r="AC14" s="1">
        <f>[1]Results!AF1375</f>
        <v>0.53982544249842057</v>
      </c>
      <c r="AD14" s="1">
        <f>[1]Results!AG1375</f>
        <v>0.58358065743291176</v>
      </c>
      <c r="AE14" s="1">
        <f>[1]Results!AH1375</f>
        <v>0.62905205806946984</v>
      </c>
      <c r="AF14" s="1">
        <f>[1]Results!AI1375</f>
        <v>0.6761438695504286</v>
      </c>
      <c r="AG14" s="1">
        <f>[1]Results!AJ1375</f>
        <v>0.72486032436515957</v>
      </c>
      <c r="AH14" s="1">
        <f>[1]Results!AK1375</f>
        <v>0.77513457381439022</v>
      </c>
      <c r="AI14" s="1">
        <f>[1]Results!AL1375</f>
        <v>0.82646663807216225</v>
      </c>
      <c r="AJ14" s="1">
        <f>[1]Results!AM1375</f>
        <v>0.87832521126891638</v>
      </c>
      <c r="AK14" s="1">
        <f>[1]Results!AN1375</f>
        <v>0.93014782876505098</v>
      </c>
      <c r="AL14" s="1">
        <f>[1]Results!AO1375</f>
        <v>0.98136747009826131</v>
      </c>
    </row>
    <row r="15" spans="1:38" x14ac:dyDescent="0.35">
      <c r="A15" s="3" t="str">
        <f>[1]Results!E1376</f>
        <v>100*((CH_ccon_2-CH_ccon_0)/GDP_0)</v>
      </c>
      <c r="B15" t="str">
        <f>[1]Results!C1376</f>
        <v>Investissement ménages</v>
      </c>
      <c r="C15" s="1">
        <f>[1]Results!F1376</f>
        <v>0</v>
      </c>
      <c r="D15" s="1">
        <f>[1]Results!G1376</f>
        <v>0</v>
      </c>
      <c r="E15" s="1">
        <f>[1]Results!H1376</f>
        <v>0</v>
      </c>
      <c r="F15" s="1">
        <f>[1]Results!I1376</f>
        <v>0</v>
      </c>
      <c r="G15" s="1">
        <f>[1]Results!J1376</f>
        <v>0</v>
      </c>
      <c r="H15" s="1">
        <f>[1]Results!K1376</f>
        <v>4.1071692688324469E-10</v>
      </c>
      <c r="I15" s="1">
        <f>[1]Results!L1376</f>
        <v>4.8343619811555067E-4</v>
      </c>
      <c r="J15" s="1">
        <f>[1]Results!M1376</f>
        <v>7.7211128212941306E-4</v>
      </c>
      <c r="K15" s="1">
        <f>[1]Results!N1376</f>
        <v>6.4377860203116723E-4</v>
      </c>
      <c r="L15" s="1">
        <f>[1]Results!O1376</f>
        <v>1.1504223896315572E-3</v>
      </c>
      <c r="M15" s="1">
        <f>[1]Results!P1376</f>
        <v>2.5440525313603153E-3</v>
      </c>
      <c r="N15" s="1">
        <f>[1]Results!Q1376</f>
        <v>4.0591263760072389E-3</v>
      </c>
      <c r="O15" s="1">
        <f>[1]Results!R1376</f>
        <v>6.3379339263527719E-3</v>
      </c>
      <c r="P15" s="1">
        <f>[1]Results!S1376</f>
        <v>9.0578932821503474E-3</v>
      </c>
      <c r="Q15" s="1">
        <f>[1]Results!T1376</f>
        <v>1.1879582681623417E-2</v>
      </c>
      <c r="R15" s="1">
        <f>[1]Results!U1376</f>
        <v>1.4650119388069682E-2</v>
      </c>
      <c r="S15" s="1">
        <f>[1]Results!V1376</f>
        <v>1.7002859455822337E-2</v>
      </c>
      <c r="T15" s="1">
        <f>[1]Results!W1376</f>
        <v>1.8875433948425502E-2</v>
      </c>
      <c r="U15" s="1">
        <f>[1]Results!X1376</f>
        <v>2.0405398789509768E-2</v>
      </c>
      <c r="V15" s="1">
        <f>[1]Results!Y1376</f>
        <v>2.1738119633119404E-2</v>
      </c>
      <c r="W15" s="1">
        <f>[1]Results!Z1376</f>
        <v>2.3031295481733625E-2</v>
      </c>
      <c r="X15" s="1">
        <f>[1]Results!AA1376</f>
        <v>2.421770178658245E-2</v>
      </c>
      <c r="Y15" s="1">
        <f>[1]Results!AB1376</f>
        <v>2.5383677565730182E-2</v>
      </c>
      <c r="Z15" s="1">
        <f>[1]Results!AC1376</f>
        <v>2.646413377309937E-2</v>
      </c>
      <c r="AA15" s="1">
        <f>[1]Results!AD1376</f>
        <v>2.7391155366214847E-2</v>
      </c>
      <c r="AB15" s="1">
        <f>[1]Results!AE1376</f>
        <v>2.8134912037669768E-2</v>
      </c>
      <c r="AC15" s="1">
        <f>[1]Results!AF1376</f>
        <v>2.8498795992592297E-2</v>
      </c>
      <c r="AD15" s="1">
        <f>[1]Results!AG1376</f>
        <v>2.8545312722683305E-2</v>
      </c>
      <c r="AE15" s="1">
        <f>[1]Results!AH1376</f>
        <v>2.8304344167499634E-2</v>
      </c>
      <c r="AF15" s="1">
        <f>[1]Results!AI1376</f>
        <v>2.7810150764799434E-2</v>
      </c>
      <c r="AG15" s="1">
        <f>[1]Results!AJ1376</f>
        <v>2.7108491884685001E-2</v>
      </c>
      <c r="AH15" s="1">
        <f>[1]Results!AK1376</f>
        <v>2.6203248006581872E-2</v>
      </c>
      <c r="AI15" s="1">
        <f>[1]Results!AL1376</f>
        <v>2.5195856132800648E-2</v>
      </c>
      <c r="AJ15" s="1">
        <f>[1]Results!AM1376</f>
        <v>2.4136151720701396E-2</v>
      </c>
      <c r="AK15" s="1">
        <f>[1]Results!AN1376</f>
        <v>2.3066974603383042E-2</v>
      </c>
      <c r="AL15" s="1">
        <f>[1]Results!AO1376</f>
        <v>2.2034052539998926E-2</v>
      </c>
    </row>
    <row r="16" spans="1:38" x14ac:dyDescent="0.35">
      <c r="A16" s="3" t="str">
        <f>[1]Results!E1377</f>
        <v>100*((IA_spub_2-IA_spub_0)/GDP_0)</v>
      </c>
      <c r="B16" t="str">
        <f>[1]Results!C1377</f>
        <v>Investissement public</v>
      </c>
      <c r="C16" s="1">
        <f>[1]Results!F1377</f>
        <v>0</v>
      </c>
      <c r="D16" s="1">
        <f>[1]Results!G1377</f>
        <v>0</v>
      </c>
      <c r="E16" s="1">
        <f>[1]Results!H1377</f>
        <v>0</v>
      </c>
      <c r="F16" s="1">
        <f>[1]Results!I1377</f>
        <v>0</v>
      </c>
      <c r="G16" s="1">
        <f>[1]Results!J1377</f>
        <v>0</v>
      </c>
      <c r="H16" s="1">
        <f>[1]Results!K1377</f>
        <v>4.1071707630119605E-10</v>
      </c>
      <c r="I16" s="1">
        <f>[1]Results!L1377</f>
        <v>2.8622146802083793E-4</v>
      </c>
      <c r="J16" s="1">
        <f>[1]Results!M1377</f>
        <v>-3.05670002165547E-4</v>
      </c>
      <c r="K16" s="1">
        <f>[1]Results!N1377</f>
        <v>-1.3032363131820163E-3</v>
      </c>
      <c r="L16" s="1">
        <f>[1]Results!O1377</f>
        <v>-1.8621675562254165E-3</v>
      </c>
      <c r="M16" s="1">
        <f>[1]Results!P1377</f>
        <v>-2.4315087742018395E-3</v>
      </c>
      <c r="N16" s="1">
        <f>[1]Results!Q1377</f>
        <v>-1.5744805114612267E-3</v>
      </c>
      <c r="O16" s="1">
        <f>[1]Results!R1377</f>
        <v>-8.2700225822486854E-5</v>
      </c>
      <c r="P16" s="1">
        <f>[1]Results!S1377</f>
        <v>1.6604342215968862E-3</v>
      </c>
      <c r="Q16" s="1">
        <f>[1]Results!T1377</f>
        <v>3.5271464068710339E-3</v>
      </c>
      <c r="R16" s="1">
        <f>[1]Results!U1377</f>
        <v>5.478874855280853E-3</v>
      </c>
      <c r="S16" s="1">
        <f>[1]Results!V1377</f>
        <v>7.1355639452972183E-3</v>
      </c>
      <c r="T16" s="1">
        <f>[1]Results!W1377</f>
        <v>8.5447311321908519E-3</v>
      </c>
      <c r="U16" s="1">
        <f>[1]Results!X1377</f>
        <v>9.8438746438460727E-3</v>
      </c>
      <c r="V16" s="1">
        <f>[1]Results!Y1377</f>
        <v>1.1233110956386924E-2</v>
      </c>
      <c r="W16" s="1">
        <f>[1]Results!Z1377</f>
        <v>1.2746481740877851E-2</v>
      </c>
      <c r="X16" s="1">
        <f>[1]Results!AA1377</f>
        <v>1.4601428702298299E-2</v>
      </c>
      <c r="Y16" s="1">
        <f>[1]Results!AB1377</f>
        <v>1.6695214065196595E-2</v>
      </c>
      <c r="Z16" s="1">
        <f>[1]Results!AC1377</f>
        <v>1.8959857729329649E-2</v>
      </c>
      <c r="AA16" s="1">
        <f>[1]Results!AD1377</f>
        <v>2.1356997342497061E-2</v>
      </c>
      <c r="AB16" s="1">
        <f>[1]Results!AE1377</f>
        <v>2.3866329133040161E-2</v>
      </c>
      <c r="AC16" s="1">
        <f>[1]Results!AF1377</f>
        <v>2.6544236573600853E-2</v>
      </c>
      <c r="AD16" s="1">
        <f>[1]Results!AG1377</f>
        <v>2.9256818005734944E-2</v>
      </c>
      <c r="AE16" s="1">
        <f>[1]Results!AH1377</f>
        <v>3.1931831252742481E-2</v>
      </c>
      <c r="AF16" s="1">
        <f>[1]Results!AI1377</f>
        <v>3.4538381599087065E-2</v>
      </c>
      <c r="AG16" s="1">
        <f>[1]Results!AJ1377</f>
        <v>3.7063501346387487E-2</v>
      </c>
      <c r="AH16" s="1">
        <f>[1]Results!AK1377</f>
        <v>3.9541850785825214E-2</v>
      </c>
      <c r="AI16" s="1">
        <f>[1]Results!AL1377</f>
        <v>4.1927945106451044E-2</v>
      </c>
      <c r="AJ16" s="1">
        <f>[1]Results!AM1377</f>
        <v>4.4197438080534807E-2</v>
      </c>
      <c r="AK16" s="1">
        <f>[1]Results!AN1377</f>
        <v>4.6341728105884494E-2</v>
      </c>
      <c r="AL16" s="1">
        <f>[1]Results!AO1377</f>
        <v>4.8363622288456566E-2</v>
      </c>
    </row>
    <row r="17" spans="1:38" x14ac:dyDescent="0.35">
      <c r="A17" s="3" t="str">
        <f>[1]Results!E1378</f>
        <v>100*(CH_2/CH_0-1)</v>
      </c>
      <c r="B17" t="str">
        <f>[1]Results!C1378</f>
        <v>Consommation des ménages</v>
      </c>
      <c r="C17" s="1">
        <f>[1]Results!F1378</f>
        <v>0</v>
      </c>
      <c r="D17" s="1">
        <f>[1]Results!G1378</f>
        <v>0</v>
      </c>
      <c r="E17" s="1">
        <f>[1]Results!H1378</f>
        <v>0</v>
      </c>
      <c r="F17" s="1">
        <f>[1]Results!I1378</f>
        <v>0</v>
      </c>
      <c r="G17" s="1">
        <f>[1]Results!J1378</f>
        <v>0</v>
      </c>
      <c r="H17" s="1">
        <f>[1]Results!K1378</f>
        <v>0</v>
      </c>
      <c r="I17" s="1">
        <f>[1]Results!L1378</f>
        <v>5.132211293648048E-2</v>
      </c>
      <c r="J17" s="1">
        <f>[1]Results!M1378</f>
        <v>8.4664012705548686E-2</v>
      </c>
      <c r="K17" s="1">
        <f>[1]Results!N1378</f>
        <v>9.8388108262925655E-2</v>
      </c>
      <c r="L17" s="1">
        <f>[1]Results!O1378</f>
        <v>0.25349859086483129</v>
      </c>
      <c r="M17" s="1">
        <f>[1]Results!P1378</f>
        <v>0.60478066860820689</v>
      </c>
      <c r="N17" s="1">
        <f>[1]Results!Q1378</f>
        <v>1.0053417092688699</v>
      </c>
      <c r="O17" s="1">
        <f>[1]Results!R1378</f>
        <v>1.4323471961355638</v>
      </c>
      <c r="P17" s="1">
        <f>[1]Results!S1378</f>
        <v>1.8405115222825286</v>
      </c>
      <c r="Q17" s="1">
        <f>[1]Results!T1378</f>
        <v>2.2167417765179609</v>
      </c>
      <c r="R17" s="1">
        <f>[1]Results!U1378</f>
        <v>2.5680316717477725</v>
      </c>
      <c r="S17" s="1">
        <f>[1]Results!V1378</f>
        <v>2.8672222006881354</v>
      </c>
      <c r="T17" s="1">
        <f>[1]Results!W1378</f>
        <v>3.1243334347477614</v>
      </c>
      <c r="U17" s="1">
        <f>[1]Results!X1378</f>
        <v>3.3562724725988424</v>
      </c>
      <c r="V17" s="1">
        <f>[1]Results!Y1378</f>
        <v>3.573489863813939</v>
      </c>
      <c r="W17" s="1">
        <f>[1]Results!Z1378</f>
        <v>3.7780046813868706</v>
      </c>
      <c r="X17" s="1">
        <f>[1]Results!AA1378</f>
        <v>3.9517356532120074</v>
      </c>
      <c r="Y17" s="1">
        <f>[1]Results!AB1378</f>
        <v>4.0946034003759735</v>
      </c>
      <c r="Z17" s="1">
        <f>[1]Results!AC1378</f>
        <v>4.2051931294965872</v>
      </c>
      <c r="AA17" s="1">
        <f>[1]Results!AD1378</f>
        <v>4.2855724782845606</v>
      </c>
      <c r="AB17" s="1">
        <f>[1]Results!AE1378</f>
        <v>4.3418139755189156</v>
      </c>
      <c r="AC17" s="1">
        <f>[1]Results!AF1378</f>
        <v>4.3500761868261906</v>
      </c>
      <c r="AD17" s="1">
        <f>[1]Results!AG1378</f>
        <v>4.3165754791626432</v>
      </c>
      <c r="AE17" s="1">
        <f>[1]Results!AH1378</f>
        <v>4.2506020714033088</v>
      </c>
      <c r="AF17" s="1">
        <f>[1]Results!AI1378</f>
        <v>4.1615924913655844</v>
      </c>
      <c r="AG17" s="1">
        <f>[1]Results!AJ1378</f>
        <v>4.0582279621741435</v>
      </c>
      <c r="AH17" s="1">
        <f>[1]Results!AK1378</f>
        <v>3.9383737420340292</v>
      </c>
      <c r="AI17" s="1">
        <f>[1]Results!AL1378</f>
        <v>3.8124858416010543</v>
      </c>
      <c r="AJ17" s="1">
        <f>[1]Results!AM1378</f>
        <v>3.6878298911361629</v>
      </c>
      <c r="AK17" s="1">
        <f>[1]Results!AN1378</f>
        <v>3.5708771570311493</v>
      </c>
      <c r="AL17" s="1">
        <f>[1]Results!AO1378</f>
        <v>3.4673638645849492</v>
      </c>
    </row>
    <row r="18" spans="1:38" x14ac:dyDescent="0.35">
      <c r="A18" s="3" t="str">
        <f>[1]Results!E1379</f>
        <v>100*(CH_cveh_2/CH_cveh_0-1)</v>
      </c>
      <c r="B18" t="str">
        <f>[1]Results!C1379</f>
        <v>Consommation des ménages automobile</v>
      </c>
      <c r="C18" s="1">
        <f>[1]Results!F1379</f>
        <v>0</v>
      </c>
      <c r="D18" s="1">
        <f>[1]Results!G1379</f>
        <v>1.5195000813150727E-8</v>
      </c>
      <c r="E18" s="1">
        <f>[1]Results!H1379</f>
        <v>2.8343238867023501E-8</v>
      </c>
      <c r="F18" s="1">
        <f>[1]Results!I1379</f>
        <v>5.338673947363759E-8</v>
      </c>
      <c r="G18" s="1">
        <f>[1]Results!J1379</f>
        <v>5.0678194973841073E-8</v>
      </c>
      <c r="H18" s="1">
        <f>[1]Results!K1379</f>
        <v>6.0719407279918869E-8</v>
      </c>
      <c r="I18" s="1">
        <f>[1]Results!L1379</f>
        <v>0.20583137470273627</v>
      </c>
      <c r="J18" s="1">
        <f>[1]Results!M1379</f>
        <v>-0.26419031733806442</v>
      </c>
      <c r="K18" s="1">
        <f>[1]Results!N1379</f>
        <v>-1.2366519129333953</v>
      </c>
      <c r="L18" s="1">
        <f>[1]Results!O1379</f>
        <v>-2.4116203256918656</v>
      </c>
      <c r="M18" s="1">
        <f>[1]Results!P1379</f>
        <v>-3.9800449088080336</v>
      </c>
      <c r="N18" s="1">
        <f>[1]Results!Q1379</f>
        <v>-3.6190715226447678</v>
      </c>
      <c r="O18" s="1">
        <f>[1]Results!R1379</f>
        <v>-2.703132320614865</v>
      </c>
      <c r="P18" s="1">
        <f>[1]Results!S1379</f>
        <v>-1.9794819092273097</v>
      </c>
      <c r="Q18" s="1">
        <f>[1]Results!T1379</f>
        <v>-1.5921400583310819</v>
      </c>
      <c r="R18" s="1">
        <f>[1]Results!U1379</f>
        <v>-1.478811299763727</v>
      </c>
      <c r="S18" s="1">
        <f>[1]Results!V1379</f>
        <v>-1.9354694878246037</v>
      </c>
      <c r="T18" s="1">
        <f>[1]Results!W1379</f>
        <v>-2.6789759332143226</v>
      </c>
      <c r="U18" s="1">
        <f>[1]Results!X1379</f>
        <v>-3.4321234748074692</v>
      </c>
      <c r="V18" s="1">
        <f>[1]Results!Y1379</f>
        <v>-3.9391580875407062</v>
      </c>
      <c r="W18" s="1">
        <f>[1]Results!Z1379</f>
        <v>-4.3514113326698638</v>
      </c>
      <c r="X18" s="1">
        <f>[1]Results!AA1379</f>
        <v>-4.4096813816663527</v>
      </c>
      <c r="Y18" s="1">
        <f>[1]Results!AB1379</f>
        <v>-4.3858315832594474</v>
      </c>
      <c r="Z18" s="1">
        <f>[1]Results!AC1379</f>
        <v>-4.3855903969483689</v>
      </c>
      <c r="AA18" s="1">
        <f>[1]Results!AD1379</f>
        <v>-4.4172908700445213</v>
      </c>
      <c r="AB18" s="1">
        <f>[1]Results!AE1379</f>
        <v>-4.470996575791963</v>
      </c>
      <c r="AC18" s="1">
        <f>[1]Results!AF1379</f>
        <v>-4.3765656807544513</v>
      </c>
      <c r="AD18" s="1">
        <f>[1]Results!AG1379</f>
        <v>-4.2740195912622125</v>
      </c>
      <c r="AE18" s="1">
        <f>[1]Results!AH1379</f>
        <v>-4.2144377788348342</v>
      </c>
      <c r="AF18" s="1">
        <f>[1]Results!AI1379</f>
        <v>-4.2031208476809194</v>
      </c>
      <c r="AG18" s="1">
        <f>[1]Results!AJ1379</f>
        <v>-4.2366790288416167</v>
      </c>
      <c r="AH18" s="1">
        <f>[1]Results!AK1379</f>
        <v>-4.2480459620685913</v>
      </c>
      <c r="AI18" s="1">
        <f>[1]Results!AL1379</f>
        <v>-4.303233132217299</v>
      </c>
      <c r="AJ18" s="1">
        <f>[1]Results!AM1379</f>
        <v>-4.4299908281577594</v>
      </c>
      <c r="AK18" s="1">
        <f>[1]Results!AN1379</f>
        <v>-4.6304015390515758</v>
      </c>
      <c r="AL18" s="1">
        <f>[1]Results!AO1379</f>
        <v>-4.8986473144544851</v>
      </c>
    </row>
    <row r="19" spans="1:38" x14ac:dyDescent="0.35">
      <c r="A19" s="3" t="str">
        <f>[1]Results!E1380</f>
        <v>100*(G_2/G_0-1)</v>
      </c>
      <c r="B19" t="str">
        <f>[1]Results!C1380</f>
        <v>Dépenses publiques</v>
      </c>
      <c r="C19" s="1">
        <f>[1]Results!F1380</f>
        <v>0</v>
      </c>
      <c r="D19" s="1">
        <f>[1]Results!G1380</f>
        <v>0</v>
      </c>
      <c r="E19" s="1">
        <f>[1]Results!H1380</f>
        <v>0</v>
      </c>
      <c r="F19" s="1">
        <f>[1]Results!I1380</f>
        <v>0</v>
      </c>
      <c r="G19" s="1">
        <f>[1]Results!J1380</f>
        <v>0</v>
      </c>
      <c r="H19" s="1">
        <f>[1]Results!K1380</f>
        <v>0</v>
      </c>
      <c r="I19" s="1">
        <f>[1]Results!L1380</f>
        <v>0</v>
      </c>
      <c r="J19" s="1">
        <f>[1]Results!M1380</f>
        <v>0</v>
      </c>
      <c r="K19" s="1">
        <f>[1]Results!N1380</f>
        <v>0</v>
      </c>
      <c r="L19" s="1">
        <f>[1]Results!O1380</f>
        <v>0</v>
      </c>
      <c r="M19" s="1">
        <f>[1]Results!P1380</f>
        <v>0</v>
      </c>
      <c r="N19" s="1">
        <f>[1]Results!Q1380</f>
        <v>0</v>
      </c>
      <c r="O19" s="1">
        <f>[1]Results!R1380</f>
        <v>0</v>
      </c>
      <c r="P19" s="1">
        <f>[1]Results!S1380</f>
        <v>0</v>
      </c>
      <c r="Q19" s="1">
        <f>[1]Results!T1380</f>
        <v>0</v>
      </c>
      <c r="R19" s="1">
        <f>[1]Results!U1380</f>
        <v>0</v>
      </c>
      <c r="S19" s="1">
        <f>[1]Results!V1380</f>
        <v>0</v>
      </c>
      <c r="T19" s="1">
        <f>[1]Results!W1380</f>
        <v>0</v>
      </c>
      <c r="U19" s="1">
        <f>[1]Results!X1380</f>
        <v>0</v>
      </c>
      <c r="V19" s="1">
        <f>[1]Results!Y1380</f>
        <v>0</v>
      </c>
      <c r="W19" s="1">
        <f>[1]Results!Z1380</f>
        <v>0</v>
      </c>
      <c r="X19" s="1">
        <f>[1]Results!AA1380</f>
        <v>0</v>
      </c>
      <c r="Y19" s="1">
        <f>[1]Results!AB1380</f>
        <v>0</v>
      </c>
      <c r="Z19" s="1">
        <f>[1]Results!AC1380</f>
        <v>0</v>
      </c>
      <c r="AA19" s="1">
        <f>[1]Results!AD1380</f>
        <v>0</v>
      </c>
      <c r="AB19" s="1">
        <f>[1]Results!AE1380</f>
        <v>0</v>
      </c>
      <c r="AC19" s="1">
        <f>[1]Results!AF1380</f>
        <v>0</v>
      </c>
      <c r="AD19" s="1">
        <f>[1]Results!AG1380</f>
        <v>0</v>
      </c>
      <c r="AE19" s="1">
        <f>[1]Results!AH1380</f>
        <v>0</v>
      </c>
      <c r="AF19" s="1">
        <f>[1]Results!AI1380</f>
        <v>0</v>
      </c>
      <c r="AG19" s="1">
        <f>[1]Results!AJ1380</f>
        <v>0</v>
      </c>
      <c r="AH19" s="1">
        <f>[1]Results!AK1380</f>
        <v>0</v>
      </c>
      <c r="AI19" s="1">
        <f>[1]Results!AL1380</f>
        <v>0</v>
      </c>
      <c r="AJ19" s="1">
        <f>[1]Results!AM1380</f>
        <v>0</v>
      </c>
      <c r="AK19" s="1">
        <f>[1]Results!AN1380</f>
        <v>0</v>
      </c>
      <c r="AL19" s="1">
        <f>[1]Results!AO1380</f>
        <v>0</v>
      </c>
    </row>
    <row r="20" spans="1:38" x14ac:dyDescent="0.35">
      <c r="A20" s="3" t="str">
        <f>[1]Results!E1381</f>
        <v>100*(I_2/I_0-1)</v>
      </c>
      <c r="B20" t="str">
        <f>[1]Results!C1381</f>
        <v>Investissement</v>
      </c>
      <c r="C20" s="1">
        <f>[1]Results!F1381</f>
        <v>0</v>
      </c>
      <c r="D20" s="1">
        <f>[1]Results!G1381</f>
        <v>0</v>
      </c>
      <c r="E20" s="1">
        <f>[1]Results!H1381</f>
        <v>0</v>
      </c>
      <c r="F20" s="1">
        <f>[1]Results!I1381</f>
        <v>1.9973089848690506E-8</v>
      </c>
      <c r="G20" s="1">
        <f>[1]Results!J1381</f>
        <v>0</v>
      </c>
      <c r="H20" s="1">
        <f>[1]Results!K1381</f>
        <v>1.9028179032432035E-8</v>
      </c>
      <c r="I20" s="1">
        <f>[1]Results!L1381</f>
        <v>2.1258055015271893E-2</v>
      </c>
      <c r="J20" s="1">
        <f>[1]Results!M1381</f>
        <v>-0.14630902961322301</v>
      </c>
      <c r="K20" s="1">
        <f>[1]Results!N1381</f>
        <v>-0.38309080983669475</v>
      </c>
      <c r="L20" s="1">
        <f>[1]Results!O1381</f>
        <v>-0.3797230409513408</v>
      </c>
      <c r="M20" s="1">
        <f>[1]Results!P1381</f>
        <v>-0.26167348443572047</v>
      </c>
      <c r="N20" s="1">
        <f>[1]Results!Q1381</f>
        <v>-8.0226997528609623E-2</v>
      </c>
      <c r="O20" s="1">
        <f>[1]Results!R1381</f>
        <v>0.10750556692946667</v>
      </c>
      <c r="P20" s="1">
        <f>[1]Results!S1381</f>
        <v>0.28953586388269503</v>
      </c>
      <c r="Q20" s="1">
        <f>[1]Results!T1381</f>
        <v>0.48034050402792072</v>
      </c>
      <c r="R20" s="1">
        <f>[1]Results!U1381</f>
        <v>0.6886873604897481</v>
      </c>
      <c r="S20" s="1">
        <f>[1]Results!V1381</f>
        <v>0.87411738761078439</v>
      </c>
      <c r="T20" s="1">
        <f>[1]Results!W1381</f>
        <v>1.0333654952703553</v>
      </c>
      <c r="U20" s="1">
        <f>[1]Results!X1381</f>
        <v>1.1719494172478973</v>
      </c>
      <c r="V20" s="1">
        <f>[1]Results!Y1381</f>
        <v>1.3006043030222791</v>
      </c>
      <c r="W20" s="1">
        <f>[1]Results!Z1381</f>
        <v>1.4238104434961985</v>
      </c>
      <c r="X20" s="1">
        <f>[1]Results!AA1381</f>
        <v>1.5505268022999674</v>
      </c>
      <c r="Y20" s="1">
        <f>[1]Results!AB1381</f>
        <v>1.6805776203485889</v>
      </c>
      <c r="Z20" s="1">
        <f>[1]Results!AC1381</f>
        <v>1.8142702565227431</v>
      </c>
      <c r="AA20" s="1">
        <f>[1]Results!AD1381</f>
        <v>1.9530363689403085</v>
      </c>
      <c r="AB20" s="1">
        <f>[1]Results!AE1381</f>
        <v>2.0984103227747575</v>
      </c>
      <c r="AC20" s="1">
        <f>[1]Results!AF1381</f>
        <v>2.2579020210582224</v>
      </c>
      <c r="AD20" s="1">
        <f>[1]Results!AG1381</f>
        <v>2.4258074760805437</v>
      </c>
      <c r="AE20" s="1">
        <f>[1]Results!AH1381</f>
        <v>2.5990592585220407</v>
      </c>
      <c r="AF20" s="1">
        <f>[1]Results!AI1381</f>
        <v>2.7765518006327872</v>
      </c>
      <c r="AG20" s="1">
        <f>[1]Results!AJ1381</f>
        <v>2.9578134271718071</v>
      </c>
      <c r="AH20" s="1">
        <f>[1]Results!AK1381</f>
        <v>3.1424862530470721</v>
      </c>
      <c r="AI20" s="1">
        <f>[1]Results!AL1381</f>
        <v>3.3283462936950947</v>
      </c>
      <c r="AJ20" s="1">
        <f>[1]Results!AM1381</f>
        <v>3.5131961353231711</v>
      </c>
      <c r="AK20" s="1">
        <f>[1]Results!AN1381</f>
        <v>3.694843896997102</v>
      </c>
      <c r="AL20" s="1">
        <f>[1]Results!AO1381</f>
        <v>3.871197611927335</v>
      </c>
    </row>
    <row r="21" spans="1:38" x14ac:dyDescent="0.35">
      <c r="A21" s="3" t="str">
        <f>[1]Results!E1382</f>
        <v>100*((I_2-IA_spub_2)/(I_0-IA_spub_0)-1)</v>
      </c>
      <c r="B21" t="str">
        <f>[1]Results!C1382</f>
        <v>Investissement entreprises</v>
      </c>
      <c r="C21" s="1">
        <f>[1]Results!F1382</f>
        <v>0</v>
      </c>
      <c r="D21" s="1">
        <f>[1]Results!G1382</f>
        <v>0</v>
      </c>
      <c r="E21" s="1">
        <f>[1]Results!H1382</f>
        <v>0</v>
      </c>
      <c r="F21" s="1">
        <f>[1]Results!I1382</f>
        <v>2.175390978464975E-8</v>
      </c>
      <c r="G21" s="1">
        <f>[1]Results!J1382</f>
        <v>0</v>
      </c>
      <c r="H21" s="1">
        <f>[1]Results!K1382</f>
        <v>1.861715226425531E-8</v>
      </c>
      <c r="I21" s="1">
        <f>[1]Results!L1382</f>
        <v>2.1649755144315108E-2</v>
      </c>
      <c r="J21" s="1">
        <f>[1]Results!M1382</f>
        <v>-0.15718288283652626</v>
      </c>
      <c r="K21" s="1">
        <f>[1]Results!N1382</f>
        <v>-0.40861289361036057</v>
      </c>
      <c r="L21" s="1">
        <f>[1]Results!O1382</f>
        <v>-0.40176828201488046</v>
      </c>
      <c r="M21" s="1">
        <f>[1]Results!P1382</f>
        <v>-0.2709597585135004</v>
      </c>
      <c r="N21" s="1">
        <f>[1]Results!Q1382</f>
        <v>-7.8987542559194601E-2</v>
      </c>
      <c r="O21" s="1">
        <f>[1]Results!R1382</f>
        <v>0.1163968117527725</v>
      </c>
      <c r="P21" s="1">
        <f>[1]Results!S1382</f>
        <v>0.30424323382252094</v>
      </c>
      <c r="Q21" s="1">
        <f>[1]Results!T1382</f>
        <v>0.50085824895933495</v>
      </c>
      <c r="R21" s="1">
        <f>[1]Results!U1382</f>
        <v>0.71589637410454099</v>
      </c>
      <c r="S21" s="1">
        <f>[1]Results!V1382</f>
        <v>0.90756653203463156</v>
      </c>
      <c r="T21" s="1">
        <f>[1]Results!W1382</f>
        <v>1.0721236720919514</v>
      </c>
      <c r="U21" s="1">
        <f>[1]Results!X1382</f>
        <v>1.2148548706207851</v>
      </c>
      <c r="V21" s="1">
        <f>[1]Results!Y1382</f>
        <v>1.346377167454138</v>
      </c>
      <c r="W21" s="1">
        <f>[1]Results!Z1382</f>
        <v>1.4713503724054888</v>
      </c>
      <c r="X21" s="1">
        <f>[1]Results!AA1382</f>
        <v>1.5984002454776824</v>
      </c>
      <c r="Y21" s="1">
        <f>[1]Results!AB1382</f>
        <v>1.7277891335788498</v>
      </c>
      <c r="Z21" s="1">
        <f>[1]Results!AC1382</f>
        <v>1.8601328964429786</v>
      </c>
      <c r="AA21" s="1">
        <f>[1]Results!AD1382</f>
        <v>1.9971214108513768</v>
      </c>
      <c r="AB21" s="1">
        <f>[1]Results!AE1382</f>
        <v>2.140496717576057</v>
      </c>
      <c r="AC21" s="1">
        <f>[1]Results!AF1382</f>
        <v>2.298030332421086</v>
      </c>
      <c r="AD21" s="1">
        <f>[1]Results!AG1382</f>
        <v>2.4641690535951222</v>
      </c>
      <c r="AE21" s="1">
        <f>[1]Results!AH1382</f>
        <v>2.6359127688746264</v>
      </c>
      <c r="AF21" s="1">
        <f>[1]Results!AI1382</f>
        <v>2.8122093354055133</v>
      </c>
      <c r="AG21" s="1">
        <f>[1]Results!AJ1382</f>
        <v>2.9926281597421944</v>
      </c>
      <c r="AH21" s="1">
        <f>[1]Results!AK1382</f>
        <v>3.1766688221755102</v>
      </c>
      <c r="AI21" s="1">
        <f>[1]Results!AL1382</f>
        <v>3.3621815186865689</v>
      </c>
      <c r="AJ21" s="1">
        <f>[1]Results!AM1382</f>
        <v>3.5469644144483725</v>
      </c>
      <c r="AK21" s="1">
        <f>[1]Results!AN1382</f>
        <v>3.7287647621450093</v>
      </c>
      <c r="AL21" s="1">
        <f>[1]Results!AO1382</f>
        <v>3.9053968508627745</v>
      </c>
    </row>
    <row r="22" spans="1:38" x14ac:dyDescent="0.35">
      <c r="A22" s="3" t="str">
        <f>[1]Results!E1383</f>
        <v>100*(X_2/X_0-1)</v>
      </c>
      <c r="B22" t="s">
        <v>24</v>
      </c>
      <c r="C22" s="1">
        <f>[1]Results!F1383</f>
        <v>0</v>
      </c>
      <c r="D22" s="1">
        <f>[1]Results!G1383</f>
        <v>0</v>
      </c>
      <c r="E22" s="1">
        <f>[1]Results!H1383</f>
        <v>0</v>
      </c>
      <c r="F22" s="1">
        <f>[1]Results!I1383</f>
        <v>-2.8334345980596254E-8</v>
      </c>
      <c r="G22" s="1">
        <f>[1]Results!J1383</f>
        <v>-2.7338475927507488E-8</v>
      </c>
      <c r="H22" s="1">
        <f>[1]Results!K1383</f>
        <v>-2.6394497698589703E-8</v>
      </c>
      <c r="I22" s="1">
        <f>[1]Results!L1383</f>
        <v>1.4947700812828479E-2</v>
      </c>
      <c r="J22" s="1">
        <f>[1]Results!M1383</f>
        <v>-0.98266510751243707</v>
      </c>
      <c r="K22" s="1">
        <f>[1]Results!N1383</f>
        <v>-1.8548118730188135</v>
      </c>
      <c r="L22" s="1">
        <f>[1]Results!O1383</f>
        <v>-1.5263101629296005</v>
      </c>
      <c r="M22" s="1">
        <f>[1]Results!P1383</f>
        <v>-1.4434369323897855</v>
      </c>
      <c r="N22" s="1">
        <f>[1]Results!Q1383</f>
        <v>-1.6007783559919275</v>
      </c>
      <c r="O22" s="1">
        <f>[1]Results!R1383</f>
        <v>-1.9489055246458165</v>
      </c>
      <c r="P22" s="1">
        <f>[1]Results!S1383</f>
        <v>-2.3500611894454626</v>
      </c>
      <c r="Q22" s="1">
        <f>[1]Results!T1383</f>
        <v>-2.681246635394674</v>
      </c>
      <c r="R22" s="1">
        <f>[1]Results!U1383</f>
        <v>-2.9365360851839495</v>
      </c>
      <c r="S22" s="1">
        <f>[1]Results!V1383</f>
        <v>-3.2559193227972294</v>
      </c>
      <c r="T22" s="1">
        <f>[1]Results!W1383</f>
        <v>-3.600504325470899</v>
      </c>
      <c r="U22" s="1">
        <f>[1]Results!X1383</f>
        <v>-3.9689470769588731</v>
      </c>
      <c r="V22" s="1">
        <f>[1]Results!Y1383</f>
        <v>-4.3545344934070362</v>
      </c>
      <c r="W22" s="1">
        <f>[1]Results!Z1383</f>
        <v>-4.7512906230615322</v>
      </c>
      <c r="X22" s="1">
        <f>[1]Results!AA1383</f>
        <v>-5.1431046070797626</v>
      </c>
      <c r="Y22" s="1">
        <f>[1]Results!AB1383</f>
        <v>-5.5201303002769375</v>
      </c>
      <c r="Z22" s="1">
        <f>[1]Results!AC1383</f>
        <v>-5.8756843705377815</v>
      </c>
      <c r="AA22" s="1">
        <f>[1]Results!AD1383</f>
        <v>-6.2049034925846014</v>
      </c>
      <c r="AB22" s="1">
        <f>[1]Results!AE1383</f>
        <v>-6.5048212418735263</v>
      </c>
      <c r="AC22" s="1">
        <f>[1]Results!AF1383</f>
        <v>-6.7570167332370197</v>
      </c>
      <c r="AD22" s="1">
        <f>[1]Results!AG1383</f>
        <v>-6.9701362712656483</v>
      </c>
      <c r="AE22" s="1">
        <f>[1]Results!AH1383</f>
        <v>-7.1453498424780326</v>
      </c>
      <c r="AF22" s="1">
        <f>[1]Results!AI1383</f>
        <v>-7.2852367918068373</v>
      </c>
      <c r="AG22" s="1">
        <f>[1]Results!AJ1383</f>
        <v>-7.3936129359592258</v>
      </c>
      <c r="AH22" s="1">
        <f>[1]Results!AK1383</f>
        <v>-7.4718666699154612</v>
      </c>
      <c r="AI22" s="1">
        <f>[1]Results!AL1383</f>
        <v>-7.5239833762071662</v>
      </c>
      <c r="AJ22" s="1">
        <f>[1]Results!AM1383</f>
        <v>-7.5552229136019333</v>
      </c>
      <c r="AK22" s="1">
        <f>[1]Results!AN1383</f>
        <v>-7.5713041916314445</v>
      </c>
      <c r="AL22" s="1">
        <f>[1]Results!AO1383</f>
        <v>-7.5779463494828558</v>
      </c>
    </row>
    <row r="23" spans="1:38" x14ac:dyDescent="0.35">
      <c r="A23" s="3" t="str">
        <f>[1]Results!E1384</f>
        <v>100*(M_2/M_0-1)</v>
      </c>
      <c r="B23" t="s">
        <v>25</v>
      </c>
      <c r="C23" s="1">
        <f>[1]Results!F1384</f>
        <v>1.5267032082988408E-8</v>
      </c>
      <c r="D23" s="1">
        <f>[1]Results!G1384</f>
        <v>1.5000556352617878E-8</v>
      </c>
      <c r="E23" s="1">
        <f>[1]Results!H1384</f>
        <v>0</v>
      </c>
      <c r="F23" s="1">
        <f>[1]Results!I1384</f>
        <v>0</v>
      </c>
      <c r="G23" s="1">
        <f>[1]Results!J1384</f>
        <v>0</v>
      </c>
      <c r="H23" s="1">
        <f>[1]Results!K1384</f>
        <v>0</v>
      </c>
      <c r="I23" s="1">
        <f>[1]Results!L1384</f>
        <v>4.0278153954398377E-2</v>
      </c>
      <c r="J23" s="1">
        <f>[1]Results!M1384</f>
        <v>-0.29774252415816216</v>
      </c>
      <c r="K23" s="1">
        <f>[1]Results!N1384</f>
        <v>-0.6997903945364814</v>
      </c>
      <c r="L23" s="1">
        <f>[1]Results!O1384</f>
        <v>-0.68294661661023603</v>
      </c>
      <c r="M23" s="1">
        <f>[1]Results!P1384</f>
        <v>-0.59625645207720401</v>
      </c>
      <c r="N23" s="1">
        <f>[1]Results!Q1384</f>
        <v>-0.40816537726721114</v>
      </c>
      <c r="O23" s="1">
        <f>[1]Results!R1384</f>
        <v>-0.20846741058787588</v>
      </c>
      <c r="P23" s="1">
        <f>[1]Results!S1384</f>
        <v>-2.1052961509060442E-2</v>
      </c>
      <c r="Q23" s="1">
        <f>[1]Results!T1384</f>
        <v>0.17499059342696022</v>
      </c>
      <c r="R23" s="1">
        <f>[1]Results!U1384</f>
        <v>0.38564764926778405</v>
      </c>
      <c r="S23" s="1">
        <f>[1]Results!V1384</f>
        <v>0.53495882574856601</v>
      </c>
      <c r="T23" s="1">
        <f>[1]Results!W1384</f>
        <v>0.6454893515319915</v>
      </c>
      <c r="U23" s="1">
        <f>[1]Results!X1384</f>
        <v>0.73115794971452264</v>
      </c>
      <c r="V23" s="1">
        <f>[1]Results!Y1384</f>
        <v>0.79985281230867677</v>
      </c>
      <c r="W23" s="1">
        <f>[1]Results!Z1384</f>
        <v>0.86101880545073062</v>
      </c>
      <c r="X23" s="1">
        <f>[1]Results!AA1384</f>
        <v>0.92073446938794046</v>
      </c>
      <c r="Y23" s="1">
        <f>[1]Results!AB1384</f>
        <v>0.96738888839955628</v>
      </c>
      <c r="Z23" s="1">
        <f>[1]Results!AC1384</f>
        <v>0.99592368151353305</v>
      </c>
      <c r="AA23" s="1">
        <f>[1]Results!AD1384</f>
        <v>1.0069726029239723</v>
      </c>
      <c r="AB23" s="1">
        <f>[1]Results!AE1384</f>
        <v>1.0021906590446328</v>
      </c>
      <c r="AC23" s="1">
        <f>[1]Results!AF1384</f>
        <v>0.9858756781030209</v>
      </c>
      <c r="AD23" s="1">
        <f>[1]Results!AG1384</f>
        <v>0.95102909536408653</v>
      </c>
      <c r="AE23" s="1">
        <f>[1]Results!AH1384</f>
        <v>0.89842907221280299</v>
      </c>
      <c r="AF23" s="1">
        <f>[1]Results!AI1384</f>
        <v>0.83269279657653961</v>
      </c>
      <c r="AG23" s="1">
        <f>[1]Results!AJ1384</f>
        <v>0.75932166814780544</v>
      </c>
      <c r="AH23" s="1">
        <f>[1]Results!AK1384</f>
        <v>0.68231867823369541</v>
      </c>
      <c r="AI23" s="1">
        <f>[1]Results!AL1384</f>
        <v>0.60434972912832841</v>
      </c>
      <c r="AJ23" s="1">
        <f>[1]Results!AM1384</f>
        <v>0.52821386400034864</v>
      </c>
      <c r="AK23" s="1">
        <f>[1]Results!AN1384</f>
        <v>0.45700427272394872</v>
      </c>
      <c r="AL23" s="1">
        <f>[1]Results!AO1384</f>
        <v>0.39360877380774095</v>
      </c>
    </row>
    <row r="24" spans="1:38" x14ac:dyDescent="0.35">
      <c r="A24" s="3" t="str">
        <f>[1]Results!E1385</f>
        <v>100*((CH_2-CH_ccon_2)/(CH_0-CH_ccon_0)-1)</v>
      </c>
      <c r="B24" t="str">
        <f>[1]Results!C1385</f>
        <v>Consommation des ménages</v>
      </c>
      <c r="C24" s="1">
        <f>[1]Results!F1385</f>
        <v>0</v>
      </c>
      <c r="D24" s="1">
        <f>[1]Results!G1385</f>
        <v>0</v>
      </c>
      <c r="E24" s="1">
        <f>[1]Results!H1385</f>
        <v>0</v>
      </c>
      <c r="F24" s="1">
        <f>[1]Results!I1385</f>
        <v>0</v>
      </c>
      <c r="G24" s="1">
        <f>[1]Results!J1385</f>
        <v>0</v>
      </c>
      <c r="H24" s="1">
        <f>[1]Results!K1385</f>
        <v>-7.6602058030061926E-10</v>
      </c>
      <c r="I24" s="1">
        <f>[1]Results!L1385</f>
        <v>5.1185122487673596E-2</v>
      </c>
      <c r="J24" s="1">
        <f>[1]Results!M1385</f>
        <v>8.4484525886296957E-2</v>
      </c>
      <c r="K24" s="1">
        <f>[1]Results!N1385</f>
        <v>9.8650306979020108E-2</v>
      </c>
      <c r="L24" s="1">
        <f>[1]Results!O1385</f>
        <v>0.25511596994383101</v>
      </c>
      <c r="M24" s="1">
        <f>[1]Results!P1385</f>
        <v>0.60900831575068093</v>
      </c>
      <c r="N24" s="1">
        <f>[1]Results!Q1385</f>
        <v>1.0126955801066595</v>
      </c>
      <c r="O24" s="1">
        <f>[1]Results!R1385</f>
        <v>1.4418345150835954</v>
      </c>
      <c r="P24" s="1">
        <f>[1]Results!S1385</f>
        <v>1.8510823983010294</v>
      </c>
      <c r="Q24" s="1">
        <f>[1]Results!T1385</f>
        <v>2.2277763457271282</v>
      </c>
      <c r="R24" s="1">
        <f>[1]Results!U1385</f>
        <v>2.5792810956149381</v>
      </c>
      <c r="S24" s="1">
        <f>[1]Results!V1385</f>
        <v>2.8786964200657295</v>
      </c>
      <c r="T24" s="1">
        <f>[1]Results!W1385</f>
        <v>3.1362898247919269</v>
      </c>
      <c r="U24" s="1">
        <f>[1]Results!X1385</f>
        <v>3.3689528703050531</v>
      </c>
      <c r="V24" s="1">
        <f>[1]Results!Y1385</f>
        <v>3.5870132141261557</v>
      </c>
      <c r="W24" s="1">
        <f>[1]Results!Z1385</f>
        <v>3.7922129060319554</v>
      </c>
      <c r="X24" s="1">
        <f>[1]Results!AA1385</f>
        <v>3.9663221530248371</v>
      </c>
      <c r="Y24" s="1">
        <f>[1]Results!AB1385</f>
        <v>4.1090928712617547</v>
      </c>
      <c r="Z24" s="1">
        <f>[1]Results!AC1385</f>
        <v>4.2192081714786722</v>
      </c>
      <c r="AA24" s="1">
        <f>[1]Results!AD1385</f>
        <v>4.2988994399146829</v>
      </c>
      <c r="AB24" s="1">
        <f>[1]Results!AE1385</f>
        <v>4.3543740641384776</v>
      </c>
      <c r="AC24" s="1">
        <f>[1]Results!AF1385</f>
        <v>4.3618327819331837</v>
      </c>
      <c r="AD24" s="1">
        <f>[1]Results!AG1385</f>
        <v>4.3274927875122771</v>
      </c>
      <c r="AE24" s="1">
        <f>[1]Results!AH1385</f>
        <v>4.2607488461998022</v>
      </c>
      <c r="AF24" s="1">
        <f>[1]Results!AI1385</f>
        <v>4.1711339550010162</v>
      </c>
      <c r="AG24" s="1">
        <f>[1]Results!AJ1385</f>
        <v>4.0673853582187114</v>
      </c>
      <c r="AH24" s="1">
        <f>[1]Results!AK1385</f>
        <v>3.9473325944045401</v>
      </c>
      <c r="AI24" s="1">
        <f>[1]Results!AL1385</f>
        <v>3.8213924113169817</v>
      </c>
      <c r="AJ24" s="1">
        <f>[1]Results!AM1385</f>
        <v>3.6968392885877055</v>
      </c>
      <c r="AK24" s="1">
        <f>[1]Results!AN1385</f>
        <v>3.5801540558530132</v>
      </c>
      <c r="AL24" s="1">
        <f>[1]Results!AO1385</f>
        <v>3.4770659979025842</v>
      </c>
    </row>
    <row r="25" spans="1:38" x14ac:dyDescent="0.35">
      <c r="A25" s="3" t="str">
        <f>[1]Results!E1386</f>
        <v>100*((I_2+CH_ccon_2)/(I_0+CH_ccon_0)-1)</v>
      </c>
      <c r="B25" t="str">
        <f>[1]Results!C1386</f>
        <v>Investissement</v>
      </c>
      <c r="C25" s="1">
        <f>[1]Results!F1386</f>
        <v>0</v>
      </c>
      <c r="D25" s="1">
        <f>[1]Results!G1386</f>
        <v>0</v>
      </c>
      <c r="E25" s="1">
        <f>[1]Results!H1386</f>
        <v>0</v>
      </c>
      <c r="F25" s="1">
        <f>[1]Results!I1386</f>
        <v>1.925442028039015E-8</v>
      </c>
      <c r="G25" s="1">
        <f>[1]Results!J1386</f>
        <v>0</v>
      </c>
      <c r="H25" s="1">
        <f>[1]Results!K1386</f>
        <v>2.0183410498475496E-8</v>
      </c>
      <c r="I25" s="1">
        <f>[1]Results!L1386</f>
        <v>2.2655126381354584E-2</v>
      </c>
      <c r="J25" s="1">
        <f>[1]Results!M1386</f>
        <v>-0.13769936986396392</v>
      </c>
      <c r="K25" s="1">
        <f>[1]Results!N1386</f>
        <v>-0.36674146109998418</v>
      </c>
      <c r="L25" s="1">
        <f>[1]Results!O1386</f>
        <v>-0.36134822897198049</v>
      </c>
      <c r="M25" s="1">
        <f>[1]Results!P1386</f>
        <v>-0.24141727300363014</v>
      </c>
      <c r="N25" s="1">
        <f>[1]Results!Q1386</f>
        <v>-5.9808681367501393E-2</v>
      </c>
      <c r="O25" s="1">
        <f>[1]Results!R1386</f>
        <v>0.13111743345877169</v>
      </c>
      <c r="P25" s="1">
        <f>[1]Results!S1386</f>
        <v>0.31832900606487691</v>
      </c>
      <c r="Q25" s="1">
        <f>[1]Results!T1386</f>
        <v>0.51432400249713517</v>
      </c>
      <c r="R25" s="1">
        <f>[1]Results!U1386</f>
        <v>0.72693296869044133</v>
      </c>
      <c r="S25" s="1">
        <f>[1]Results!V1386</f>
        <v>0.91556181258118929</v>
      </c>
      <c r="T25" s="1">
        <f>[1]Results!W1386</f>
        <v>1.076836581992846</v>
      </c>
      <c r="U25" s="1">
        <f>[1]Results!X1386</f>
        <v>1.2167014273079424</v>
      </c>
      <c r="V25" s="1">
        <f>[1]Results!Y1386</f>
        <v>1.3461603830012381</v>
      </c>
      <c r="W25" s="1">
        <f>[1]Results!Z1386</f>
        <v>1.4702147982275093</v>
      </c>
      <c r="X25" s="1">
        <f>[1]Results!AA1386</f>
        <v>1.5972649001989581</v>
      </c>
      <c r="Y25" s="1">
        <f>[1]Results!AB1386</f>
        <v>1.7275055899123481</v>
      </c>
      <c r="Z25" s="1">
        <f>[1]Results!AC1386</f>
        <v>1.8609814142673153</v>
      </c>
      <c r="AA25" s="1">
        <f>[1]Results!AD1386</f>
        <v>1.9988165376524814</v>
      </c>
      <c r="AB25" s="1">
        <f>[1]Results!AE1386</f>
        <v>2.1424152374436067</v>
      </c>
      <c r="AC25" s="1">
        <f>[1]Results!AF1386</f>
        <v>2.2983531954391179</v>
      </c>
      <c r="AD25" s="1">
        <f>[1]Results!AG1386</f>
        <v>2.4613525957823068</v>
      </c>
      <c r="AE25" s="1">
        <f>[1]Results!AH1386</f>
        <v>2.628545581326458</v>
      </c>
      <c r="AF25" s="1">
        <f>[1]Results!AI1386</f>
        <v>2.7989768934140624</v>
      </c>
      <c r="AG25" s="1">
        <f>[1]Results!AJ1386</f>
        <v>2.9723542825399907</v>
      </c>
      <c r="AH25" s="1">
        <f>[1]Results!AK1386</f>
        <v>3.1483470704077643</v>
      </c>
      <c r="AI25" s="1">
        <f>[1]Results!AL1386</f>
        <v>3.3251829798147003</v>
      </c>
      <c r="AJ25" s="1">
        <f>[1]Results!AM1386</f>
        <v>3.5009164151214467</v>
      </c>
      <c r="AK25" s="1">
        <f>[1]Results!AN1386</f>
        <v>3.6735771614077928</v>
      </c>
      <c r="AL25" s="1">
        <f>[1]Results!AO1386</f>
        <v>3.8412986990156828</v>
      </c>
    </row>
    <row r="26" spans="1:38" x14ac:dyDescent="0.35">
      <c r="A26" s="3" t="str">
        <f>[1]Results!E1387</f>
        <v>100*((CH_ccon_2)/(CH_ccon_0)-1)</v>
      </c>
      <c r="B26" t="str">
        <f>[1]Results!C1387</f>
        <v>Investissement ménages</v>
      </c>
      <c r="C26" s="1">
        <f>[1]Results!F1387</f>
        <v>0</v>
      </c>
      <c r="D26" s="1">
        <f>[1]Results!G1387</f>
        <v>0</v>
      </c>
      <c r="E26" s="1">
        <f>[1]Results!H1387</f>
        <v>0</v>
      </c>
      <c r="F26" s="1">
        <f>[1]Results!I1387</f>
        <v>0</v>
      </c>
      <c r="G26" s="1">
        <f>[1]Results!J1387</f>
        <v>0</v>
      </c>
      <c r="H26" s="1">
        <f>[1]Results!K1387</f>
        <v>5.1374149379057599E-8</v>
      </c>
      <c r="I26" s="1">
        <f>[1]Results!L1387</f>
        <v>6.0524786315996337E-2</v>
      </c>
      <c r="J26" s="1">
        <f>[1]Results!M1387</f>
        <v>9.6741152810420061E-2</v>
      </c>
      <c r="K26" s="1">
        <f>[1]Results!N1387</f>
        <v>8.0715334901548808E-2</v>
      </c>
      <c r="L26" s="1">
        <f>[1]Results!O1387</f>
        <v>0.14429862129978765</v>
      </c>
      <c r="M26" s="1">
        <f>[1]Results!P1387</f>
        <v>0.31890632507569627</v>
      </c>
      <c r="N26" s="1">
        <f>[1]Results!Q1387</f>
        <v>0.50752864122329822</v>
      </c>
      <c r="O26" s="1">
        <f>[1]Results!R1387</f>
        <v>0.78980820002294561</v>
      </c>
      <c r="P26" s="1">
        <f>[1]Results!S1387</f>
        <v>1.1247605133940075</v>
      </c>
      <c r="Q26" s="1">
        <f>[1]Results!T1387</f>
        <v>1.470301823143938</v>
      </c>
      <c r="R26" s="1">
        <f>[1]Results!U1387</f>
        <v>1.8082375784387095</v>
      </c>
      <c r="S26" s="1">
        <f>[1]Results!V1387</f>
        <v>2.0938120371123636</v>
      </c>
      <c r="T26" s="1">
        <f>[1]Results!W1387</f>
        <v>2.320353344618109</v>
      </c>
      <c r="U26" s="1">
        <f>[1]Results!X1387</f>
        <v>2.5058149299440169</v>
      </c>
      <c r="V26" s="1">
        <f>[1]Results!Y1387</f>
        <v>2.6688155706529493</v>
      </c>
      <c r="W26" s="1">
        <f>[1]Results!Z1387</f>
        <v>2.8297244836335</v>
      </c>
      <c r="X26" s="1">
        <f>[1]Results!AA1387</f>
        <v>2.9800842376491055</v>
      </c>
      <c r="Y26" s="1">
        <f>[1]Results!AB1387</f>
        <v>3.1308347437294382</v>
      </c>
      <c r="Z26" s="1">
        <f>[1]Results!AC1387</f>
        <v>3.2739063551088243</v>
      </c>
      <c r="AA26" s="1">
        <f>[1]Results!AD1387</f>
        <v>3.4004686214527569</v>
      </c>
      <c r="AB26" s="1">
        <f>[1]Results!AE1387</f>
        <v>3.5076989760781219</v>
      </c>
      <c r="AC26" s="1">
        <f>[1]Results!AF1387</f>
        <v>3.5690964327941499</v>
      </c>
      <c r="AD26" s="1">
        <f>[1]Results!AG1387</f>
        <v>3.5910252629986372</v>
      </c>
      <c r="AE26" s="1">
        <f>[1]Results!AH1387</f>
        <v>3.5759447880002737</v>
      </c>
      <c r="AF26" s="1">
        <f>[1]Results!AI1387</f>
        <v>3.5269173924786124</v>
      </c>
      <c r="AG26" s="1">
        <f>[1]Results!AJ1387</f>
        <v>3.4489017912565867</v>
      </c>
      <c r="AH26" s="1">
        <f>[1]Results!AK1387</f>
        <v>3.3421407260831204</v>
      </c>
      <c r="AI26" s="1">
        <f>[1]Results!AL1387</f>
        <v>3.2197153360764563</v>
      </c>
      <c r="AJ26" s="1">
        <f>[1]Results!AM1387</f>
        <v>3.0883267639568057</v>
      </c>
      <c r="AK26" s="1">
        <f>[1]Results!AN1387</f>
        <v>2.9538470052817623</v>
      </c>
      <c r="AL26" s="1">
        <f>[1]Results!AO1387</f>
        <v>2.8225257318847286</v>
      </c>
    </row>
    <row r="27" spans="1:38" x14ac:dyDescent="0.35">
      <c r="A27" s="3" t="str">
        <f>[1]Results!E1388</f>
        <v>100*((IA_spub_2)/(IA_spub_0)-1)</v>
      </c>
      <c r="B27" t="str">
        <f>[1]Results!C1388</f>
        <v>Investissement public</v>
      </c>
      <c r="C27" s="1">
        <f>[1]Results!F1388</f>
        <v>0</v>
      </c>
      <c r="D27" s="1">
        <f>[1]Results!G1388</f>
        <v>0</v>
      </c>
      <c r="E27" s="1">
        <f>[1]Results!H1388</f>
        <v>0</v>
      </c>
      <c r="F27" s="1">
        <f>[1]Results!I1388</f>
        <v>0</v>
      </c>
      <c r="G27" s="1">
        <f>[1]Results!J1388</f>
        <v>0</v>
      </c>
      <c r="H27" s="1">
        <f>[1]Results!K1388</f>
        <v>2.3746404842484026E-8</v>
      </c>
      <c r="I27" s="1">
        <f>[1]Results!L1388</f>
        <v>1.6701204509117495E-2</v>
      </c>
      <c r="J27" s="1">
        <f>[1]Results!M1388</f>
        <v>-1.8002471672318165E-2</v>
      </c>
      <c r="K27" s="1">
        <f>[1]Results!N1388</f>
        <v>-7.7463898358787198E-2</v>
      </c>
      <c r="L27" s="1">
        <f>[1]Results!O1388</f>
        <v>-0.11168726700003795</v>
      </c>
      <c r="M27" s="1">
        <f>[1]Results!P1388</f>
        <v>-0.14703934573541133</v>
      </c>
      <c r="N27" s="1">
        <f>[1]Results!Q1388</f>
        <v>-9.573540990819307E-2</v>
      </c>
      <c r="O27" s="1">
        <f>[1]Results!R1388</f>
        <v>-5.0458953758436564E-3</v>
      </c>
      <c r="P27" s="1">
        <f>[1]Results!S1388</f>
        <v>0.10148776248879443</v>
      </c>
      <c r="Q27" s="1">
        <f>[1]Results!T1388</f>
        <v>0.21568734180661409</v>
      </c>
      <c r="R27" s="1">
        <f>[1]Results!U1388</f>
        <v>0.33491318252558688</v>
      </c>
      <c r="S27" s="1">
        <f>[1]Results!V1388</f>
        <v>0.43586650921301207</v>
      </c>
      <c r="T27" s="1">
        <f>[1]Results!W1388</f>
        <v>0.52158736365313096</v>
      </c>
      <c r="U27" s="1">
        <f>[1]Results!X1388</f>
        <v>0.60069940048199655</v>
      </c>
      <c r="V27" s="1">
        <f>[1]Results!Y1388</f>
        <v>0.68565614926925367</v>
      </c>
      <c r="W27" s="1">
        <f>[1]Results!Z1388</f>
        <v>0.77876576617208482</v>
      </c>
      <c r="X27" s="1">
        <f>[1]Results!AA1388</f>
        <v>0.89380392916851292</v>
      </c>
      <c r="Y27" s="1">
        <f>[1]Results!AB1388</f>
        <v>1.0250221396552739</v>
      </c>
      <c r="Z27" s="1">
        <f>[1]Results!AC1388</f>
        <v>1.1688331615490988</v>
      </c>
      <c r="AA27" s="1">
        <f>[1]Results!AD1388</f>
        <v>1.3234038414577709</v>
      </c>
      <c r="AB27" s="1">
        <f>[1]Results!AE1388</f>
        <v>1.487659798568286</v>
      </c>
      <c r="AC27" s="1">
        <f>[1]Results!AF1388</f>
        <v>1.6661976721084493</v>
      </c>
      <c r="AD27" s="1">
        <f>[1]Results!AG1388</f>
        <v>1.8510163925335776</v>
      </c>
      <c r="AE27" s="1">
        <f>[1]Results!AH1388</f>
        <v>2.0377912562289158</v>
      </c>
      <c r="AF27" s="1">
        <f>[1]Results!AI1388</f>
        <v>2.2244048954929152</v>
      </c>
      <c r="AG27" s="1">
        <f>[1]Results!AJ1388</f>
        <v>2.4095861415545317</v>
      </c>
      <c r="AH27" s="1">
        <f>[1]Results!AK1388</f>
        <v>2.5950863782886024</v>
      </c>
      <c r="AI27" s="1">
        <f>[1]Results!AL1388</f>
        <v>2.777401242291333</v>
      </c>
      <c r="AJ27" s="1">
        <f>[1]Results!AM1388</f>
        <v>2.9542633798942175</v>
      </c>
      <c r="AK27" s="1">
        <f>[1]Results!AN1388</f>
        <v>3.1243607049280975</v>
      </c>
      <c r="AL27" s="1">
        <f>[1]Results!AO1388</f>
        <v>3.287109601021343</v>
      </c>
    </row>
    <row r="28" spans="1:38" x14ac:dyDescent="0.35">
      <c r="A28" s="3" t="str">
        <f>[1]Results!E1389</f>
        <v>100*(DISPINC_AT_VAL_2/DISPINC_AT_VAL_0-1)</v>
      </c>
      <c r="B28" t="str">
        <f>[1]Results!C1389</f>
        <v>Revenu disponible des ménages</v>
      </c>
      <c r="C28" s="1">
        <f>[1]Results!F1389</f>
        <v>0</v>
      </c>
      <c r="D28" s="1">
        <f>[1]Results!G1389</f>
        <v>0</v>
      </c>
      <c r="E28" s="1">
        <f>[1]Results!H1389</f>
        <v>6.8024874622096831E-8</v>
      </c>
      <c r="F28" s="1">
        <f>[1]Results!I1389</f>
        <v>6.5004823746050988E-8</v>
      </c>
      <c r="G28" s="1">
        <f>[1]Results!J1389</f>
        <v>6.2055938165883617E-8</v>
      </c>
      <c r="H28" s="1">
        <f>[1]Results!K1389</f>
        <v>1.1820791012695508E-7</v>
      </c>
      <c r="I28" s="1">
        <f>[1]Results!L1389</f>
        <v>-4.3830083430229649E-3</v>
      </c>
      <c r="J28" s="1">
        <f>[1]Results!M1389</f>
        <v>0.11944113196613593</v>
      </c>
      <c r="K28" s="1">
        <f>[1]Results!N1389</f>
        <v>0.34032738597997714</v>
      </c>
      <c r="L28" s="1">
        <f>[1]Results!O1389</f>
        <v>1.0324578062343548</v>
      </c>
      <c r="M28" s="1">
        <f>[1]Results!P1389</f>
        <v>2.3117503923861138</v>
      </c>
      <c r="N28" s="1">
        <f>[1]Results!Q1389</f>
        <v>3.1310380602027843</v>
      </c>
      <c r="O28" s="1">
        <f>[1]Results!R1389</f>
        <v>3.968849557025167</v>
      </c>
      <c r="P28" s="1">
        <f>[1]Results!S1389</f>
        <v>4.7844199030376178</v>
      </c>
      <c r="Q28" s="1">
        <f>[1]Results!T1389</f>
        <v>5.5856567969904569</v>
      </c>
      <c r="R28" s="1">
        <f>[1]Results!U1389</f>
        <v>6.3872551220911067</v>
      </c>
      <c r="S28" s="1">
        <f>[1]Results!V1389</f>
        <v>7.2367557951862338</v>
      </c>
      <c r="T28" s="1">
        <f>[1]Results!W1389</f>
        <v>8.1091040557374594</v>
      </c>
      <c r="U28" s="1">
        <f>[1]Results!X1389</f>
        <v>8.9965226394369324</v>
      </c>
      <c r="V28" s="1">
        <f>[1]Results!Y1389</f>
        <v>9.8624362472095939</v>
      </c>
      <c r="W28" s="1">
        <f>[1]Results!Z1389</f>
        <v>10.712473764257124</v>
      </c>
      <c r="X28" s="1">
        <f>[1]Results!AA1389</f>
        <v>11.417918492802738</v>
      </c>
      <c r="Y28" s="1">
        <f>[1]Results!AB1389</f>
        <v>12.035927184326066</v>
      </c>
      <c r="Z28" s="1">
        <f>[1]Results!AC1389</f>
        <v>12.559567410589679</v>
      </c>
      <c r="AA28" s="1">
        <f>[1]Results!AD1389</f>
        <v>12.98881721038352</v>
      </c>
      <c r="AB28" s="1">
        <f>[1]Results!AE1389</f>
        <v>13.331125119283826</v>
      </c>
      <c r="AC28" s="1">
        <f>[1]Results!AF1389</f>
        <v>13.488048130106932</v>
      </c>
      <c r="AD28" s="1">
        <f>[1]Results!AG1389</f>
        <v>13.533081953345526</v>
      </c>
      <c r="AE28" s="1">
        <f>[1]Results!AH1389</f>
        <v>13.486988404209054</v>
      </c>
      <c r="AF28" s="1">
        <f>[1]Results!AI1389</f>
        <v>13.369348920310632</v>
      </c>
      <c r="AG28" s="1">
        <f>[1]Results!AJ1389</f>
        <v>13.200235298122731</v>
      </c>
      <c r="AH28" s="1">
        <f>[1]Results!AK1389</f>
        <v>12.957314401410258</v>
      </c>
      <c r="AI28" s="1">
        <f>[1]Results!AL1389</f>
        <v>12.689390955729497</v>
      </c>
      <c r="AJ28" s="1">
        <f>[1]Results!AM1389</f>
        <v>12.414722712046489</v>
      </c>
      <c r="AK28" s="1">
        <f>[1]Results!AN1389</f>
        <v>12.150858827493739</v>
      </c>
      <c r="AL28" s="1">
        <f>[1]Results!AO1389</f>
        <v>11.913482630844886</v>
      </c>
    </row>
    <row r="29" spans="1:38" x14ac:dyDescent="0.35">
      <c r="A29" s="3" t="str">
        <f>[1]Results!E1390</f>
        <v>100*(DISPINC_AT_VAL_2/DISPINC_AT_VAL_0-1)-100*(PCH_2/PCH_0-1)</v>
      </c>
      <c r="B29" t="str">
        <f>[1]Results!C1390</f>
        <v>Revenu disponible réel des ménages</v>
      </c>
      <c r="C29" s="1">
        <f>[1]Results!F1390</f>
        <v>-9.9812580423019881E-8</v>
      </c>
      <c r="D29" s="1">
        <f>[1]Results!G1390</f>
        <v>0</v>
      </c>
      <c r="E29" s="1">
        <f>[1]Results!H1390</f>
        <v>6.8024874622096831E-8</v>
      </c>
      <c r="F29" s="1">
        <f>[1]Results!I1390</f>
        <v>6.5004823746050988E-8</v>
      </c>
      <c r="G29" s="1">
        <f>[1]Results!J1390</f>
        <v>-2.8825741793525594E-8</v>
      </c>
      <c r="H29" s="1">
        <f>[1]Results!K1390</f>
        <v>2.9602786888460741E-8</v>
      </c>
      <c r="I29" s="1">
        <f>[1]Results!L1390</f>
        <v>7.5592266315871459E-2</v>
      </c>
      <c r="J29" s="1">
        <f>[1]Results!M1390</f>
        <v>9.3983976041589479E-2</v>
      </c>
      <c r="K29" s="1">
        <f>[1]Results!N1390</f>
        <v>9.5744026863830989E-2</v>
      </c>
      <c r="L29" s="1">
        <f>[1]Results!O1390</f>
        <v>0.31743208724883676</v>
      </c>
      <c r="M29" s="1">
        <f>[1]Results!P1390</f>
        <v>0.74879221731993795</v>
      </c>
      <c r="N29" s="1">
        <f>[1]Results!Q1390</f>
        <v>1.1484686836073177</v>
      </c>
      <c r="O29" s="1">
        <f>[1]Results!R1390</f>
        <v>1.5720083260891027</v>
      </c>
      <c r="P29" s="1">
        <f>[1]Results!S1390</f>
        <v>1.9631568094105045</v>
      </c>
      <c r="Q29" s="1">
        <f>[1]Results!T1390</f>
        <v>2.3274426596377795</v>
      </c>
      <c r="R29" s="1">
        <f>[1]Results!U1390</f>
        <v>2.6805136831097087</v>
      </c>
      <c r="S29" s="1">
        <f>[1]Results!V1390</f>
        <v>2.9773339059415704</v>
      </c>
      <c r="T29" s="1">
        <f>[1]Results!W1390</f>
        <v>3.2463442784437468</v>
      </c>
      <c r="U29" s="1">
        <f>[1]Results!X1390</f>
        <v>3.5047579437107901</v>
      </c>
      <c r="V29" s="1">
        <f>[1]Results!Y1390</f>
        <v>3.756110304728244</v>
      </c>
      <c r="W29" s="1">
        <f>[1]Results!Z1390</f>
        <v>3.9976696709955961</v>
      </c>
      <c r="X29" s="1">
        <f>[1]Results!AA1390</f>
        <v>4.1951898373683969</v>
      </c>
      <c r="Y29" s="1">
        <f>[1]Results!AB1390</f>
        <v>4.3616011179476102</v>
      </c>
      <c r="Z29" s="1">
        <f>[1]Results!AC1390</f>
        <v>4.4926416570023395</v>
      </c>
      <c r="AA29" s="1">
        <f>[1]Results!AD1390</f>
        <v>4.5911675164492802</v>
      </c>
      <c r="AB29" s="1">
        <f>[1]Results!AE1390</f>
        <v>4.664851845729622</v>
      </c>
      <c r="AC29" s="1">
        <f>[1]Results!AF1390</f>
        <v>4.669401081399748</v>
      </c>
      <c r="AD29" s="1">
        <f>[1]Results!AG1390</f>
        <v>4.6316754839794019</v>
      </c>
      <c r="AE29" s="1">
        <f>[1]Results!AH1390</f>
        <v>4.5617231436707151</v>
      </c>
      <c r="AF29" s="1">
        <f>[1]Results!AI1390</f>
        <v>4.4689080480180507</v>
      </c>
      <c r="AG29" s="1">
        <f>[1]Results!AJ1390</f>
        <v>4.3619567378331059</v>
      </c>
      <c r="AH29" s="1">
        <f>[1]Results!AK1390</f>
        <v>4.2321965268813386</v>
      </c>
      <c r="AI29" s="1">
        <f>[1]Results!AL1390</f>
        <v>4.0996383030319503</v>
      </c>
      <c r="AJ29" s="1">
        <f>[1]Results!AM1390</f>
        <v>3.9698733582363968</v>
      </c>
      <c r="AK29" s="1">
        <f>[1]Results!AN1390</f>
        <v>3.8494709051292606</v>
      </c>
      <c r="AL29" s="1">
        <f>[1]Results!AO1390</f>
        <v>3.7443759284881324</v>
      </c>
    </row>
    <row r="30" spans="1:38" x14ac:dyDescent="0.35">
      <c r="A30" s="3" t="str">
        <f>[1]Results!E1391</f>
        <v>100*(DISPINC_AT_VAL_2/DISPINC_AT_VAL_0-1)-100*((F_L_2/F_L_0)-1)</v>
      </c>
      <c r="B30" t="str">
        <f>[1]Results!C1391</f>
        <v>Revenu disponible par emploi en valeur</v>
      </c>
      <c r="C30" s="1">
        <f>[1]Results!F1391</f>
        <v>0</v>
      </c>
      <c r="D30" s="1">
        <f>[1]Results!G1391</f>
        <v>0</v>
      </c>
      <c r="E30" s="1">
        <f>[1]Results!H1391</f>
        <v>3.1923885757123571E-8</v>
      </c>
      <c r="F30" s="1">
        <f>[1]Results!I1391</f>
        <v>6.5004823746050988E-8</v>
      </c>
      <c r="G30" s="1">
        <f>[1]Results!J1391</f>
        <v>6.2055938165883617E-8</v>
      </c>
      <c r="H30" s="1">
        <f>[1]Results!K1391</f>
        <v>1.1820791012695508E-7</v>
      </c>
      <c r="I30" s="1">
        <f>[1]Results!L1391</f>
        <v>-1.3291792146752357E-2</v>
      </c>
      <c r="J30" s="1">
        <f>[1]Results!M1391</f>
        <v>0.22877974151709335</v>
      </c>
      <c r="K30" s="1">
        <f>[1]Results!N1391</f>
        <v>0.625161356189885</v>
      </c>
      <c r="L30" s="1">
        <f>[1]Results!O1391</f>
        <v>1.30029759839978</v>
      </c>
      <c r="M30" s="1">
        <f>[1]Results!P1391</f>
        <v>2.4059189081302779</v>
      </c>
      <c r="N30" s="1">
        <f>[1]Results!Q1391</f>
        <v>3.0313916507000993</v>
      </c>
      <c r="O30" s="1">
        <f>[1]Results!R1391</f>
        <v>3.7132944028042347</v>
      </c>
      <c r="P30" s="1">
        <f>[1]Results!S1391</f>
        <v>4.4180672977549129</v>
      </c>
      <c r="Q30" s="1">
        <f>[1]Results!T1391</f>
        <v>5.1341430038913671</v>
      </c>
      <c r="R30" s="1">
        <f>[1]Results!U1391</f>
        <v>5.8586402401214821</v>
      </c>
      <c r="S30" s="1">
        <f>[1]Results!V1391</f>
        <v>6.647890558293601</v>
      </c>
      <c r="T30" s="1">
        <f>[1]Results!W1391</f>
        <v>7.4809215804539253</v>
      </c>
      <c r="U30" s="1">
        <f>[1]Results!X1391</f>
        <v>8.3513023651092375</v>
      </c>
      <c r="V30" s="1">
        <f>[1]Results!Y1391</f>
        <v>9.2217680808894151</v>
      </c>
      <c r="W30" s="1">
        <f>[1]Results!Z1391</f>
        <v>10.096504614206214</v>
      </c>
      <c r="X30" s="1">
        <f>[1]Results!AA1391</f>
        <v>10.852662000353508</v>
      </c>
      <c r="Y30" s="1">
        <f>[1]Results!AB1391</f>
        <v>11.544133974234772</v>
      </c>
      <c r="Z30" s="1">
        <f>[1]Results!AC1391</f>
        <v>12.15786268150292</v>
      </c>
      <c r="AA30" s="1">
        <f>[1]Results!AD1391</f>
        <v>12.686901160796271</v>
      </c>
      <c r="AB30" s="1">
        <f>[1]Results!AE1391</f>
        <v>13.13220849135479</v>
      </c>
      <c r="AC30" s="1">
        <f>[1]Results!AF1391</f>
        <v>13.397314199498389</v>
      </c>
      <c r="AD30" s="1">
        <f>[1]Results!AG1391</f>
        <v>13.5524517097786</v>
      </c>
      <c r="AE30" s="1">
        <f>[1]Results!AH1391</f>
        <v>13.612607211644534</v>
      </c>
      <c r="AF30" s="1">
        <f>[1]Results!AI1391</f>
        <v>13.591124408065792</v>
      </c>
      <c r="AG30" s="1">
        <f>[1]Results!AJ1391</f>
        <v>13.502720680428359</v>
      </c>
      <c r="AH30" s="1">
        <f>[1]Results!AK1391</f>
        <v>13.324826757784791</v>
      </c>
      <c r="AI30" s="1">
        <f>[1]Results!AL1391</f>
        <v>13.104250926946127</v>
      </c>
      <c r="AJ30" s="1">
        <f>[1]Results!AM1391</f>
        <v>12.857883358417443</v>
      </c>
      <c r="AK30" s="1">
        <f>[1]Results!AN1391</f>
        <v>12.6031438103561</v>
      </c>
      <c r="AL30" s="1">
        <f>[1]Results!AO1391</f>
        <v>12.356705225890531</v>
      </c>
    </row>
    <row r="31" spans="1:38" x14ac:dyDescent="0.35">
      <c r="A31" s="3" t="str">
        <f>[1]Results!E1392</f>
        <v>100*(DISPINC_AT_VAL_2/DISPINC_AT_VAL_0-1)-100*((F_L_2/F_L_0)-1)-100*(PCH_2/PCH_0-1)</v>
      </c>
      <c r="B31" t="str">
        <f>[1]Results!C1392</f>
        <v>Revenu disponible réel par emploi</v>
      </c>
      <c r="C31" s="1">
        <f>[1]Results!F1392</f>
        <v>-9.9812580423019881E-8</v>
      </c>
      <c r="D31" s="1">
        <f>[1]Results!G1392</f>
        <v>0</v>
      </c>
      <c r="E31" s="1">
        <f>[1]Results!H1392</f>
        <v>3.1923885757123571E-8</v>
      </c>
      <c r="F31" s="1">
        <f>[1]Results!I1392</f>
        <v>6.5004823746050988E-8</v>
      </c>
      <c r="G31" s="1">
        <f>[1]Results!J1392</f>
        <v>-2.8825741793525594E-8</v>
      </c>
      <c r="H31" s="1">
        <f>[1]Results!K1392</f>
        <v>2.9602786888460741E-8</v>
      </c>
      <c r="I31" s="1">
        <f>[1]Results!L1392</f>
        <v>6.6683482512142067E-2</v>
      </c>
      <c r="J31" s="1">
        <f>[1]Results!M1392</f>
        <v>0.2033225855925469</v>
      </c>
      <c r="K31" s="1">
        <f>[1]Results!N1392</f>
        <v>0.38057799707373885</v>
      </c>
      <c r="L31" s="1">
        <f>[1]Results!O1392</f>
        <v>0.58527187941426195</v>
      </c>
      <c r="M31" s="1">
        <f>[1]Results!P1392</f>
        <v>0.84296073306410202</v>
      </c>
      <c r="N31" s="1">
        <f>[1]Results!Q1392</f>
        <v>1.0488222741046327</v>
      </c>
      <c r="O31" s="1">
        <f>[1]Results!R1392</f>
        <v>1.3164531718681705</v>
      </c>
      <c r="P31" s="1">
        <f>[1]Results!S1392</f>
        <v>1.5968042041277997</v>
      </c>
      <c r="Q31" s="1">
        <f>[1]Results!T1392</f>
        <v>1.8759288665386897</v>
      </c>
      <c r="R31" s="1">
        <f>[1]Results!U1392</f>
        <v>2.1518988011400841</v>
      </c>
      <c r="S31" s="1">
        <f>[1]Results!V1392</f>
        <v>2.3884686690489376</v>
      </c>
      <c r="T31" s="1">
        <f>[1]Results!W1392</f>
        <v>2.6181618031602127</v>
      </c>
      <c r="U31" s="1">
        <f>[1]Results!X1392</f>
        <v>2.8595376693830952</v>
      </c>
      <c r="V31" s="1">
        <f>[1]Results!Y1392</f>
        <v>3.1154421384080653</v>
      </c>
      <c r="W31" s="1">
        <f>[1]Results!Z1392</f>
        <v>3.381700520944686</v>
      </c>
      <c r="X31" s="1">
        <f>[1]Results!AA1392</f>
        <v>3.6299333449191673</v>
      </c>
      <c r="Y31" s="1">
        <f>[1]Results!AB1392</f>
        <v>3.8698079078563152</v>
      </c>
      <c r="Z31" s="1">
        <f>[1]Results!AC1392</f>
        <v>4.0909369279155801</v>
      </c>
      <c r="AA31" s="1">
        <f>[1]Results!AD1392</f>
        <v>4.2892514668620318</v>
      </c>
      <c r="AB31" s="1">
        <f>[1]Results!AE1392</f>
        <v>4.4659352178005864</v>
      </c>
      <c r="AC31" s="1">
        <f>[1]Results!AF1392</f>
        <v>4.5786671507912047</v>
      </c>
      <c r="AD31" s="1">
        <f>[1]Results!AG1392</f>
        <v>4.6510452404124756</v>
      </c>
      <c r="AE31" s="1">
        <f>[1]Results!AH1392</f>
        <v>4.6873419511061947</v>
      </c>
      <c r="AF31" s="1">
        <f>[1]Results!AI1392</f>
        <v>4.6906835357732106</v>
      </c>
      <c r="AG31" s="1">
        <f>[1]Results!AJ1392</f>
        <v>4.6644421201387338</v>
      </c>
      <c r="AH31" s="1">
        <f>[1]Results!AK1392</f>
        <v>4.5997088832558717</v>
      </c>
      <c r="AI31" s="1">
        <f>[1]Results!AL1392</f>
        <v>4.5144982742485809</v>
      </c>
      <c r="AJ31" s="1">
        <f>[1]Results!AM1392</f>
        <v>4.4130340046073506</v>
      </c>
      <c r="AK31" s="1">
        <f>[1]Results!AN1392</f>
        <v>4.3017558879916216</v>
      </c>
      <c r="AL31" s="1">
        <f>[1]Results!AO1392</f>
        <v>4.1875985235337776</v>
      </c>
    </row>
    <row r="32" spans="1:38" x14ac:dyDescent="0.35">
      <c r="A32" s="3" t="str">
        <f>[1]Results!E1393</f>
        <v>100*(MPS_n_2-MPS_n_0)</v>
      </c>
      <c r="B32" t="str">
        <f>[1]Results!C1393</f>
        <v>Taux d'épargne</v>
      </c>
      <c r="C32" s="1">
        <f>[1]Results!F1393</f>
        <v>0</v>
      </c>
      <c r="D32" s="1">
        <f>[1]Results!G1393</f>
        <v>0</v>
      </c>
      <c r="E32" s="1">
        <f>[1]Results!H1393</f>
        <v>0</v>
      </c>
      <c r="F32" s="1">
        <f>[1]Results!I1393</f>
        <v>0</v>
      </c>
      <c r="G32" s="1">
        <f>[1]Results!J1393</f>
        <v>0</v>
      </c>
      <c r="H32" s="1">
        <f>[1]Results!K1393</f>
        <v>0</v>
      </c>
      <c r="I32" s="1">
        <f>[1]Results!L1393</f>
        <v>0</v>
      </c>
      <c r="J32" s="1">
        <f>[1]Results!M1393</f>
        <v>0</v>
      </c>
      <c r="K32" s="1">
        <f>[1]Results!N1393</f>
        <v>0</v>
      </c>
      <c r="L32" s="1">
        <f>[1]Results!O1393</f>
        <v>0</v>
      </c>
      <c r="M32" s="1">
        <f>[1]Results!P1393</f>
        <v>0</v>
      </c>
      <c r="N32" s="1">
        <f>[1]Results!Q1393</f>
        <v>0</v>
      </c>
      <c r="O32" s="1">
        <f>[1]Results!R1393</f>
        <v>0</v>
      </c>
      <c r="P32" s="1">
        <f>[1]Results!S1393</f>
        <v>0</v>
      </c>
      <c r="Q32" s="1">
        <f>[1]Results!T1393</f>
        <v>0</v>
      </c>
      <c r="R32" s="1">
        <f>[1]Results!U1393</f>
        <v>0</v>
      </c>
      <c r="S32" s="1">
        <f>[1]Results!V1393</f>
        <v>0</v>
      </c>
      <c r="T32" s="1">
        <f>[1]Results!W1393</f>
        <v>0</v>
      </c>
      <c r="U32" s="1">
        <f>[1]Results!X1393</f>
        <v>0</v>
      </c>
      <c r="V32" s="1">
        <f>[1]Results!Y1393</f>
        <v>0</v>
      </c>
      <c r="W32" s="1">
        <f>[1]Results!Z1393</f>
        <v>0</v>
      </c>
      <c r="X32" s="1">
        <f>[1]Results!AA1393</f>
        <v>0</v>
      </c>
      <c r="Y32" s="1">
        <f>[1]Results!AB1393</f>
        <v>0</v>
      </c>
      <c r="Z32" s="1">
        <f>[1]Results!AC1393</f>
        <v>0</v>
      </c>
      <c r="AA32" s="1">
        <f>[1]Results!AD1393</f>
        <v>0</v>
      </c>
      <c r="AB32" s="1">
        <f>[1]Results!AE1393</f>
        <v>0</v>
      </c>
      <c r="AC32" s="1">
        <f>[1]Results!AF1393</f>
        <v>0</v>
      </c>
      <c r="AD32" s="1">
        <f>[1]Results!AG1393</f>
        <v>0</v>
      </c>
      <c r="AE32" s="1">
        <f>[1]Results!AH1393</f>
        <v>0</v>
      </c>
      <c r="AF32" s="1">
        <f>[1]Results!AI1393</f>
        <v>0</v>
      </c>
      <c r="AG32" s="1">
        <f>[1]Results!AJ1393</f>
        <v>0</v>
      </c>
      <c r="AH32" s="1">
        <f>[1]Results!AK1393</f>
        <v>0</v>
      </c>
      <c r="AI32" s="1">
        <f>[1]Results!AL1393</f>
        <v>0</v>
      </c>
      <c r="AJ32" s="1">
        <f>[1]Results!AM1393</f>
        <v>0</v>
      </c>
      <c r="AK32" s="1">
        <f>[1]Results!AN1393</f>
        <v>0</v>
      </c>
      <c r="AL32" s="1">
        <f>[1]Results!AO1393</f>
        <v>0</v>
      </c>
    </row>
    <row r="33" spans="1:38" x14ac:dyDescent="0.35">
      <c r="A33" s="3" t="str">
        <f>[1]Results!E1394</f>
        <v>100*(PCH_2/PCH_0-1)</v>
      </c>
      <c r="B33" t="str">
        <f>[1]Results!C1394</f>
        <v>Prix à la consommation des ménages</v>
      </c>
      <c r="C33" s="1">
        <f>[1]Results!F1394</f>
        <v>-9.9812580423019881E-8</v>
      </c>
      <c r="D33" s="1">
        <f>[1]Results!G1394</f>
        <v>0</v>
      </c>
      <c r="E33" s="1">
        <f>[1]Results!H1394</f>
        <v>6.8024874622096831E-8</v>
      </c>
      <c r="F33" s="1">
        <f>[1]Results!I1394</f>
        <v>6.5004823746050988E-8</v>
      </c>
      <c r="G33" s="1">
        <f>[1]Results!J1394</f>
        <v>-2.8825741793525594E-8</v>
      </c>
      <c r="H33" s="1">
        <f>[1]Results!K1394</f>
        <v>2.9602786888460741E-8</v>
      </c>
      <c r="I33" s="1">
        <f>[1]Results!L1394</f>
        <v>7.5592266315871459E-2</v>
      </c>
      <c r="J33" s="1">
        <f>[1]Results!M1394</f>
        <v>9.3983976041589479E-2</v>
      </c>
      <c r="K33" s="1">
        <f>[1]Results!N1394</f>
        <v>9.5744026863830989E-2</v>
      </c>
      <c r="L33" s="1">
        <f>[1]Results!O1394</f>
        <v>0.31743208724883676</v>
      </c>
      <c r="M33" s="1">
        <f>[1]Results!P1394</f>
        <v>0.74879221731993795</v>
      </c>
      <c r="N33" s="1">
        <f>[1]Results!Q1394</f>
        <v>1.1484686836073177</v>
      </c>
      <c r="O33" s="1">
        <f>[1]Results!R1394</f>
        <v>1.5720083260891027</v>
      </c>
      <c r="P33" s="1">
        <f>[1]Results!S1394</f>
        <v>1.9631568094105045</v>
      </c>
      <c r="Q33" s="1">
        <f>[1]Results!T1394</f>
        <v>2.3274426596377795</v>
      </c>
      <c r="R33" s="1">
        <f>[1]Results!U1394</f>
        <v>2.6805136831097087</v>
      </c>
      <c r="S33" s="1">
        <f>[1]Results!V1394</f>
        <v>2.9773339059415704</v>
      </c>
      <c r="T33" s="1">
        <f>[1]Results!W1394</f>
        <v>3.2463442784437468</v>
      </c>
      <c r="U33" s="1">
        <f>[1]Results!X1394</f>
        <v>3.5047579437107901</v>
      </c>
      <c r="V33" s="1">
        <f>[1]Results!Y1394</f>
        <v>3.756110304728244</v>
      </c>
      <c r="W33" s="1">
        <f>[1]Results!Z1394</f>
        <v>3.9976696709955961</v>
      </c>
      <c r="X33" s="1">
        <f>[1]Results!AA1394</f>
        <v>4.1951898373683969</v>
      </c>
      <c r="Y33" s="1">
        <f>[1]Results!AB1394</f>
        <v>4.3616011179476102</v>
      </c>
      <c r="Z33" s="1">
        <f>[1]Results!AC1394</f>
        <v>4.4926416570023395</v>
      </c>
      <c r="AA33" s="1">
        <f>[1]Results!AD1394</f>
        <v>4.5911675164492802</v>
      </c>
      <c r="AB33" s="1">
        <f>[1]Results!AE1394</f>
        <v>4.664851845729622</v>
      </c>
      <c r="AC33" s="1">
        <f>[1]Results!AF1394</f>
        <v>4.669401081399748</v>
      </c>
      <c r="AD33" s="1">
        <f>[1]Results!AG1394</f>
        <v>4.6316754839794019</v>
      </c>
      <c r="AE33" s="1">
        <f>[1]Results!AH1394</f>
        <v>4.5617231436707151</v>
      </c>
      <c r="AF33" s="1">
        <f>[1]Results!AI1394</f>
        <v>4.4689080480180507</v>
      </c>
      <c r="AG33" s="1">
        <f>[1]Results!AJ1394</f>
        <v>4.3619567378331059</v>
      </c>
      <c r="AH33" s="1">
        <f>[1]Results!AK1394</f>
        <v>4.2321965268813386</v>
      </c>
      <c r="AI33" s="1">
        <f>[1]Results!AL1394</f>
        <v>4.0996383030319503</v>
      </c>
      <c r="AJ33" s="1">
        <f>[1]Results!AM1394</f>
        <v>3.9698733582363968</v>
      </c>
      <c r="AK33" s="1">
        <f>[1]Results!AN1394</f>
        <v>3.8494709051292606</v>
      </c>
      <c r="AL33" s="1">
        <f>[1]Results!AO1394</f>
        <v>3.7443759284881324</v>
      </c>
    </row>
    <row r="34" spans="1:38" x14ac:dyDescent="0.35">
      <c r="A34" s="3" t="str">
        <f>[1]Results!E1395</f>
        <v>100*(PY_2/PY_0-1)</v>
      </c>
      <c r="B34" t="str">
        <f>[1]Results!C1395</f>
        <v>Prix à la production marchande</v>
      </c>
      <c r="C34" s="1">
        <f>[1]Results!F1395</f>
        <v>0</v>
      </c>
      <c r="D34" s="1">
        <f>[1]Results!G1395</f>
        <v>0</v>
      </c>
      <c r="E34" s="1">
        <f>[1]Results!H1395</f>
        <v>0</v>
      </c>
      <c r="F34" s="1">
        <f>[1]Results!I1395</f>
        <v>0</v>
      </c>
      <c r="G34" s="1">
        <f>[1]Results!J1395</f>
        <v>0</v>
      </c>
      <c r="H34" s="1">
        <f>[1]Results!K1395</f>
        <v>0</v>
      </c>
      <c r="I34" s="1">
        <f>[1]Results!L1395</f>
        <v>-7.0037512881537811E-2</v>
      </c>
      <c r="J34" s="1">
        <f>[1]Results!M1395</f>
        <v>-0.10040793235726042</v>
      </c>
      <c r="K34" s="1">
        <f>[1]Results!N1395</f>
        <v>-6.5879660134626761E-2</v>
      </c>
      <c r="L34" s="1">
        <f>[1]Results!O1395</f>
        <v>0.17085045230107454</v>
      </c>
      <c r="M34" s="1">
        <f>[1]Results!P1395</f>
        <v>0.72144937451892321</v>
      </c>
      <c r="N34" s="1">
        <f>[1]Results!Q1395</f>
        <v>1.2015881305882825</v>
      </c>
      <c r="O34" s="1">
        <f>[1]Results!R1395</f>
        <v>1.6584115869885618</v>
      </c>
      <c r="P34" s="1">
        <f>[1]Results!S1395</f>
        <v>2.1130075918495583</v>
      </c>
      <c r="Q34" s="1">
        <f>[1]Results!T1395</f>
        <v>2.573770026966149</v>
      </c>
      <c r="R34" s="1">
        <f>[1]Results!U1395</f>
        <v>3.0432030659726772</v>
      </c>
      <c r="S34" s="1">
        <f>[1]Results!V1395</f>
        <v>3.5886323808637766</v>
      </c>
      <c r="T34" s="1">
        <f>[1]Results!W1395</f>
        <v>4.1930498042377584</v>
      </c>
      <c r="U34" s="1">
        <f>[1]Results!X1395</f>
        <v>4.8369834621464047</v>
      </c>
      <c r="V34" s="1">
        <f>[1]Results!Y1395</f>
        <v>5.4957654088692021</v>
      </c>
      <c r="W34" s="1">
        <f>[1]Results!Z1395</f>
        <v>6.1603709860676537</v>
      </c>
      <c r="X34" s="1">
        <f>[1]Results!AA1395</f>
        <v>6.7718943632051776</v>
      </c>
      <c r="Y34" s="1">
        <f>[1]Results!AB1395</f>
        <v>7.3314972693029778</v>
      </c>
      <c r="Z34" s="1">
        <f>[1]Results!AC1395</f>
        <v>7.8384754468803441</v>
      </c>
      <c r="AA34" s="1">
        <f>[1]Results!AD1395</f>
        <v>8.2925124238703685</v>
      </c>
      <c r="AB34" s="1">
        <f>[1]Results!AE1395</f>
        <v>8.6960222058899639</v>
      </c>
      <c r="AC34" s="1">
        <f>[1]Results!AF1395</f>
        <v>8.9653525386889079</v>
      </c>
      <c r="AD34" s="1">
        <f>[1]Results!AG1395</f>
        <v>9.1543449597996762</v>
      </c>
      <c r="AE34" s="1">
        <f>[1]Results!AH1395</f>
        <v>9.283518968984982</v>
      </c>
      <c r="AF34" s="1">
        <f>[1]Results!AI1395</f>
        <v>9.3670946676235545</v>
      </c>
      <c r="AG34" s="1">
        <f>[1]Results!AJ1395</f>
        <v>9.4177136901150824</v>
      </c>
      <c r="AH34" s="1">
        <f>[1]Results!AK1395</f>
        <v>9.4273674285844997</v>
      </c>
      <c r="AI34" s="1">
        <f>[1]Results!AL1395</f>
        <v>9.411804874321362</v>
      </c>
      <c r="AJ34" s="1">
        <f>[1]Results!AM1395</f>
        <v>9.384337643509566</v>
      </c>
      <c r="AK34" s="1">
        <f>[1]Results!AN1395</f>
        <v>9.3561665887770253</v>
      </c>
      <c r="AL34" s="1">
        <f>[1]Results!AO1395</f>
        <v>9.3368985885435851</v>
      </c>
    </row>
    <row r="35" spans="1:38" x14ac:dyDescent="0.35">
      <c r="A35" s="3" t="str">
        <f>[1]Results!E1396</f>
        <v>100*(PX_2/PX_0-1)</v>
      </c>
      <c r="B35" t="str">
        <f>[1]Results!C1396</f>
        <v>Prix des exportations</v>
      </c>
      <c r="C35" s="1">
        <f>[1]Results!F1396</f>
        <v>0</v>
      </c>
      <c r="D35" s="1">
        <f>[1]Results!G1396</f>
        <v>0</v>
      </c>
      <c r="E35" s="1">
        <f>[1]Results!H1396</f>
        <v>9.54965440058686E-8</v>
      </c>
      <c r="F35" s="1">
        <f>[1]Results!I1396</f>
        <v>9.3120688937631257E-8</v>
      </c>
      <c r="G35" s="1">
        <f>[1]Results!J1396</f>
        <v>9.0769503025001086E-8</v>
      </c>
      <c r="H35" s="1">
        <f>[1]Results!K1396</f>
        <v>8.8422780208929908E-8</v>
      </c>
      <c r="I35" s="1">
        <f>[1]Results!L1396</f>
        <v>-9.5424415565581455E-2</v>
      </c>
      <c r="J35" s="1">
        <f>[1]Results!M1396</f>
        <v>-0.1424693310298486</v>
      </c>
      <c r="K35" s="1">
        <f>[1]Results!N1396</f>
        <v>-0.10574285486192325</v>
      </c>
      <c r="L35" s="1">
        <f>[1]Results!O1396</f>
        <v>0.16610868317006311</v>
      </c>
      <c r="M35" s="1">
        <f>[1]Results!P1396</f>
        <v>0.77544749103612975</v>
      </c>
      <c r="N35" s="1">
        <f>[1]Results!Q1396</f>
        <v>1.2441105849594569</v>
      </c>
      <c r="O35" s="1">
        <f>[1]Results!R1396</f>
        <v>1.6414636685115891</v>
      </c>
      <c r="P35" s="1">
        <f>[1]Results!S1396</f>
        <v>2.0078816350521222</v>
      </c>
      <c r="Q35" s="1">
        <f>[1]Results!T1396</f>
        <v>2.3662535686665098</v>
      </c>
      <c r="R35" s="1">
        <f>[1]Results!U1396</f>
        <v>2.7279485550492977</v>
      </c>
      <c r="S35" s="1">
        <f>[1]Results!V1396</f>
        <v>3.1800139251916271</v>
      </c>
      <c r="T35" s="1">
        <f>[1]Results!W1396</f>
        <v>3.69810219337805</v>
      </c>
      <c r="U35" s="1">
        <f>[1]Results!X1396</f>
        <v>4.2586705212799059</v>
      </c>
      <c r="V35" s="1">
        <f>[1]Results!Y1396</f>
        <v>4.8332810742185428</v>
      </c>
      <c r="W35" s="1">
        <f>[1]Results!Z1396</f>
        <v>5.4116559282137988</v>
      </c>
      <c r="X35" s="1">
        <f>[1]Results!AA1396</f>
        <v>5.9303164241327755</v>
      </c>
      <c r="Y35" s="1">
        <f>[1]Results!AB1396</f>
        <v>6.3948026053470164</v>
      </c>
      <c r="Z35" s="1">
        <f>[1]Results!AC1396</f>
        <v>6.8066769896156565</v>
      </c>
      <c r="AA35" s="1">
        <f>[1]Results!AD1396</f>
        <v>7.1657758733733035</v>
      </c>
      <c r="AB35" s="1">
        <f>[1]Results!AE1396</f>
        <v>7.4728563723062358</v>
      </c>
      <c r="AC35" s="1">
        <f>[1]Results!AF1396</f>
        <v>7.6915044389668008</v>
      </c>
      <c r="AD35" s="1">
        <f>[1]Results!AG1396</f>
        <v>7.8431345576003286</v>
      </c>
      <c r="AE35" s="1">
        <f>[1]Results!AH1396</f>
        <v>7.9403266872411171</v>
      </c>
      <c r="AF35" s="1">
        <f>[1]Results!AI1396</f>
        <v>7.9938985615045643</v>
      </c>
      <c r="AG35" s="1">
        <f>[1]Results!AJ1396</f>
        <v>8.0145675984153009</v>
      </c>
      <c r="AH35" s="1">
        <f>[1]Results!AK1396</f>
        <v>7.9930130445744707</v>
      </c>
      <c r="AI35" s="1">
        <f>[1]Results!AL1396</f>
        <v>7.9453490747360078</v>
      </c>
      <c r="AJ35" s="1">
        <f>[1]Results!AM1396</f>
        <v>7.8848039481997478</v>
      </c>
      <c r="AK35" s="1">
        <f>[1]Results!AN1396</f>
        <v>7.8222498475620128</v>
      </c>
      <c r="AL35" s="1">
        <f>[1]Results!AO1396</f>
        <v>7.7668244760103589</v>
      </c>
    </row>
    <row r="36" spans="1:38" x14ac:dyDescent="0.35">
      <c r="A36" s="3" t="str">
        <f>[1]Results!E1397</f>
        <v>100*(PM_2/PM_0-1)</v>
      </c>
      <c r="B36" t="str">
        <f>[1]Results!C1397</f>
        <v>Prix des importations</v>
      </c>
      <c r="C36" s="1">
        <f>[1]Results!F1397</f>
        <v>0</v>
      </c>
      <c r="D36" s="1">
        <f>[1]Results!G1397</f>
        <v>0</v>
      </c>
      <c r="E36" s="1">
        <f>[1]Results!H1397</f>
        <v>0</v>
      </c>
      <c r="F36" s="1">
        <f>[1]Results!I1397</f>
        <v>0</v>
      </c>
      <c r="G36" s="1">
        <f>[1]Results!J1397</f>
        <v>0</v>
      </c>
      <c r="H36" s="1">
        <f>[1]Results!K1397</f>
        <v>0</v>
      </c>
      <c r="I36" s="1">
        <f>[1]Results!L1397</f>
        <v>-0.28589789078303784</v>
      </c>
      <c r="J36" s="1">
        <f>[1]Results!M1397</f>
        <v>-0.52389128728983492</v>
      </c>
      <c r="K36" s="1">
        <f>[1]Results!N1397</f>
        <v>-0.75387158253058528</v>
      </c>
      <c r="L36" s="1">
        <f>[1]Results!O1397</f>
        <v>-0.97263466809366372</v>
      </c>
      <c r="M36" s="1">
        <f>[1]Results!P1397</f>
        <v>-1.1831571861815715</v>
      </c>
      <c r="N36" s="1">
        <f>[1]Results!Q1397</f>
        <v>-1.3891192660010043</v>
      </c>
      <c r="O36" s="1">
        <f>[1]Results!R1397</f>
        <v>-1.5993014587552534</v>
      </c>
      <c r="P36" s="1">
        <f>[1]Results!S1397</f>
        <v>-1.8083817890943044</v>
      </c>
      <c r="Q36" s="1">
        <f>[1]Results!T1397</f>
        <v>-2.0149427588265323</v>
      </c>
      <c r="R36" s="1">
        <f>[1]Results!U1397</f>
        <v>-2.2189655375772777</v>
      </c>
      <c r="S36" s="1">
        <f>[1]Results!V1397</f>
        <v>-2.2425500255109365</v>
      </c>
      <c r="T36" s="1">
        <f>[1]Results!W1397</f>
        <v>-2.2640320596538088</v>
      </c>
      <c r="U36" s="1">
        <f>[1]Results!X1397</f>
        <v>-2.2882012945240837</v>
      </c>
      <c r="V36" s="1">
        <f>[1]Results!Y1397</f>
        <v>-2.3181422584599654</v>
      </c>
      <c r="W36" s="1">
        <f>[1]Results!Z1397</f>
        <v>-2.3498355293684159</v>
      </c>
      <c r="X36" s="1">
        <f>[1]Results!AA1397</f>
        <v>-2.3818256785416936</v>
      </c>
      <c r="Y36" s="1">
        <f>[1]Results!AB1397</f>
        <v>-2.4141562996890298</v>
      </c>
      <c r="Z36" s="1">
        <f>[1]Results!AC1397</f>
        <v>-2.4483664362831115</v>
      </c>
      <c r="AA36" s="1">
        <f>[1]Results!AD1397</f>
        <v>-2.4855711966683791</v>
      </c>
      <c r="AB36" s="1">
        <f>[1]Results!AE1397</f>
        <v>-2.5263329314860195</v>
      </c>
      <c r="AC36" s="1">
        <f>[1]Results!AF1397</f>
        <v>-2.5476014951610892</v>
      </c>
      <c r="AD36" s="1">
        <f>[1]Results!AG1397</f>
        <v>-2.5598972050098645</v>
      </c>
      <c r="AE36" s="1">
        <f>[1]Results!AH1397</f>
        <v>-2.5714241706519481</v>
      </c>
      <c r="AF36" s="1">
        <f>[1]Results!AI1397</f>
        <v>-2.5835113436463719</v>
      </c>
      <c r="AG36" s="1">
        <f>[1]Results!AJ1397</f>
        <v>-2.5962247604741528</v>
      </c>
      <c r="AH36" s="1">
        <f>[1]Results!AK1397</f>
        <v>-2.6082160549907862</v>
      </c>
      <c r="AI36" s="1">
        <f>[1]Results!AL1397</f>
        <v>-2.6186616533752427</v>
      </c>
      <c r="AJ36" s="1">
        <f>[1]Results!AM1397</f>
        <v>-2.6284518280916713</v>
      </c>
      <c r="AK36" s="1">
        <f>[1]Results!AN1397</f>
        <v>-2.6378850954013711</v>
      </c>
      <c r="AL36" s="1">
        <f>[1]Results!AO1397</f>
        <v>-2.6470658477873665</v>
      </c>
    </row>
    <row r="37" spans="1:38" x14ac:dyDescent="0.35">
      <c r="A37" s="3" t="str">
        <f>[1]Results!E1398</f>
        <v>100*(W_2/W_0-1)</v>
      </c>
      <c r="B37" t="str">
        <f>[1]Results!C1398</f>
        <v>Salaire net nominal (hors cotisations employeurs et employés, unitaire)</v>
      </c>
      <c r="C37" s="1">
        <f>[1]Results!F1398</f>
        <v>0</v>
      </c>
      <c r="D37" s="1">
        <f>[1]Results!G1398</f>
        <v>0</v>
      </c>
      <c r="E37" s="1">
        <f>[1]Results!H1398</f>
        <v>0</v>
      </c>
      <c r="F37" s="1">
        <f>[1]Results!I1398</f>
        <v>2.2048873837832161E-8</v>
      </c>
      <c r="G37" s="1">
        <f>[1]Results!J1398</f>
        <v>2.1281865159039626E-8</v>
      </c>
      <c r="H37" s="1">
        <f>[1]Results!K1398</f>
        <v>6.1529914496816218E-8</v>
      </c>
      <c r="I37" s="1">
        <f>[1]Results!L1398</f>
        <v>1.3831749035242424E-3</v>
      </c>
      <c r="J37" s="1">
        <f>[1]Results!M1398</f>
        <v>-4.7010663959989873E-2</v>
      </c>
      <c r="K37" s="1">
        <f>[1]Results!N1398</f>
        <v>-9.1421605424757413E-2</v>
      </c>
      <c r="L37" s="1">
        <f>[1]Results!O1398</f>
        <v>-4.5384927246805429E-2</v>
      </c>
      <c r="M37" s="1">
        <f>[1]Results!P1398</f>
        <v>0.16772338350168337</v>
      </c>
      <c r="N37" s="1">
        <f>[1]Results!Q1398</f>
        <v>0.62321685960029516</v>
      </c>
      <c r="O37" s="1">
        <f>[1]Results!R1398</f>
        <v>1.1523584620106719</v>
      </c>
      <c r="P37" s="1">
        <f>[1]Results!S1398</f>
        <v>1.6938985561866238</v>
      </c>
      <c r="Q37" s="1">
        <f>[1]Results!T1398</f>
        <v>2.2315307656494809</v>
      </c>
      <c r="R37" s="1">
        <f>[1]Results!U1398</f>
        <v>2.7644631297439215</v>
      </c>
      <c r="S37" s="1">
        <f>[1]Results!V1398</f>
        <v>3.2913089706939402</v>
      </c>
      <c r="T37" s="1">
        <f>[1]Results!W1398</f>
        <v>3.837709840054182</v>
      </c>
      <c r="U37" s="1">
        <f>[1]Results!X1398</f>
        <v>4.4148703290805447</v>
      </c>
      <c r="V37" s="1">
        <f>[1]Results!Y1398</f>
        <v>5.0225040883756344</v>
      </c>
      <c r="W37" s="1">
        <f>[1]Results!Z1398</f>
        <v>5.6455298058456727</v>
      </c>
      <c r="X37" s="1">
        <f>[1]Results!AA1398</f>
        <v>6.2709804827375759</v>
      </c>
      <c r="Y37" s="1">
        <f>[1]Results!AB1398</f>
        <v>6.8638646222104249</v>
      </c>
      <c r="Z37" s="1">
        <f>[1]Results!AC1398</f>
        <v>7.4058576115232366</v>
      </c>
      <c r="AA37" s="1">
        <f>[1]Results!AD1398</f>
        <v>7.8866983829901871</v>
      </c>
      <c r="AB37" s="1">
        <f>[1]Results!AE1398</f>
        <v>8.3004705491974473</v>
      </c>
      <c r="AC37" s="1">
        <f>[1]Results!AF1398</f>
        <v>8.6438517399798354</v>
      </c>
      <c r="AD37" s="1">
        <f>[1]Results!AG1398</f>
        <v>8.9001522674023938</v>
      </c>
      <c r="AE37" s="1">
        <f>[1]Results!AH1398</f>
        <v>9.0679716264018051</v>
      </c>
      <c r="AF37" s="1">
        <f>[1]Results!AI1398</f>
        <v>9.1535851305002858</v>
      </c>
      <c r="AG37" s="1">
        <f>[1]Results!AJ1398</f>
        <v>9.1672890424057574</v>
      </c>
      <c r="AH37" s="1">
        <f>[1]Results!AK1398</f>
        <v>9.1211588512107866</v>
      </c>
      <c r="AI37" s="1">
        <f>[1]Results!AL1398</f>
        <v>9.0215754229067571</v>
      </c>
      <c r="AJ37" s="1">
        <f>[1]Results!AM1398</f>
        <v>8.8806148387508657</v>
      </c>
      <c r="AK37" s="1">
        <f>[1]Results!AN1398</f>
        <v>8.7122637831708705</v>
      </c>
      <c r="AL37" s="1">
        <f>[1]Results!AO1398</f>
        <v>8.5304881763026419</v>
      </c>
    </row>
    <row r="38" spans="1:38" x14ac:dyDescent="0.35">
      <c r="A38" s="3" t="str">
        <f>[1]Results!E1399</f>
        <v>100*((W_2/PCH_2)/(W_0/PCH_0)-1)</v>
      </c>
      <c r="B38" t="str">
        <f>[1]Results!C1399</f>
        <v>Salaire net réel (hors cotisations employeurs et employés, unitaire)</v>
      </c>
      <c r="C38" s="1">
        <f>[1]Results!F1399</f>
        <v>-9.9812569320789635E-8</v>
      </c>
      <c r="D38" s="1">
        <f>[1]Results!G1399</f>
        <v>0</v>
      </c>
      <c r="E38" s="1">
        <f>[1]Results!H1399</f>
        <v>0</v>
      </c>
      <c r="F38" s="1">
        <f>[1]Results!I1399</f>
        <v>2.2048896042292654E-8</v>
      </c>
      <c r="G38" s="1">
        <f>[1]Results!J1399</f>
        <v>-6.9599837004830079E-8</v>
      </c>
      <c r="H38" s="1">
        <f>[1]Results!K1399</f>
        <v>-2.7075197639447879E-8</v>
      </c>
      <c r="I38" s="1">
        <f>[1]Results!L1399</f>
        <v>8.1423568284777481E-2</v>
      </c>
      <c r="J38" s="1">
        <f>[1]Results!M1399</f>
        <v>-7.244937633382742E-2</v>
      </c>
      <c r="K38" s="1">
        <f>[1]Results!N1399</f>
        <v>-0.33518515742361199</v>
      </c>
      <c r="L38" s="1">
        <f>[1]Results!O1399</f>
        <v>-0.75501211542556845</v>
      </c>
      <c r="M38" s="1">
        <f>[1]Results!P1399</f>
        <v>-1.3737634435179613</v>
      </c>
      <c r="N38" s="1">
        <f>[1]Results!Q1399</f>
        <v>-1.3329263278074932</v>
      </c>
      <c r="O38" s="1">
        <f>[1]Results!R1399</f>
        <v>-1.2153526944436721</v>
      </c>
      <c r="P38" s="1">
        <f>[1]Results!S1399</f>
        <v>-1.0964313251179636</v>
      </c>
      <c r="Q38" s="1">
        <f>[1]Results!T1399</f>
        <v>-0.9942873603619562</v>
      </c>
      <c r="R38" s="1">
        <f>[1]Results!U1399</f>
        <v>-0.90859889739365318</v>
      </c>
      <c r="S38" s="1">
        <f>[1]Results!V1399</f>
        <v>-0.92856156403701151</v>
      </c>
      <c r="T38" s="1">
        <f>[1]Results!W1399</f>
        <v>-0.97751569710403663</v>
      </c>
      <c r="U38" s="1">
        <f>[1]Results!X1399</f>
        <v>-1.0208326401133894</v>
      </c>
      <c r="V38" s="1">
        <f>[1]Results!Y1399</f>
        <v>-1.021448857529228</v>
      </c>
      <c r="W38" s="1">
        <f>[1]Results!Z1399</f>
        <v>-1.0019924569053984</v>
      </c>
      <c r="X38" s="1">
        <f>[1]Results!AA1399</f>
        <v>-0.88763659033082032</v>
      </c>
      <c r="Y38" s="1">
        <f>[1]Results!AB1399</f>
        <v>-0.75269702052128684</v>
      </c>
      <c r="Z38" s="1">
        <f>[1]Results!AC1399</f>
        <v>-0.61172105845916924</v>
      </c>
      <c r="AA38" s="1">
        <f>[1]Results!AD1399</f>
        <v>-0.47136751801052368</v>
      </c>
      <c r="AB38" s="1">
        <f>[1]Results!AE1399</f>
        <v>-0.33662949260797603</v>
      </c>
      <c r="AC38" s="1">
        <f>[1]Results!AF1399</f>
        <v>-0.16062992278254029</v>
      </c>
      <c r="AD38" s="1">
        <f>[1]Results!AG1399</f>
        <v>-1.1516857351900889E-3</v>
      </c>
      <c r="AE38" s="1">
        <f>[1]Results!AH1399</f>
        <v>0.13101309923102544</v>
      </c>
      <c r="AF38" s="1">
        <f>[1]Results!AI1399</f>
        <v>0.23245475976039209</v>
      </c>
      <c r="AG38" s="1">
        <f>[1]Results!AJ1399</f>
        <v>0.30229298594968146</v>
      </c>
      <c r="AH38" s="1">
        <f>[1]Results!AK1399</f>
        <v>0.36425895361080762</v>
      </c>
      <c r="AI38" s="1">
        <f>[1]Results!AL1399</f>
        <v>0.39766438329620346</v>
      </c>
      <c r="AJ38" s="1">
        <f>[1]Results!AM1399</f>
        <v>0.40183142633087865</v>
      </c>
      <c r="AK38" s="1">
        <f>[1]Results!AN1399</f>
        <v>0.37938189776562936</v>
      </c>
      <c r="AL38" s="1">
        <f>[1]Results!AO1399</f>
        <v>0.33408935782399674</v>
      </c>
    </row>
    <row r="39" spans="1:38" x14ac:dyDescent="0.35">
      <c r="A39" s="3" t="str">
        <f>[1]Results!E1400</f>
        <v>100*(C_L_2/C_L_0-1)</v>
      </c>
      <c r="B39" t="str">
        <f>[1]Results!C1400</f>
        <v>Coût du travail nominal (yc. Cotisations employeurs et employés, unitaire)</v>
      </c>
      <c r="C39" s="1">
        <f>[1]Results!F1400</f>
        <v>0</v>
      </c>
      <c r="D39" s="1">
        <f>[1]Results!G1400</f>
        <v>1.8481616237409071E-8</v>
      </c>
      <c r="E39" s="1">
        <f>[1]Results!H1400</f>
        <v>0</v>
      </c>
      <c r="F39" s="1">
        <f>[1]Results!I1400</f>
        <v>1.7312529188018289E-8</v>
      </c>
      <c r="G39" s="1">
        <f>[1]Results!J1400</f>
        <v>3.3420510803239267E-8</v>
      </c>
      <c r="H39" s="1">
        <f>[1]Results!K1400</f>
        <v>4.8312553957430282E-8</v>
      </c>
      <c r="I39" s="1">
        <f>[1]Results!L1400</f>
        <v>1.3831586693990872E-3</v>
      </c>
      <c r="J39" s="1">
        <f>[1]Results!M1400</f>
        <v>-4.7010666182267791E-2</v>
      </c>
      <c r="K39" s="1">
        <f>[1]Results!N1400</f>
        <v>-9.1421612702546895E-2</v>
      </c>
      <c r="L39" s="1">
        <f>[1]Results!O1400</f>
        <v>-4.538493258345877E-2</v>
      </c>
      <c r="M39" s="1">
        <f>[1]Results!P1400</f>
        <v>0.16772336858978942</v>
      </c>
      <c r="N39" s="1">
        <f>[1]Results!Q1400</f>
        <v>0.62321686263329124</v>
      </c>
      <c r="O39" s="1">
        <f>[1]Results!R1400</f>
        <v>1.1523584647531893</v>
      </c>
      <c r="P39" s="1">
        <f>[1]Results!S1400</f>
        <v>1.6938985625034153</v>
      </c>
      <c r="Q39" s="1">
        <f>[1]Results!T1400</f>
        <v>2.2315307721755939</v>
      </c>
      <c r="R39" s="1">
        <f>[1]Results!U1400</f>
        <v>2.7644631361758432</v>
      </c>
      <c r="S39" s="1">
        <f>[1]Results!V1400</f>
        <v>3.291308953341332</v>
      </c>
      <c r="T39" s="1">
        <f>[1]Results!W1400</f>
        <v>3.8377097787721581</v>
      </c>
      <c r="U39" s="1">
        <f>[1]Results!X1400</f>
        <v>4.4148702806360962</v>
      </c>
      <c r="V39" s="1">
        <f>[1]Results!Y1400</f>
        <v>5.0225040445016633</v>
      </c>
      <c r="W39" s="1">
        <f>[1]Results!Z1400</f>
        <v>5.6455297752816769</v>
      </c>
      <c r="X39" s="1">
        <f>[1]Results!AA1400</f>
        <v>6.2709805407038521</v>
      </c>
      <c r="Y39" s="1">
        <f>[1]Results!AB1400</f>
        <v>6.863864632874761</v>
      </c>
      <c r="Z39" s="1">
        <f>[1]Results!AC1400</f>
        <v>7.4058575502002233</v>
      </c>
      <c r="AA39" s="1">
        <f>[1]Results!AD1400</f>
        <v>7.8866984487499181</v>
      </c>
      <c r="AB39" s="1">
        <f>[1]Results!AE1400</f>
        <v>8.3004706057282274</v>
      </c>
      <c r="AC39" s="1">
        <f>[1]Results!AF1400</f>
        <v>8.6438517404078485</v>
      </c>
      <c r="AD39" s="1">
        <f>[1]Results!AG1400</f>
        <v>8.900152295343533</v>
      </c>
      <c r="AE39" s="1">
        <f>[1]Results!AH1400</f>
        <v>9.0679716033041036</v>
      </c>
      <c r="AF39" s="1">
        <f>[1]Results!AI1400</f>
        <v>9.1535851088959674</v>
      </c>
      <c r="AG39" s="1">
        <f>[1]Results!AJ1400</f>
        <v>9.1672890100012125</v>
      </c>
      <c r="AH39" s="1">
        <f>[1]Results!AK1400</f>
        <v>9.1211588365336382</v>
      </c>
      <c r="AI39" s="1">
        <f>[1]Results!AL1400</f>
        <v>9.0215754608667034</v>
      </c>
      <c r="AJ39" s="1">
        <f>[1]Results!AM1400</f>
        <v>8.8806148317878595</v>
      </c>
      <c r="AK39" s="1">
        <f>[1]Results!AN1400</f>
        <v>8.7122637582447418</v>
      </c>
      <c r="AL39" s="1">
        <f>[1]Results!AO1400</f>
        <v>8.5304881856454138</v>
      </c>
    </row>
    <row r="40" spans="1:38" x14ac:dyDescent="0.35">
      <c r="A40" s="3" t="str">
        <f>[1]Results!E1401</f>
        <v>100*((C_L_2/PVA_2)/(C_L_0/PVA_0)-1)</v>
      </c>
      <c r="B40" t="str">
        <f>[1]Results!C1401</f>
        <v>Coût réel du travail (yc. Cotisations employeurs et employés, unitaire)</v>
      </c>
      <c r="C40" s="1">
        <f>[1]Results!F1401</f>
        <v>0</v>
      </c>
      <c r="D40" s="1">
        <f>[1]Results!G1401</f>
        <v>1.8481616237409071E-8</v>
      </c>
      <c r="E40" s="1">
        <f>[1]Results!H1401</f>
        <v>0</v>
      </c>
      <c r="F40" s="1">
        <f>[1]Results!I1401</f>
        <v>1.7312529188018289E-8</v>
      </c>
      <c r="G40" s="1">
        <f>[1]Results!J1401</f>
        <v>-5.7640514583567892E-8</v>
      </c>
      <c r="H40" s="1">
        <f>[1]Results!K1401</f>
        <v>4.8312553957430282E-8</v>
      </c>
      <c r="I40" s="1">
        <f>[1]Results!L1401</f>
        <v>-1.3161330940747451E-2</v>
      </c>
      <c r="J40" s="1">
        <f>[1]Results!M1401</f>
        <v>8.6031268001773853E-2</v>
      </c>
      <c r="K40" s="1">
        <f>[1]Results!N1401</f>
        <v>0.20479336309100482</v>
      </c>
      <c r="L40" s="1">
        <f>[1]Results!O1401</f>
        <v>0.30398431531712955</v>
      </c>
      <c r="M40" s="1">
        <f>[1]Results!P1401</f>
        <v>0.37529168324488271</v>
      </c>
      <c r="N40" s="1">
        <f>[1]Results!Q1401</f>
        <v>0.2866595066626676</v>
      </c>
      <c r="O40" s="1">
        <f>[1]Results!R1401</f>
        <v>0.29841854217944608</v>
      </c>
      <c r="P40" s="1">
        <f>[1]Results!S1401</f>
        <v>0.33268904420402645</v>
      </c>
      <c r="Q40" s="1">
        <f>[1]Results!T1401</f>
        <v>0.36490030449234379</v>
      </c>
      <c r="R40" s="1">
        <f>[1]Results!U1401</f>
        <v>0.39250362699194685</v>
      </c>
      <c r="S40" s="1">
        <f>[1]Results!V1401</f>
        <v>0.43562985488134753</v>
      </c>
      <c r="T40" s="1">
        <f>[1]Results!W1401</f>
        <v>0.45318400217722044</v>
      </c>
      <c r="U40" s="1">
        <f>[1]Results!X1401</f>
        <v>0.47124470345680791</v>
      </c>
      <c r="V40" s="1">
        <f>[1]Results!Y1401</f>
        <v>0.50653640081372853</v>
      </c>
      <c r="W40" s="1">
        <f>[1]Results!Z1401</f>
        <v>0.56445492201722125</v>
      </c>
      <c r="X40" s="1">
        <f>[1]Results!AA1401</f>
        <v>0.62638207220224729</v>
      </c>
      <c r="Y40" s="1">
        <f>[1]Results!AB1401</f>
        <v>0.71899112585245284</v>
      </c>
      <c r="Z40" s="1">
        <f>[1]Results!AC1401</f>
        <v>0.83029174555344643</v>
      </c>
      <c r="AA40" s="1">
        <f>[1]Results!AD1401</f>
        <v>0.95626578940548601</v>
      </c>
      <c r="AB40" s="1">
        <f>[1]Results!AE1401</f>
        <v>1.0956055202537396</v>
      </c>
      <c r="AC40" s="1">
        <f>[1]Results!AF1401</f>
        <v>1.2090611142602681</v>
      </c>
      <c r="AD40" s="1">
        <f>[1]Results!AG1401</f>
        <v>1.3220356512712916</v>
      </c>
      <c r="AE40" s="1">
        <f>[1]Results!AH1401</f>
        <v>1.429820125505743</v>
      </c>
      <c r="AF40" s="1">
        <f>[1]Results!AI1401</f>
        <v>1.5288584180055853</v>
      </c>
      <c r="AG40" s="1">
        <f>[1]Results!AJ1401</f>
        <v>1.6157316013979628</v>
      </c>
      <c r="AH40" s="1">
        <f>[1]Results!AK1401</f>
        <v>1.6757992964105295</v>
      </c>
      <c r="AI40" s="1">
        <f>[1]Results!AL1401</f>
        <v>1.7243704663423953</v>
      </c>
      <c r="AJ40" s="1">
        <f>[1]Results!AM1401</f>
        <v>1.7566897832681949</v>
      </c>
      <c r="AK40" s="1">
        <f>[1]Results!AN1401</f>
        <v>1.7718021301053044</v>
      </c>
      <c r="AL40" s="1">
        <f>[1]Results!AO1401</f>
        <v>1.7708649936296172</v>
      </c>
    </row>
    <row r="41" spans="1:38" x14ac:dyDescent="0.35">
      <c r="A41" s="3" t="str">
        <f>[1]Results!E1402</f>
        <v>((F_L_2/F_L_0)-1)*100</v>
      </c>
      <c r="B41" t="str">
        <f>[1]Results!C1402</f>
        <v>Emploi en %</v>
      </c>
      <c r="C41" s="1">
        <f>[1]Results!F1402</f>
        <v>0</v>
      </c>
      <c r="D41" s="1">
        <f>[1]Results!G1402</f>
        <v>0</v>
      </c>
      <c r="E41" s="1">
        <f>[1]Results!H1402</f>
        <v>3.610098886497326E-8</v>
      </c>
      <c r="F41" s="1">
        <f>[1]Results!I1402</f>
        <v>0</v>
      </c>
      <c r="G41" s="1">
        <f>[1]Results!J1402</f>
        <v>0</v>
      </c>
      <c r="H41" s="1">
        <f>[1]Results!K1402</f>
        <v>0</v>
      </c>
      <c r="I41" s="1">
        <f>[1]Results!L1402</f>
        <v>8.908783803729392E-3</v>
      </c>
      <c r="J41" s="1">
        <f>[1]Results!M1402</f>
        <v>-0.10933860955095742</v>
      </c>
      <c r="K41" s="1">
        <f>[1]Results!N1402</f>
        <v>-0.28483397020990786</v>
      </c>
      <c r="L41" s="1">
        <f>[1]Results!O1402</f>
        <v>-0.26783979216542519</v>
      </c>
      <c r="M41" s="1">
        <f>[1]Results!P1402</f>
        <v>-9.4168515744164072E-2</v>
      </c>
      <c r="N41" s="1">
        <f>[1]Results!Q1402</f>
        <v>9.9646409502684996E-2</v>
      </c>
      <c r="O41" s="1">
        <f>[1]Results!R1402</f>
        <v>0.25555515422093222</v>
      </c>
      <c r="P41" s="1">
        <f>[1]Results!S1402</f>
        <v>0.36635260528270486</v>
      </c>
      <c r="Q41" s="1">
        <f>[1]Results!T1402</f>
        <v>0.45151379309908979</v>
      </c>
      <c r="R41" s="1">
        <f>[1]Results!U1402</f>
        <v>0.52861488196962458</v>
      </c>
      <c r="S41" s="1">
        <f>[1]Results!V1402</f>
        <v>0.58886523689263282</v>
      </c>
      <c r="T41" s="1">
        <f>[1]Results!W1402</f>
        <v>0.6281824752835341</v>
      </c>
      <c r="U41" s="1">
        <f>[1]Results!X1402</f>
        <v>0.6452202743276958</v>
      </c>
      <c r="V41" s="1">
        <f>[1]Results!Y1402</f>
        <v>0.64066816632017964</v>
      </c>
      <c r="W41" s="1">
        <f>[1]Results!Z1402</f>
        <v>0.61596915005091013</v>
      </c>
      <c r="X41" s="1">
        <f>[1]Results!AA1402</f>
        <v>0.56525649244922871</v>
      </c>
      <c r="Y41" s="1">
        <f>[1]Results!AB1402</f>
        <v>0.49179321009129584</v>
      </c>
      <c r="Z41" s="1">
        <f>[1]Results!AC1402</f>
        <v>0.40170472908676036</v>
      </c>
      <c r="AA41" s="1">
        <f>[1]Results!AD1402</f>
        <v>0.30191604958724749</v>
      </c>
      <c r="AB41" s="1">
        <f>[1]Results!AE1402</f>
        <v>0.19891662792903553</v>
      </c>
      <c r="AC41" s="1">
        <f>[1]Results!AF1402</f>
        <v>9.0733930608544178E-2</v>
      </c>
      <c r="AD41" s="1">
        <f>[1]Results!AG1402</f>
        <v>-1.9369756433074148E-2</v>
      </c>
      <c r="AE41" s="1">
        <f>[1]Results!AH1402</f>
        <v>-0.12561880743547915</v>
      </c>
      <c r="AF41" s="1">
        <f>[1]Results!AI1402</f>
        <v>-0.22177548775516032</v>
      </c>
      <c r="AG41" s="1">
        <f>[1]Results!AJ1402</f>
        <v>-0.30248538230562838</v>
      </c>
      <c r="AH41" s="1">
        <f>[1]Results!AK1402</f>
        <v>-0.36751235637453306</v>
      </c>
      <c r="AI41" s="1">
        <f>[1]Results!AL1402</f>
        <v>-0.4148599712166301</v>
      </c>
      <c r="AJ41" s="1">
        <f>[1]Results!AM1402</f>
        <v>-0.44316064637095476</v>
      </c>
      <c r="AK41" s="1">
        <f>[1]Results!AN1402</f>
        <v>-0.45228498286236096</v>
      </c>
      <c r="AL41" s="1">
        <f>[1]Results!AO1402</f>
        <v>-0.44322259504564476</v>
      </c>
    </row>
    <row r="42" spans="1:38" x14ac:dyDescent="0.35">
      <c r="A42" s="3" t="str">
        <f>[1]Results!E1403</f>
        <v>F_L_2-F_L_0</v>
      </c>
      <c r="B42" t="str">
        <f>[1]Results!C1403</f>
        <v>Emploi en millier</v>
      </c>
      <c r="C42" s="1">
        <f>[1]Results!F1403</f>
        <v>0</v>
      </c>
      <c r="D42" s="1">
        <f>[1]Results!G1403</f>
        <v>0</v>
      </c>
      <c r="E42" s="1">
        <f>[1]Results!H1403</f>
        <v>9.9999997473787516E-6</v>
      </c>
      <c r="F42" s="1">
        <f>[1]Results!I1403</f>
        <v>0</v>
      </c>
      <c r="G42" s="1">
        <f>[1]Results!J1403</f>
        <v>0</v>
      </c>
      <c r="H42" s="1">
        <f>[1]Results!K1403</f>
        <v>0</v>
      </c>
      <c r="I42" s="1">
        <f>[1]Results!L1403</f>
        <v>2.5827600000011444</v>
      </c>
      <c r="J42" s="1">
        <f>[1]Results!M1403</f>
        <v>-32.116439999997965</v>
      </c>
      <c r="K42" s="1">
        <f>[1]Results!N1403</f>
        <v>-84.764589999998861</v>
      </c>
      <c r="L42" s="1">
        <f>[1]Results!O1403</f>
        <v>-80.735619999999471</v>
      </c>
      <c r="M42" s="1">
        <f>[1]Results!P1403</f>
        <v>-28.733909999999014</v>
      </c>
      <c r="N42" s="1">
        <f>[1]Results!Q1403</f>
        <v>30.713719999999739</v>
      </c>
      <c r="O42" s="1">
        <f>[1]Results!R1403</f>
        <v>79.365470000000641</v>
      </c>
      <c r="P42" s="1">
        <f>[1]Results!S1403</f>
        <v>114.35782000000108</v>
      </c>
      <c r="Q42" s="1">
        <f>[1]Results!T1403</f>
        <v>141.37952000000223</v>
      </c>
      <c r="R42" s="1">
        <f>[1]Results!U1403</f>
        <v>165.79654999999912</v>
      </c>
      <c r="S42" s="1">
        <f>[1]Results!V1403</f>
        <v>184.85916999999972</v>
      </c>
      <c r="T42" s="1">
        <f>[1]Results!W1403</f>
        <v>197.3537299999989</v>
      </c>
      <c r="U42" s="1">
        <f>[1]Results!X1403</f>
        <v>202.94134000000122</v>
      </c>
      <c r="V42" s="1">
        <f>[1]Results!Y1403</f>
        <v>201.89196000000084</v>
      </c>
      <c r="W42" s="1">
        <f>[1]Results!Z1403</f>
        <v>194.6529300000002</v>
      </c>
      <c r="X42" s="1">
        <f>[1]Results!AA1403</f>
        <v>179.32443000000058</v>
      </c>
      <c r="Y42" s="1">
        <f>[1]Results!AB1403</f>
        <v>156.81891000000178</v>
      </c>
      <c r="Z42" s="1">
        <f>[1]Results!AC1403</f>
        <v>128.91372000000047</v>
      </c>
      <c r="AA42" s="1">
        <f>[1]Results!AD1403</f>
        <v>97.63242000000173</v>
      </c>
      <c r="AB42" s="1">
        <f>[1]Results!AE1403</f>
        <v>64.88263999999981</v>
      </c>
      <c r="AC42" s="1">
        <f>[1]Results!AF1403</f>
        <v>29.866629999996803</v>
      </c>
      <c r="AD42" s="1">
        <f>[1]Results!AG1403</f>
        <v>-6.4367500000007567</v>
      </c>
      <c r="AE42" s="1">
        <f>[1]Results!AH1403</f>
        <v>-42.160599999995611</v>
      </c>
      <c r="AF42" s="1">
        <f>[1]Results!AI1403</f>
        <v>-75.203620000000228</v>
      </c>
      <c r="AG42" s="1">
        <f>[1]Results!AJ1403</f>
        <v>-103.65581999999995</v>
      </c>
      <c r="AH42" s="1">
        <f>[1]Results!AK1403</f>
        <v>-127.2685399999973</v>
      </c>
      <c r="AI42" s="1">
        <f>[1]Results!AL1403</f>
        <v>-145.14859000000433</v>
      </c>
      <c r="AJ42" s="1">
        <f>[1]Results!AM1403</f>
        <v>-156.58598000000347</v>
      </c>
      <c r="AK42" s="1">
        <f>[1]Results!AN1403</f>
        <v>-161.29798999999912</v>
      </c>
      <c r="AL42" s="1">
        <f>[1]Results!AO1403</f>
        <v>-159.42094999999972</v>
      </c>
    </row>
    <row r="43" spans="1:38" x14ac:dyDescent="0.35">
      <c r="A43" s="3" t="str">
        <f>[1]Results!E1404</f>
        <v>100*(UnR_2-UnR_0)</v>
      </c>
      <c r="B43" t="str">
        <f>[1]Results!C1404</f>
        <v>Taux de chômage (en point)</v>
      </c>
      <c r="C43" s="1">
        <f>[1]Results!F1404</f>
        <v>0</v>
      </c>
      <c r="D43" s="1">
        <f>[1]Results!G1404</f>
        <v>0</v>
      </c>
      <c r="E43" s="1">
        <f>[1]Results!H1404</f>
        <v>0</v>
      </c>
      <c r="F43" s="1">
        <f>[1]Results!I1404</f>
        <v>-1.000000082740371E-8</v>
      </c>
      <c r="G43" s="1">
        <f>[1]Results!J1404</f>
        <v>-1.000000082740371E-8</v>
      </c>
      <c r="H43" s="1">
        <f>[1]Results!K1404</f>
        <v>-1.000000082740371E-8</v>
      </c>
      <c r="I43" s="1">
        <f>[1]Results!L1404</f>
        <v>-6.6570099999996302E-3</v>
      </c>
      <c r="J43" s="1">
        <f>[1]Results!M1404</f>
        <v>8.2757279999999545E-2</v>
      </c>
      <c r="K43" s="1">
        <f>[1]Results!N1404</f>
        <v>0.20967219000000009</v>
      </c>
      <c r="L43" s="1">
        <f>[1]Results!O1404</f>
        <v>0.18507362000000083</v>
      </c>
      <c r="M43" s="1">
        <f>[1]Results!P1404</f>
        <v>4.8351550000000354E-2</v>
      </c>
      <c r="N43" s="1">
        <f>[1]Results!Q1404</f>
        <v>-9.2201409999999318E-2</v>
      </c>
      <c r="O43" s="1">
        <f>[1]Results!R1404</f>
        <v>-0.19757674000000086</v>
      </c>
      <c r="P43" s="1">
        <f>[1]Results!S1404</f>
        <v>-0.26753533999999968</v>
      </c>
      <c r="Q43" s="1">
        <f>[1]Results!T1404</f>
        <v>-0.3198052899999998</v>
      </c>
      <c r="R43" s="1">
        <f>[1]Results!U1404</f>
        <v>-0.36801802000000078</v>
      </c>
      <c r="S43" s="1">
        <f>[1]Results!V1404</f>
        <v>-0.40454661999999864</v>
      </c>
      <c r="T43" s="1">
        <f>[1]Results!W1404</f>
        <v>-0.42658074000000018</v>
      </c>
      <c r="U43" s="1">
        <f>[1]Results!X1404</f>
        <v>-0.43359829000000072</v>
      </c>
      <c r="V43" s="1">
        <f>[1]Results!Y1404</f>
        <v>-0.42648071999999981</v>
      </c>
      <c r="W43" s="1">
        <f>[1]Results!Z1404</f>
        <v>-0.40673385999999978</v>
      </c>
      <c r="X43" s="1">
        <f>[1]Results!AA1404</f>
        <v>-0.36913078000000016</v>
      </c>
      <c r="Y43" s="1">
        <f>[1]Results!AB1404</f>
        <v>-0.31677161000000092</v>
      </c>
      <c r="Z43" s="1">
        <f>[1]Results!AC1404</f>
        <v>-0.25408761000000057</v>
      </c>
      <c r="AA43" s="1">
        <f>[1]Results!AD1404</f>
        <v>-0.18577565999999962</v>
      </c>
      <c r="AB43" s="1">
        <f>[1]Results!AE1404</f>
        <v>-0.11628319999999887</v>
      </c>
      <c r="AC43" s="1">
        <f>[1]Results!AF1404</f>
        <v>-4.2676969999999592E-2</v>
      </c>
      <c r="AD43" s="1">
        <f>[1]Results!AG1404</f>
        <v>3.2479009999999975E-2</v>
      </c>
      <c r="AE43" s="1">
        <f>[1]Results!AH1404</f>
        <v>0.10496802999999943</v>
      </c>
      <c r="AF43" s="1">
        <f>[1]Results!AI1404</f>
        <v>0.17031433000000012</v>
      </c>
      <c r="AG43" s="1">
        <f>[1]Results!AJ1404</f>
        <v>0.22472375000000058</v>
      </c>
      <c r="AH43" s="1">
        <f>[1]Results!AK1404</f>
        <v>0.26836988000000017</v>
      </c>
      <c r="AI43" s="1">
        <f>[1]Results!AL1404</f>
        <v>0.29967676999999998</v>
      </c>
      <c r="AJ43" s="1">
        <f>[1]Results!AM1404</f>
        <v>0.31752451999999959</v>
      </c>
      <c r="AK43" s="1">
        <f>[1]Results!AN1404</f>
        <v>0.32175352000000035</v>
      </c>
      <c r="AL43" s="1">
        <f>[1]Results!AO1404</f>
        <v>0.31305539999999971</v>
      </c>
    </row>
    <row r="44" spans="1:38" x14ac:dyDescent="0.35">
      <c r="A44" s="3" t="str">
        <f>[1]Results!E1405</f>
        <v>100*(Bal_Trade_VAL_2/(GDP_2*PGDP_2)-Bal_Trade_VAL_0/(GDP_0*PGDP_0))</v>
      </c>
      <c r="B44" t="str">
        <f>[1]Results!C1405</f>
        <v>Balance commerciale</v>
      </c>
      <c r="C44" s="1">
        <f>[1]Results!F1405</f>
        <v>6.0037912141819305E-10</v>
      </c>
      <c r="D44" s="1">
        <f>[1]Results!G1405</f>
        <v>1.5288517847544814E-9</v>
      </c>
      <c r="E44" s="1">
        <f>[1]Results!H1405</f>
        <v>3.7662857858486443E-9</v>
      </c>
      <c r="F44" s="1">
        <f>[1]Results!I1405</f>
        <v>5.7466574034104045E-9</v>
      </c>
      <c r="G44" s="1">
        <f>[1]Results!J1405</f>
        <v>7.2273128454147795E-9</v>
      </c>
      <c r="H44" s="1">
        <f>[1]Results!K1405</f>
        <v>5.1455156108159983E-9</v>
      </c>
      <c r="I44" s="1">
        <f>[1]Results!L1405</f>
        <v>4.6558077830817848E-2</v>
      </c>
      <c r="J44" s="1">
        <f>[1]Results!M1405</f>
        <v>-0.11271857596432816</v>
      </c>
      <c r="K44" s="1">
        <f>[1]Results!N1405</f>
        <v>-0.19917584434004687</v>
      </c>
      <c r="L44" s="1">
        <f>[1]Results!O1405</f>
        <v>2.2910334141302419E-2</v>
      </c>
      <c r="M44" s="1">
        <f>[1]Results!P1405</f>
        <v>0.22968211561713095</v>
      </c>
      <c r="N44" s="1">
        <f>[1]Results!Q1405</f>
        <v>0.29709318712026966</v>
      </c>
      <c r="O44" s="1">
        <f>[1]Results!R1405</f>
        <v>0.2830690887040313</v>
      </c>
      <c r="P44" s="1">
        <f>[1]Results!S1405</f>
        <v>0.24825948280896709</v>
      </c>
      <c r="Q44" s="1">
        <f>[1]Results!T1405</f>
        <v>0.23024548020313257</v>
      </c>
      <c r="R44" s="1">
        <f>[1]Results!U1405</f>
        <v>0.23126135732399605</v>
      </c>
      <c r="S44" s="1">
        <f>[1]Results!V1405</f>
        <v>0.2016847271125069</v>
      </c>
      <c r="T44" s="1">
        <f>[1]Results!W1405</f>
        <v>0.19059830726088703</v>
      </c>
      <c r="U44" s="1">
        <f>[1]Results!X1405</f>
        <v>0.18831909075671047</v>
      </c>
      <c r="V44" s="1">
        <f>[1]Results!Y1405</f>
        <v>0.18777645446934332</v>
      </c>
      <c r="W44" s="1">
        <f>[1]Results!Z1405</f>
        <v>0.18332228895778929</v>
      </c>
      <c r="X44" s="1">
        <f>[1]Results!AA1405</f>
        <v>0.16423784337048913</v>
      </c>
      <c r="Y44" s="1">
        <f>[1]Results!AB1405</f>
        <v>0.13646527382510029</v>
      </c>
      <c r="Z44" s="1">
        <f>[1]Results!AC1405</f>
        <v>0.10423472934408817</v>
      </c>
      <c r="AA44" s="1">
        <f>[1]Results!AD1405</f>
        <v>6.9891278809147001E-2</v>
      </c>
      <c r="AB44" s="1">
        <f>[1]Results!AE1405</f>
        <v>3.3418477246537764E-2</v>
      </c>
      <c r="AC44" s="1">
        <f>[1]Results!AF1405</f>
        <v>-1.5070853517659688E-2</v>
      </c>
      <c r="AD44" s="1">
        <f>[1]Results!AG1405</f>
        <v>-6.7988082974977659E-2</v>
      </c>
      <c r="AE44" s="1">
        <f>[1]Results!AH1405</f>
        <v>-0.11943879621963485</v>
      </c>
      <c r="AF44" s="1">
        <f>[1]Results!AI1405</f>
        <v>-0.16663348911028358</v>
      </c>
      <c r="AG44" s="1">
        <f>[1]Results!AJ1405</f>
        <v>-0.20804832568624282</v>
      </c>
      <c r="AH44" s="1">
        <f>[1]Results!AK1405</f>
        <v>-0.2461338399393137</v>
      </c>
      <c r="AI44" s="1">
        <f>[1]Results!AL1405</f>
        <v>-0.27966329281493979</v>
      </c>
      <c r="AJ44" s="1">
        <f>[1]Results!AM1405</f>
        <v>-0.30786056179456373</v>
      </c>
      <c r="AK44" s="1">
        <f>[1]Results!AN1405</f>
        <v>-0.33095237111691184</v>
      </c>
      <c r="AL44" s="1">
        <f>[1]Results!AO1405</f>
        <v>-0.34961502037945125</v>
      </c>
    </row>
    <row r="45" spans="1:38" x14ac:dyDescent="0.35">
      <c r="A45" s="3" t="str">
        <f>[1]Results!E1406</f>
        <v>100*(ENER_BILL_2/(GDP_2*PGDP_2)-ENER_BILL_0/(GDP_0*PGDP_0))</v>
      </c>
      <c r="B45" t="str">
        <f>[1]Results!C1406</f>
        <v>Facture énergétique</v>
      </c>
      <c r="C45" s="1">
        <f>[1]Results!F1406</f>
        <v>5.1641937254265358E-10</v>
      </c>
      <c r="D45" s="1">
        <f>[1]Results!G1406</f>
        <v>0</v>
      </c>
      <c r="E45" s="1">
        <f>[1]Results!H1406</f>
        <v>-1.673904591326103E-9</v>
      </c>
      <c r="F45" s="1">
        <f>[1]Results!I1406</f>
        <v>-4.7115953499821117E-9</v>
      </c>
      <c r="G45" s="1">
        <f>[1]Results!J1406</f>
        <v>-4.9450036079812243E-9</v>
      </c>
      <c r="H45" s="1">
        <f>[1]Results!K1406</f>
        <v>-6.9062531735109012E-9</v>
      </c>
      <c r="I45" s="1">
        <f>[1]Results!L1406</f>
        <v>-6.9438953997601541E-2</v>
      </c>
      <c r="J45" s="1">
        <f>[1]Results!M1406</f>
        <v>-0.13673366308456503</v>
      </c>
      <c r="K45" s="1">
        <f>[1]Results!N1406</f>
        <v>-0.21396480734580914</v>
      </c>
      <c r="L45" s="1">
        <f>[1]Results!O1406</f>
        <v>-0.30747111542808059</v>
      </c>
      <c r="M45" s="1">
        <f>[1]Results!P1406</f>
        <v>-0.41450252182248271</v>
      </c>
      <c r="N45" s="1">
        <f>[1]Results!Q1406</f>
        <v>-0.4997359905376208</v>
      </c>
      <c r="O45" s="1">
        <f>[1]Results!R1406</f>
        <v>-0.57342484279073425</v>
      </c>
      <c r="P45" s="1">
        <f>[1]Results!S1406</f>
        <v>-0.63945850535612159</v>
      </c>
      <c r="Q45" s="1">
        <f>[1]Results!T1406</f>
        <v>-0.70130351257273915</v>
      </c>
      <c r="R45" s="1">
        <f>[1]Results!U1406</f>
        <v>-0.76118264807526637</v>
      </c>
      <c r="S45" s="1">
        <f>[1]Results!V1406</f>
        <v>-0.77398004218724981</v>
      </c>
      <c r="T45" s="1">
        <f>[1]Results!W1406</f>
        <v>-0.79294259041433945</v>
      </c>
      <c r="U45" s="1">
        <f>[1]Results!X1406</f>
        <v>-0.81893717387306153</v>
      </c>
      <c r="V45" s="1">
        <f>[1]Results!Y1406</f>
        <v>-0.85436755402703435</v>
      </c>
      <c r="W45" s="1">
        <f>[1]Results!Z1406</f>
        <v>-0.89256749318551465</v>
      </c>
      <c r="X45" s="1">
        <f>[1]Results!AA1406</f>
        <v>-0.92964884369320444</v>
      </c>
      <c r="Y45" s="1">
        <f>[1]Results!AB1406</f>
        <v>-0.9660014722232072</v>
      </c>
      <c r="Z45" s="1">
        <f>[1]Results!AC1406</f>
        <v>-1.0021118001248446</v>
      </c>
      <c r="AA45" s="1">
        <f>[1]Results!AD1406</f>
        <v>-1.038290856704905</v>
      </c>
      <c r="AB45" s="1">
        <f>[1]Results!AE1406</f>
        <v>-1.0744893157279587</v>
      </c>
      <c r="AC45" s="1">
        <f>[1]Results!AF1406</f>
        <v>-1.1014092419709223</v>
      </c>
      <c r="AD45" s="1">
        <f>[1]Results!AG1406</f>
        <v>-1.1232217108276006</v>
      </c>
      <c r="AE45" s="1">
        <f>[1]Results!AH1406</f>
        <v>-1.1430053758024294</v>
      </c>
      <c r="AF45" s="1">
        <f>[1]Results!AI1406</f>
        <v>-1.1613236182277296</v>
      </c>
      <c r="AG45" s="1">
        <f>[1]Results!AJ1406</f>
        <v>-1.1781455308014905</v>
      </c>
      <c r="AH45" s="1">
        <f>[1]Results!AK1406</f>
        <v>-1.1920233123969564</v>
      </c>
      <c r="AI45" s="1">
        <f>[1]Results!AL1406</f>
        <v>-1.2030442554542438</v>
      </c>
      <c r="AJ45" s="1">
        <f>[1]Results!AM1406</f>
        <v>-1.2116486664453814</v>
      </c>
      <c r="AK45" s="1">
        <f>[1]Results!AN1406</f>
        <v>-1.2181467770781451</v>
      </c>
      <c r="AL45" s="1">
        <f>[1]Results!AO1406</f>
        <v>-1.2228470120471797</v>
      </c>
    </row>
    <row r="46" spans="1:38" x14ac:dyDescent="0.35">
      <c r="A46" s="3" t="str">
        <f>[1]Results!E1407</f>
        <v>100*((-Bal_G_prim_VAL_2)/(GDP_2*PGDP_2)-(-Bal_G_prim_VAL_0)/(GDP_0*PGDP_0))</v>
      </c>
      <c r="B46" t="str">
        <f>[1]Results!C1407</f>
        <v>Solde public primaire</v>
      </c>
      <c r="C46" s="1">
        <f>[1]Results!F1407</f>
        <v>4.1545048651281391E-10</v>
      </c>
      <c r="D46" s="1">
        <f>[1]Results!G1407</f>
        <v>8.7362955411562915E-10</v>
      </c>
      <c r="E46" s="1">
        <f>[1]Results!H1407</f>
        <v>-7.532571788537723E-10</v>
      </c>
      <c r="F46" s="1">
        <f>[1]Results!I1407</f>
        <v>-2.7304361029101276E-9</v>
      </c>
      <c r="G46" s="1">
        <f>[1]Results!J1407</f>
        <v>-6.8469279725091869E-9</v>
      </c>
      <c r="H46" s="1">
        <f>[1]Results!K1407</f>
        <v>-8.4226993435354558E-9</v>
      </c>
      <c r="I46" s="1">
        <f>[1]Results!L1407</f>
        <v>-6.7290483631292364E-3</v>
      </c>
      <c r="J46" s="1">
        <f>[1]Results!M1407</f>
        <v>9.8661570070372392E-2</v>
      </c>
      <c r="K46" s="1">
        <f>[1]Results!N1407</f>
        <v>0.23822619422029442</v>
      </c>
      <c r="L46" s="1">
        <f>[1]Results!O1407</f>
        <v>0.26806553281322965</v>
      </c>
      <c r="M46" s="1">
        <f>[1]Results!P1407</f>
        <v>0.2240800785319054</v>
      </c>
      <c r="N46" s="1">
        <f>[1]Results!Q1407</f>
        <v>6.0906337753979106E-2</v>
      </c>
      <c r="O46" s="1">
        <f>[1]Results!R1407</f>
        <v>-8.2343424776667312E-2</v>
      </c>
      <c r="P46" s="1">
        <f>[1]Results!S1407</f>
        <v>-0.19167899724523638</v>
      </c>
      <c r="Q46" s="1">
        <f>[1]Results!T1407</f>
        <v>-0.27894898963602632</v>
      </c>
      <c r="R46" s="1">
        <f>[1]Results!U1407</f>
        <v>-0.35644002379659617</v>
      </c>
      <c r="S46" s="1">
        <f>[1]Results!V1407</f>
        <v>-0.41369539994703247</v>
      </c>
      <c r="T46" s="1">
        <f>[1]Results!W1407</f>
        <v>-0.45900187544182652</v>
      </c>
      <c r="U46" s="1">
        <f>[1]Results!X1407</f>
        <v>-0.49797261959612094</v>
      </c>
      <c r="V46" s="1">
        <f>[1]Results!Y1407</f>
        <v>-0.53685944916639783</v>
      </c>
      <c r="W46" s="1">
        <f>[1]Results!Z1407</f>
        <v>-0.56515065606081305</v>
      </c>
      <c r="X46" s="1">
        <f>[1]Results!AA1407</f>
        <v>-0.58776224477768557</v>
      </c>
      <c r="Y46" s="1">
        <f>[1]Results!AB1407</f>
        <v>-0.59133402250140099</v>
      </c>
      <c r="Z46" s="1">
        <f>[1]Results!AC1407</f>
        <v>-0.57727084945311669</v>
      </c>
      <c r="AA46" s="1">
        <f>[1]Results!AD1407</f>
        <v>-0.5492433611285874</v>
      </c>
      <c r="AB46" s="1">
        <f>[1]Results!AE1407</f>
        <v>-0.50949397319220013</v>
      </c>
      <c r="AC46" s="1">
        <f>[1]Results!AF1407</f>
        <v>-0.46448324788519041</v>
      </c>
      <c r="AD46" s="1">
        <f>[1]Results!AG1407</f>
        <v>-0.40874533154639237</v>
      </c>
      <c r="AE46" s="1">
        <f>[1]Results!AH1407</f>
        <v>-0.34514308223416168</v>
      </c>
      <c r="AF46" s="1">
        <f>[1]Results!AI1407</f>
        <v>-0.27772320250375598</v>
      </c>
      <c r="AG46" s="1">
        <f>[1]Results!AJ1407</f>
        <v>-0.2101120071728621</v>
      </c>
      <c r="AH46" s="1">
        <f>[1]Results!AK1407</f>
        <v>-0.14633495487825499</v>
      </c>
      <c r="AI46" s="1">
        <f>[1]Results!AL1407</f>
        <v>-8.4730745236366589E-2</v>
      </c>
      <c r="AJ46" s="1">
        <f>[1]Results!AM1407</f>
        <v>-2.7074579989751213E-2</v>
      </c>
      <c r="AK46" s="1">
        <f>[1]Results!AN1407</f>
        <v>2.4895016432666117E-2</v>
      </c>
      <c r="AL46" s="1">
        <f>[1]Results!AO1407</f>
        <v>6.9921984531899628E-2</v>
      </c>
    </row>
    <row r="47" spans="1:38" x14ac:dyDescent="0.35">
      <c r="A47" s="3" t="str">
        <f>[1]Results!E1408</f>
        <v>100*((-Bal_G_tot_VAL_2)/(GDP_2*PGDP_2)-(-Bal_G_tot_VAL_0)/(GDP_0*PGDP_0))</v>
      </c>
      <c r="B47" t="str">
        <f>[1]Results!C1408</f>
        <v xml:space="preserve">Solde public </v>
      </c>
      <c r="C47" s="1">
        <f>[1]Results!F1408</f>
        <v>-1.1434197338955343E-9</v>
      </c>
      <c r="D47" s="1">
        <f>[1]Results!G1408</f>
        <v>7.8626664207215313E-9</v>
      </c>
      <c r="E47" s="1">
        <f>[1]Results!H1408</f>
        <v>8.3695238239922531E-9</v>
      </c>
      <c r="F47" s="1">
        <f>[1]Results!I1408</f>
        <v>6.0636967669225328E-9</v>
      </c>
      <c r="G47" s="1">
        <f>[1]Results!J1408</f>
        <v>7.6076976315841982E-9</v>
      </c>
      <c r="H47" s="1">
        <f>[1]Results!K1408</f>
        <v>6.949617964435717E-10</v>
      </c>
      <c r="I47" s="1">
        <f>[1]Results!L1408</f>
        <v>-7.0620798928173372E-3</v>
      </c>
      <c r="J47" s="1">
        <f>[1]Results!M1408</f>
        <v>6.9429041776748482E-2</v>
      </c>
      <c r="K47" s="1">
        <f>[1]Results!N1408</f>
        <v>0.26641594280312142</v>
      </c>
      <c r="L47" s="1">
        <f>[1]Results!O1408</f>
        <v>0.35200749216114069</v>
      </c>
      <c r="M47" s="1">
        <f>[1]Results!P1408</f>
        <v>0.3957698565379163</v>
      </c>
      <c r="N47" s="1">
        <f>[1]Results!Q1408</f>
        <v>0.36584353608611553</v>
      </c>
      <c r="O47" s="1">
        <f>[1]Results!R1408</f>
        <v>0.14911885852312567</v>
      </c>
      <c r="P47" s="1">
        <f>[1]Results!S1408</f>
        <v>-1.4785129378040718E-2</v>
      </c>
      <c r="Q47" s="1">
        <f>[1]Results!T1408</f>
        <v>-0.14607773253500211</v>
      </c>
      <c r="R47" s="1">
        <f>[1]Results!U1408</f>
        <v>-0.26359912347044889</v>
      </c>
      <c r="S47" s="1">
        <f>[1]Results!V1408</f>
        <v>-0.36016443280117927</v>
      </c>
      <c r="T47" s="1">
        <f>[1]Results!W1408</f>
        <v>-0.4373684943912895</v>
      </c>
      <c r="U47" s="1">
        <f>[1]Results!X1408</f>
        <v>-0.51414219311107512</v>
      </c>
      <c r="V47" s="1">
        <f>[1]Results!Y1408</f>
        <v>-0.59655629256441589</v>
      </c>
      <c r="W47" s="1">
        <f>[1]Results!Z1408</f>
        <v>-0.6713362539961798</v>
      </c>
      <c r="X47" s="1">
        <f>[1]Results!AA1408</f>
        <v>-0.74088242884091382</v>
      </c>
      <c r="Y47" s="1">
        <f>[1]Results!AB1408</f>
        <v>-0.78298574371540863</v>
      </c>
      <c r="Z47" s="1">
        <f>[1]Results!AC1408</f>
        <v>-0.80058415165134844</v>
      </c>
      <c r="AA47" s="1">
        <f>[1]Results!AD1408</f>
        <v>-0.79696675000607564</v>
      </c>
      <c r="AB47" s="1">
        <f>[1]Results!AE1408</f>
        <v>-0.77400412423534881</v>
      </c>
      <c r="AC47" s="1">
        <f>[1]Results!AF1408</f>
        <v>-0.73951373139413135</v>
      </c>
      <c r="AD47" s="1">
        <f>[1]Results!AG1408</f>
        <v>-0.67340778449501837</v>
      </c>
      <c r="AE47" s="1">
        <f>[1]Results!AH1408</f>
        <v>-0.5928018021154835</v>
      </c>
      <c r="AF47" s="1">
        <f>[1]Results!AI1408</f>
        <v>-0.50344513908101152</v>
      </c>
      <c r="AG47" s="1">
        <f>[1]Results!AJ1408</f>
        <v>-0.41042841273191272</v>
      </c>
      <c r="AH47" s="1">
        <f>[1]Results!AK1408</f>
        <v>-0.32013596972701036</v>
      </c>
      <c r="AI47" s="1">
        <f>[1]Results!AL1408</f>
        <v>-0.22193395218818024</v>
      </c>
      <c r="AJ47" s="1">
        <f>[1]Results!AM1408</f>
        <v>-0.13004541929243219</v>
      </c>
      <c r="AK47" s="1">
        <f>[1]Results!AN1408</f>
        <v>-4.8231860328457055E-2</v>
      </c>
      <c r="AL47" s="1">
        <f>[1]Results!AO1408</f>
        <v>2.0648233204778599E-2</v>
      </c>
    </row>
    <row r="48" spans="1:38" x14ac:dyDescent="0.35">
      <c r="A48" s="3" t="str">
        <f>[1]Results!E1409</f>
        <v>(DEBT_G_VAL_2/(PGDP_2*GDP_2)-DEBT_G_VAL_0/(PGDP_0*GDP_0))*100</v>
      </c>
      <c r="B48" t="str">
        <f>[1]Results!C1409</f>
        <v>Dette publique</v>
      </c>
      <c r="C48" s="1">
        <f>[1]Results!F1409</f>
        <v>-9.5516661247074808E-8</v>
      </c>
      <c r="D48" s="1">
        <f>[1]Results!G1409</f>
        <v>0</v>
      </c>
      <c r="E48" s="1">
        <f>[1]Results!H1409</f>
        <v>0</v>
      </c>
      <c r="F48" s="1">
        <f>[1]Results!I1409</f>
        <v>-4.474230985707095E-8</v>
      </c>
      <c r="G48" s="1">
        <f>[1]Results!J1409</f>
        <v>3.8038483474167606E-8</v>
      </c>
      <c r="H48" s="1">
        <f>[1]Results!K1409</f>
        <v>-1.0952794227137019E-7</v>
      </c>
      <c r="I48" s="1">
        <f>[1]Results!L1409</f>
        <v>-1.9531542798056911E-2</v>
      </c>
      <c r="J48" s="1">
        <f>[1]Results!M1409</f>
        <v>0.14662855311614598</v>
      </c>
      <c r="K48" s="1">
        <f>[1]Results!N1409</f>
        <v>0.40042679480010168</v>
      </c>
      <c r="L48" s="1">
        <f>[1]Results!O1409</f>
        <v>0.28835936752219515</v>
      </c>
      <c r="M48" s="1">
        <f>[1]Results!P1409</f>
        <v>-2.5867803090884323E-3</v>
      </c>
      <c r="N48" s="1">
        <f>[1]Results!Q1409</f>
        <v>-4.0535809561614844E-2</v>
      </c>
      <c r="O48" s="1">
        <f>[1]Results!R1409</f>
        <v>-0.21235823010620769</v>
      </c>
      <c r="P48" s="1">
        <f>[1]Results!S1409</f>
        <v>-0.48724055779896247</v>
      </c>
      <c r="Q48" s="1">
        <f>[1]Results!T1409</f>
        <v>-0.84323787764529201</v>
      </c>
      <c r="R48" s="1">
        <f>[1]Results!U1409</f>
        <v>-1.2635306504232169</v>
      </c>
      <c r="S48" s="1">
        <f>[1]Results!V1409</f>
        <v>-1.7210492560549211</v>
      </c>
      <c r="T48" s="1">
        <f>[1]Results!W1409</f>
        <v>-2.1980336224745294</v>
      </c>
      <c r="U48" s="1">
        <f>[1]Results!X1409</f>
        <v>-2.6880016287439426</v>
      </c>
      <c r="V48" s="1">
        <f>[1]Results!Y1409</f>
        <v>-3.1943662126212602</v>
      </c>
      <c r="W48" s="1">
        <f>[1]Results!Z1409</f>
        <v>-3.7112341849725659</v>
      </c>
      <c r="X48" s="1">
        <f>[1]Results!AA1409</f>
        <v>-4.2439933487512294</v>
      </c>
      <c r="Y48" s="1">
        <f>[1]Results!AB1409</f>
        <v>-4.771288618926917</v>
      </c>
      <c r="Z48" s="1">
        <f>[1]Results!AC1409</f>
        <v>-5.2760171906029214</v>
      </c>
      <c r="AA48" s="1">
        <f>[1]Results!AD1409</f>
        <v>-5.7447973585935284</v>
      </c>
      <c r="AB48" s="1">
        <f>[1]Results!AE1409</f>
        <v>-6.1664745110615264</v>
      </c>
      <c r="AC48" s="1">
        <f>[1]Results!AF1409</f>
        <v>-6.5644328324487908</v>
      </c>
      <c r="AD48" s="1">
        <f>[1]Results!AG1409</f>
        <v>-6.9040870771980849</v>
      </c>
      <c r="AE48" s="1">
        <f>[1]Results!AH1409</f>
        <v>-7.1727676364394917</v>
      </c>
      <c r="AF48" s="1">
        <f>[1]Results!AI1409</f>
        <v>-7.3635059091274986</v>
      </c>
      <c r="AG48" s="1">
        <f>[1]Results!AJ1409</f>
        <v>-7.4731234021010344</v>
      </c>
      <c r="AH48" s="1">
        <f>[1]Results!AK1409</f>
        <v>-7.5251289987840249</v>
      </c>
      <c r="AI48" s="1">
        <f>[1]Results!AL1409</f>
        <v>-7.5000122549544024</v>
      </c>
      <c r="AJ48" s="1">
        <f>[1]Results!AM1409</f>
        <v>-7.3984787128438034</v>
      </c>
      <c r="AK48" s="1">
        <f>[1]Results!AN1409</f>
        <v>-7.2246326551250073</v>
      </c>
      <c r="AL48" s="1">
        <f>[1]Results!AO1409</f>
        <v>-6.9843815524678554</v>
      </c>
    </row>
    <row r="49" spans="1:38" x14ac:dyDescent="0.35">
      <c r="A49" s="3" t="str">
        <f>[1]Results!E1410</f>
        <v>GDP_2</v>
      </c>
      <c r="B49" t="str">
        <f>[1]Results!C1410</f>
        <v>PIB</v>
      </c>
      <c r="C49" s="1">
        <f>[1]Results!F1410</f>
        <v>2197038.7069999999</v>
      </c>
      <c r="D49" s="1">
        <f>[1]Results!G1410</f>
        <v>2236521.827</v>
      </c>
      <c r="E49" s="1">
        <f>[1]Results!H1410</f>
        <v>2280155.4019999998</v>
      </c>
      <c r="F49" s="1">
        <f>[1]Results!I1410</f>
        <v>2328185.0219999999</v>
      </c>
      <c r="G49" s="1">
        <f>[1]Results!J1410</f>
        <v>2379809.0550000002</v>
      </c>
      <c r="H49" s="1">
        <f>[1]Results!K1410</f>
        <v>2434766.8909999998</v>
      </c>
      <c r="I49" s="1">
        <f>[1]Results!L1410</f>
        <v>2492075.7779999999</v>
      </c>
      <c r="J49" s="1">
        <f>[1]Results!M1410</f>
        <v>2544394.4709999999</v>
      </c>
      <c r="K49" s="1">
        <f>[1]Results!N1410</f>
        <v>2598540.3879999998</v>
      </c>
      <c r="L49" s="1">
        <f>[1]Results!O1410</f>
        <v>2664043.452</v>
      </c>
      <c r="M49" s="1">
        <f>[1]Results!P1410</f>
        <v>2730584.8220000002</v>
      </c>
      <c r="N49" s="1">
        <f>[1]Results!Q1410</f>
        <v>2789135.5890000002</v>
      </c>
      <c r="O49" s="1">
        <f>[1]Results!R1410</f>
        <v>2841661.8280000002</v>
      </c>
      <c r="P49" s="1">
        <f>[1]Results!S1410</f>
        <v>2889599.0419999999</v>
      </c>
      <c r="Q49" s="1">
        <f>[1]Results!T1410</f>
        <v>2934919.5010000002</v>
      </c>
      <c r="R49" s="1">
        <f>[1]Results!U1410</f>
        <v>2978989.7409999999</v>
      </c>
      <c r="S49" s="1">
        <f>[1]Results!V1410</f>
        <v>3022409.1209999998</v>
      </c>
      <c r="T49" s="1">
        <f>[1]Results!W1410</f>
        <v>3066800.4959999998</v>
      </c>
      <c r="U49" s="1">
        <f>[1]Results!X1410</f>
        <v>3113269.4890000001</v>
      </c>
      <c r="V49" s="1">
        <f>[1]Results!Y1410</f>
        <v>3162587.1039999998</v>
      </c>
      <c r="W49" s="1">
        <f>[1]Results!Z1410</f>
        <v>3214842.7910000002</v>
      </c>
      <c r="X49" s="1">
        <f>[1]Results!AA1410</f>
        <v>3270876.801</v>
      </c>
      <c r="Y49" s="1">
        <f>[1]Results!AB1410</f>
        <v>3331331.1159999999</v>
      </c>
      <c r="Z49" s="1">
        <f>[1]Results!AC1410</f>
        <v>3396605.679</v>
      </c>
      <c r="AA49" s="1">
        <f>[1]Results!AD1410</f>
        <v>3466812.193</v>
      </c>
      <c r="AB49" s="1">
        <f>[1]Results!AE1410</f>
        <v>3540881.2340000002</v>
      </c>
      <c r="AC49" s="1">
        <f>[1]Results!AF1410</f>
        <v>3619745.9410000001</v>
      </c>
      <c r="AD49" s="1">
        <f>[1]Results!AG1410</f>
        <v>3703192.7340000002</v>
      </c>
      <c r="AE49" s="1">
        <f>[1]Results!AH1410</f>
        <v>3791379.2650000001</v>
      </c>
      <c r="AF49" s="1">
        <f>[1]Results!AI1410</f>
        <v>3883974.952</v>
      </c>
      <c r="AG49" s="1">
        <f>[1]Results!AJ1410</f>
        <v>3980320.9210000001</v>
      </c>
      <c r="AH49" s="1">
        <f>[1]Results!AK1410</f>
        <v>4079630.1850000001</v>
      </c>
      <c r="AI49" s="1">
        <f>[1]Results!AL1410</f>
        <v>4181433.4479999999</v>
      </c>
      <c r="AJ49" s="1">
        <f>[1]Results!AM1410</f>
        <v>4285180.91</v>
      </c>
      <c r="AK49" s="1">
        <f>[1]Results!AN1410</f>
        <v>4390284.9579999996</v>
      </c>
      <c r="AL49" s="1">
        <f>[1]Results!AO1410</f>
        <v>4496128.3430000003</v>
      </c>
    </row>
    <row r="50" spans="1:38" x14ac:dyDescent="0.35">
      <c r="A50" s="3" t="str">
        <f>[1]Results!E1411</f>
        <v>(GDPter_2/GDPbis_2-1)*100</v>
      </c>
      <c r="B50" t="str">
        <f>[1]Results!C1411</f>
        <v>Ecart PIB</v>
      </c>
      <c r="C50" s="1">
        <f>[1]Results!F1411</f>
        <v>0</v>
      </c>
      <c r="D50" s="1">
        <f>[1]Results!G1411</f>
        <v>-4.4712289426485086E-8</v>
      </c>
      <c r="E50" s="1">
        <f>[1]Results!H1411</f>
        <v>0</v>
      </c>
      <c r="F50" s="1">
        <f>[1]Results!I1411</f>
        <v>0</v>
      </c>
      <c r="G50" s="1">
        <f>[1]Results!J1411</f>
        <v>0</v>
      </c>
      <c r="H50" s="1">
        <f>[1]Results!K1411</f>
        <v>0</v>
      </c>
      <c r="I50" s="1">
        <f>[1]Results!L1411</f>
        <v>0</v>
      </c>
      <c r="J50" s="1">
        <f>[1]Results!M1411</f>
        <v>0</v>
      </c>
      <c r="K50" s="1">
        <f>[1]Results!N1411</f>
        <v>0</v>
      </c>
      <c r="L50" s="1">
        <f>[1]Results!O1411</f>
        <v>0</v>
      </c>
      <c r="M50" s="1">
        <f>[1]Results!P1411</f>
        <v>-3.6622194166113786E-8</v>
      </c>
      <c r="N50" s="1">
        <f>[1]Results!Q1411</f>
        <v>0</v>
      </c>
      <c r="O50" s="1">
        <f>[1]Results!R1411</f>
        <v>0</v>
      </c>
      <c r="P50" s="1">
        <f>[1]Results!S1411</f>
        <v>0</v>
      </c>
      <c r="Q50" s="1">
        <f>[1]Results!T1411</f>
        <v>0</v>
      </c>
      <c r="R50" s="1">
        <f>[1]Results!U1411</f>
        <v>3.3568436919040323E-8</v>
      </c>
      <c r="S50" s="1">
        <f>[1]Results!V1411</f>
        <v>0</v>
      </c>
      <c r="T50" s="1">
        <f>[1]Results!W1411</f>
        <v>0</v>
      </c>
      <c r="U50" s="1">
        <f>[1]Results!X1411</f>
        <v>0</v>
      </c>
      <c r="V50" s="1">
        <f>[1]Results!Y1411</f>
        <v>0</v>
      </c>
      <c r="W50" s="1">
        <f>[1]Results!Z1411</f>
        <v>0</v>
      </c>
      <c r="X50" s="1">
        <f>[1]Results!AA1411</f>
        <v>0</v>
      </c>
      <c r="Y50" s="1">
        <f>[1]Results!AB1411</f>
        <v>0</v>
      </c>
      <c r="Z50" s="1">
        <f>[1]Results!AC1411</f>
        <v>0</v>
      </c>
      <c r="AA50" s="1">
        <f>[1]Results!AD1411</f>
        <v>0</v>
      </c>
      <c r="AB50" s="1">
        <f>[1]Results!AE1411</f>
        <v>0</v>
      </c>
      <c r="AC50" s="1">
        <f>[1]Results!AF1411</f>
        <v>2.7626234633260083E-8</v>
      </c>
      <c r="AD50" s="1">
        <f>[1]Results!AG1411</f>
        <v>0</v>
      </c>
      <c r="AE50" s="1">
        <f>[1]Results!AH1411</f>
        <v>0</v>
      </c>
      <c r="AF50" s="1">
        <f>[1]Results!AI1411</f>
        <v>0</v>
      </c>
      <c r="AG50" s="1">
        <f>[1]Results!AJ1411</f>
        <v>2.5123592095610547E-8</v>
      </c>
      <c r="AH50" s="1">
        <f>[1]Results!AK1411</f>
        <v>0</v>
      </c>
      <c r="AI50" s="1">
        <f>[1]Results!AL1411</f>
        <v>0</v>
      </c>
      <c r="AJ50" s="1">
        <f>[1]Results!AM1411</f>
        <v>0</v>
      </c>
      <c r="AK50" s="1">
        <f>[1]Results!AN1411</f>
        <v>-4.5555115235629273E-8</v>
      </c>
      <c r="AL50" s="1">
        <f>[1]Results!AO1411</f>
        <v>-4.4482728611683342E-8</v>
      </c>
    </row>
    <row r="51" spans="1:38" x14ac:dyDescent="0.35">
      <c r="A51" s="3" t="str">
        <f>[1]Results!E1412</f>
        <v>SPEND_G_VAL_2</v>
      </c>
      <c r="B51" t="str">
        <f>[1]Results!C1412</f>
        <v>Dépenses publiques</v>
      </c>
      <c r="C51" s="1">
        <f>[1]Results!F1412</f>
        <v>1178061.808</v>
      </c>
      <c r="D51" s="1">
        <f>[1]Results!G1412</f>
        <v>1218787.6189999999</v>
      </c>
      <c r="E51" s="1">
        <f>[1]Results!H1412</f>
        <v>1261061.4539999999</v>
      </c>
      <c r="F51" s="1">
        <f>[1]Results!I1412</f>
        <v>1306642.6200000001</v>
      </c>
      <c r="G51" s="1">
        <f>[1]Results!J1412</f>
        <v>1354821.7409999999</v>
      </c>
      <c r="H51" s="1">
        <f>[1]Results!K1412</f>
        <v>1402706.618</v>
      </c>
      <c r="I51" s="1">
        <f>[1]Results!L1412</f>
        <v>1452024.196</v>
      </c>
      <c r="J51" s="1">
        <f>[1]Results!M1412</f>
        <v>1505799.308</v>
      </c>
      <c r="K51" s="1">
        <f>[1]Results!N1412</f>
        <v>1566302.2279999999</v>
      </c>
      <c r="L51" s="1">
        <f>[1]Results!O1412</f>
        <v>1631042.7919999999</v>
      </c>
      <c r="M51" s="1">
        <f>[1]Results!P1412</f>
        <v>1704241.176</v>
      </c>
      <c r="N51" s="1">
        <f>[1]Results!Q1412</f>
        <v>1776375.97</v>
      </c>
      <c r="O51" s="1">
        <f>[1]Results!R1412</f>
        <v>1841144.6950000001</v>
      </c>
      <c r="P51" s="1">
        <f>[1]Results!S1412</f>
        <v>1906247.0190000001</v>
      </c>
      <c r="Q51" s="1">
        <f>[1]Results!T1412</f>
        <v>1971138.5759999999</v>
      </c>
      <c r="R51" s="1">
        <f>[1]Results!U1412</f>
        <v>2035447.149</v>
      </c>
      <c r="S51" s="1">
        <f>[1]Results!V1412</f>
        <v>2099299.1630000002</v>
      </c>
      <c r="T51" s="1">
        <f>[1]Results!W1412</f>
        <v>2162534.6919999998</v>
      </c>
      <c r="U51" s="1">
        <f>[1]Results!X1412</f>
        <v>2224822.2390000001</v>
      </c>
      <c r="V51" s="1">
        <f>[1]Results!Y1412</f>
        <v>2285897.2200000002</v>
      </c>
      <c r="W51" s="1">
        <f>[1]Results!Z1412</f>
        <v>2344261.193</v>
      </c>
      <c r="X51" s="1">
        <f>[1]Results!AA1412</f>
        <v>2402370.7140000002</v>
      </c>
      <c r="Y51" s="1">
        <f>[1]Results!AB1412</f>
        <v>2459087.2000000002</v>
      </c>
      <c r="Z51" s="1">
        <f>[1]Results!AC1412</f>
        <v>2514039.6320000002</v>
      </c>
      <c r="AA51" s="1">
        <f>[1]Results!AD1412</f>
        <v>2566937.2510000002</v>
      </c>
      <c r="AB51" s="1">
        <f>[1]Results!AE1412</f>
        <v>2611937.6269999999</v>
      </c>
      <c r="AC51" s="1">
        <f>[1]Results!AF1412</f>
        <v>2656541.048</v>
      </c>
      <c r="AD51" s="1">
        <f>[1]Results!AG1412</f>
        <v>2699176.7250000001</v>
      </c>
      <c r="AE51" s="1">
        <f>[1]Results!AH1412</f>
        <v>2738314.4029999999</v>
      </c>
      <c r="AF51" s="1">
        <f>[1]Results!AI1412</f>
        <v>2773261.7960000001</v>
      </c>
      <c r="AG51" s="1">
        <f>[1]Results!AJ1412</f>
        <v>2803343.5860000001</v>
      </c>
      <c r="AH51" s="1">
        <f>[1]Results!AK1412</f>
        <v>2827483.5890000002</v>
      </c>
      <c r="AI51" s="1">
        <f>[1]Results!AL1412</f>
        <v>2846459.2820000001</v>
      </c>
      <c r="AJ51" s="1">
        <f>[1]Results!AM1412</f>
        <v>2858727.1469999999</v>
      </c>
      <c r="AK51" s="1">
        <f>[1]Results!AN1412</f>
        <v>2863780.4279999998</v>
      </c>
      <c r="AL51" s="1">
        <f>[1]Results!AO1412</f>
        <v>2861245.835</v>
      </c>
    </row>
    <row r="52" spans="1:38" x14ac:dyDescent="0.35">
      <c r="A52" s="3" t="str">
        <f>[1]Results!E1413</f>
        <v>INC_G_VAL_2</v>
      </c>
      <c r="B52" t="str">
        <f>[1]Results!C1413</f>
        <v>Recettes publiques</v>
      </c>
      <c r="C52" s="1">
        <f>[1]Results!F1413</f>
        <v>1010828.829</v>
      </c>
      <c r="D52" s="1">
        <f>[1]Results!G1413</f>
        <v>1048665.02</v>
      </c>
      <c r="E52" s="1">
        <f>[1]Results!H1413</f>
        <v>1092697.0220000001</v>
      </c>
      <c r="F52" s="1">
        <f>[1]Results!I1413</f>
        <v>1143390.0919999999</v>
      </c>
      <c r="G52" s="1">
        <f>[1]Results!J1413</f>
        <v>1200088.2520000001</v>
      </c>
      <c r="H52" s="1">
        <f>[1]Results!K1413</f>
        <v>1262766.2609999999</v>
      </c>
      <c r="I52" s="1">
        <f>[1]Results!L1413</f>
        <v>1331548.8149999999</v>
      </c>
      <c r="J52" s="1">
        <f>[1]Results!M1413</f>
        <v>1405104.102</v>
      </c>
      <c r="K52" s="1">
        <f>[1]Results!N1413</f>
        <v>1485154.2990000001</v>
      </c>
      <c r="L52" s="1">
        <f>[1]Results!O1413</f>
        <v>1577949.2409999999</v>
      </c>
      <c r="M52" s="1">
        <f>[1]Results!P1413</f>
        <v>1684611.584</v>
      </c>
      <c r="N52" s="1">
        <f>[1]Results!Q1413</f>
        <v>1796217.169</v>
      </c>
      <c r="O52" s="1">
        <f>[1]Results!R1413</f>
        <v>1909217.0989999999</v>
      </c>
      <c r="P52" s="1">
        <f>[1]Results!S1413</f>
        <v>2021373.0049999999</v>
      </c>
      <c r="Q52" s="1">
        <f>[1]Results!T1413</f>
        <v>2132160.4040000001</v>
      </c>
      <c r="R52" s="1">
        <f>[1]Results!U1413</f>
        <v>2241846.2170000002</v>
      </c>
      <c r="S52" s="1">
        <f>[1]Results!V1413</f>
        <v>2350776.702</v>
      </c>
      <c r="T52" s="1">
        <f>[1]Results!W1413</f>
        <v>2460117.344</v>
      </c>
      <c r="U52" s="1">
        <f>[1]Results!X1413</f>
        <v>2571151.5269999998</v>
      </c>
      <c r="V52" s="1">
        <f>[1]Results!Y1413</f>
        <v>2685071.122</v>
      </c>
      <c r="W52" s="1">
        <f>[1]Results!Z1413</f>
        <v>2802365.2459999998</v>
      </c>
      <c r="X52" s="1">
        <f>[1]Results!AA1413</f>
        <v>2924035.7659999998</v>
      </c>
      <c r="Y52" s="1">
        <f>[1]Results!AB1413</f>
        <v>3050830.611</v>
      </c>
      <c r="Z52" s="1">
        <f>[1]Results!AC1413</f>
        <v>3184142.622</v>
      </c>
      <c r="AA52" s="1">
        <f>[1]Results!AD1413</f>
        <v>3325347.2059999998</v>
      </c>
      <c r="AB52" s="1">
        <f>[1]Results!AE1413</f>
        <v>3474509.8539999998</v>
      </c>
      <c r="AC52" s="1">
        <f>[1]Results!AF1413</f>
        <v>3631441.6269999999</v>
      </c>
      <c r="AD52" s="1">
        <f>[1]Results!AG1413</f>
        <v>3797255.8020000001</v>
      </c>
      <c r="AE52" s="1">
        <f>[1]Results!AH1413</f>
        <v>3973923.14</v>
      </c>
      <c r="AF52" s="1">
        <f>[1]Results!AI1413</f>
        <v>4162894.321</v>
      </c>
      <c r="AG52" s="1">
        <f>[1]Results!AJ1413</f>
        <v>4364952.7029999997</v>
      </c>
      <c r="AH52" s="1">
        <f>[1]Results!AK1413</f>
        <v>4579820.1370000001</v>
      </c>
      <c r="AI52" s="1">
        <f>[1]Results!AL1413</f>
        <v>4807382.8650000002</v>
      </c>
      <c r="AJ52" s="1">
        <f>[1]Results!AM1413</f>
        <v>5047349.1710000001</v>
      </c>
      <c r="AK52" s="1">
        <f>[1]Results!AN1413</f>
        <v>5299195.6459999997</v>
      </c>
      <c r="AL52" s="1">
        <f>[1]Results!AO1413</f>
        <v>5562111.6519999998</v>
      </c>
    </row>
    <row r="53" spans="1:38" x14ac:dyDescent="0.35">
      <c r="A53" s="3" t="str">
        <f>[1]Results!E1414</f>
        <v>Bal_G_tot_VAL_2</v>
      </c>
      <c r="B53" t="str">
        <f>[1]Results!C1414</f>
        <v>Solde public</v>
      </c>
      <c r="C53" s="1">
        <f>[1]Results!F1414</f>
        <v>-65255.9113</v>
      </c>
      <c r="D53" s="1">
        <f>[1]Results!G1414</f>
        <v>-64882.735180000003</v>
      </c>
      <c r="E53" s="1">
        <f>[1]Results!H1414</f>
        <v>-59880.432439999997</v>
      </c>
      <c r="F53" s="1">
        <f>[1]Results!I1414</f>
        <v>-51774.506730000001</v>
      </c>
      <c r="G53" s="1">
        <f>[1]Results!J1414</f>
        <v>-40666.742209999997</v>
      </c>
      <c r="H53" s="1">
        <f>[1]Results!K1414</f>
        <v>-23840.273150000001</v>
      </c>
      <c r="I53" s="1">
        <f>[1]Results!L1414</f>
        <v>-3183.283766</v>
      </c>
      <c r="J53" s="1">
        <f>[1]Results!M1414</f>
        <v>16756.055810000002</v>
      </c>
      <c r="K53" s="1">
        <f>[1]Results!N1414</f>
        <v>35465.529900000001</v>
      </c>
      <c r="L53" s="1">
        <f>[1]Results!O1414</f>
        <v>61746.631950000003</v>
      </c>
      <c r="M53" s="1">
        <f>[1]Results!P1414</f>
        <v>92123.258830000006</v>
      </c>
      <c r="N53" s="1">
        <f>[1]Results!Q1414</f>
        <v>126987.8872</v>
      </c>
      <c r="O53" s="1">
        <f>[1]Results!R1414</f>
        <v>168869.69820000001</v>
      </c>
      <c r="P53" s="1">
        <f>[1]Results!S1414</f>
        <v>207479.7942</v>
      </c>
      <c r="Q53" s="1">
        <f>[1]Results!T1414</f>
        <v>243001.64730000001</v>
      </c>
      <c r="R53" s="1">
        <f>[1]Results!U1414</f>
        <v>276228.8052</v>
      </c>
      <c r="S53" s="1">
        <f>[1]Results!V1414</f>
        <v>307495.83529999998</v>
      </c>
      <c r="T53" s="1">
        <f>[1]Results!W1414</f>
        <v>338226.15649999998</v>
      </c>
      <c r="U53" s="1">
        <f>[1]Results!X1414</f>
        <v>370061.48489999998</v>
      </c>
      <c r="V53" s="1">
        <f>[1]Results!Y1414</f>
        <v>404403.02529999998</v>
      </c>
      <c r="W53" s="1">
        <f>[1]Results!Z1414</f>
        <v>443113.02470000001</v>
      </c>
      <c r="X53" s="1">
        <f>[1]Results!AA1414</f>
        <v>484518.37180000002</v>
      </c>
      <c r="Y53" s="1">
        <f>[1]Results!AB1414</f>
        <v>530370.81279999996</v>
      </c>
      <c r="Z53" s="1">
        <f>[1]Results!AC1414</f>
        <v>582211.85140000004</v>
      </c>
      <c r="AA53" s="1">
        <f>[1]Results!AD1414</f>
        <v>641408.22360000003</v>
      </c>
      <c r="AB53" s="1">
        <f>[1]Results!AE1414</f>
        <v>713500.08389999997</v>
      </c>
      <c r="AC53" s="1">
        <f>[1]Results!AF1414</f>
        <v>790153.43169999996</v>
      </c>
      <c r="AD53" s="1">
        <f>[1]Results!AG1414</f>
        <v>873824.25789999997</v>
      </c>
      <c r="AE53" s="1">
        <f>[1]Results!AH1414</f>
        <v>967662.70559999999</v>
      </c>
      <c r="AF53" s="1">
        <f>[1]Results!AI1414</f>
        <v>1073303.3589999999</v>
      </c>
      <c r="AG53" s="1">
        <f>[1]Results!AJ1414</f>
        <v>1191614.7819999999</v>
      </c>
      <c r="AH53" s="1">
        <f>[1]Results!AK1414</f>
        <v>1322761.4750000001</v>
      </c>
      <c r="AI53" s="1">
        <f>[1]Results!AL1414</f>
        <v>1465210.436</v>
      </c>
      <c r="AJ53" s="1">
        <f>[1]Results!AM1414</f>
        <v>1619648.3540000001</v>
      </c>
      <c r="AK53" s="1">
        <f>[1]Results!AN1414</f>
        <v>1785459.1310000001</v>
      </c>
      <c r="AL53" s="1">
        <f>[1]Results!AO1414</f>
        <v>1961636.773</v>
      </c>
    </row>
    <row r="54" spans="1:38" x14ac:dyDescent="0.35">
      <c r="A54" s="3" t="str">
        <f>[1]Results!E1415</f>
        <v>DEBT_G_VAL_2</v>
      </c>
      <c r="B54" t="str">
        <f>[1]Results!C1415</f>
        <v>Dette publique</v>
      </c>
      <c r="C54" s="1">
        <f>[1]Results!F1415</f>
        <v>2104797.2650000001</v>
      </c>
      <c r="D54" s="1">
        <f>[1]Results!G1415</f>
        <v>2169680</v>
      </c>
      <c r="E54" s="1">
        <f>[1]Results!H1415</f>
        <v>2229560.432</v>
      </c>
      <c r="F54" s="1">
        <f>[1]Results!I1415</f>
        <v>2281334.9389999998</v>
      </c>
      <c r="G54" s="1">
        <f>[1]Results!J1415</f>
        <v>2322001.6809999999</v>
      </c>
      <c r="H54" s="1">
        <f>[1]Results!K1415</f>
        <v>2345841.9539999999</v>
      </c>
      <c r="I54" s="1">
        <f>[1]Results!L1415</f>
        <v>2349025.2379999999</v>
      </c>
      <c r="J54" s="1">
        <f>[1]Results!M1415</f>
        <v>2332269.182</v>
      </c>
      <c r="K54" s="1">
        <f>[1]Results!N1415</f>
        <v>2296803.6519999998</v>
      </c>
      <c r="L54" s="1">
        <f>[1]Results!O1415</f>
        <v>2235057.0210000002</v>
      </c>
      <c r="M54" s="1">
        <f>[1]Results!P1415</f>
        <v>2142933.7620000001</v>
      </c>
      <c r="N54" s="1">
        <f>[1]Results!Q1415</f>
        <v>2015945.8740000001</v>
      </c>
      <c r="O54" s="1">
        <f>[1]Results!R1415</f>
        <v>1847076.176</v>
      </c>
      <c r="P54" s="1">
        <f>[1]Results!S1415</f>
        <v>1639596.382</v>
      </c>
      <c r="Q54" s="1">
        <f>[1]Results!T1415</f>
        <v>1396594.7350000001</v>
      </c>
      <c r="R54" s="1">
        <f>[1]Results!U1415</f>
        <v>1120365.93</v>
      </c>
      <c r="S54" s="1">
        <f>[1]Results!V1415</f>
        <v>812870.0943</v>
      </c>
      <c r="T54" s="1">
        <f>[1]Results!W1415</f>
        <v>474643.93780000001</v>
      </c>
      <c r="U54" s="1">
        <f>[1]Results!X1415</f>
        <v>104582.4529</v>
      </c>
      <c r="V54" s="1">
        <f>[1]Results!Y1415</f>
        <v>-299820.5724</v>
      </c>
      <c r="W54" s="1">
        <f>[1]Results!Z1415</f>
        <v>-742933.59719999996</v>
      </c>
      <c r="X54" s="1">
        <f>[1]Results!AA1415</f>
        <v>-1227451.969</v>
      </c>
      <c r="Y54" s="1">
        <f>[1]Results!AB1415</f>
        <v>-1757822.7819999999</v>
      </c>
      <c r="Z54" s="1">
        <f>[1]Results!AC1415</f>
        <v>-2340034.6329999999</v>
      </c>
      <c r="AA54" s="1">
        <f>[1]Results!AD1415</f>
        <v>-2981442.8569999998</v>
      </c>
      <c r="AB54" s="1">
        <f>[1]Results!AE1415</f>
        <v>-3694942.9410000001</v>
      </c>
      <c r="AC54" s="1">
        <f>[1]Results!AF1415</f>
        <v>-4485096.3720000004</v>
      </c>
      <c r="AD54" s="1">
        <f>[1]Results!AG1415</f>
        <v>-5358920.63</v>
      </c>
      <c r="AE54" s="1">
        <f>[1]Results!AH1415</f>
        <v>-6326583.3360000001</v>
      </c>
      <c r="AF54" s="1">
        <f>[1]Results!AI1415</f>
        <v>-7399886.6950000003</v>
      </c>
      <c r="AG54" s="1">
        <f>[1]Results!AJ1415</f>
        <v>-8591501.4759999998</v>
      </c>
      <c r="AH54" s="1">
        <f>[1]Results!AK1415</f>
        <v>-9914262.9509999994</v>
      </c>
      <c r="AI54" s="1">
        <f>[1]Results!AL1415</f>
        <v>-11379473.390000001</v>
      </c>
      <c r="AJ54" s="1">
        <f>[1]Results!AM1415</f>
        <v>-12999121.74</v>
      </c>
      <c r="AK54" s="1">
        <f>[1]Results!AN1415</f>
        <v>-14784580.869999999</v>
      </c>
      <c r="AL54" s="1">
        <f>[1]Results!AO1415</f>
        <v>-16746217.640000001</v>
      </c>
    </row>
    <row r="55" spans="1:38" x14ac:dyDescent="0.3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A57" t="s">
        <v>54</v>
      </c>
      <c r="B57" t="s">
        <v>4</v>
      </c>
      <c r="C57" s="1">
        <f>[1]Results!F1731</f>
        <v>1202604.7109999999</v>
      </c>
      <c r="D57" s="1">
        <f>[1]Results!G1731</f>
        <v>1219919.959</v>
      </c>
      <c r="E57" s="1">
        <f>[1]Results!H1731</f>
        <v>1241152.446</v>
      </c>
      <c r="F57" s="1">
        <f>[1]Results!I1731</f>
        <v>1266165.433</v>
      </c>
      <c r="G57" s="1">
        <f>[1]Results!J1731</f>
        <v>1294200.9739999999</v>
      </c>
      <c r="H57" s="1">
        <f>[1]Results!K1731</f>
        <v>1324927.4509999999</v>
      </c>
      <c r="I57" s="1">
        <f>[1]Results!L1731</f>
        <v>1356748.5049999999</v>
      </c>
      <c r="J57" s="1">
        <f>[1]Results!M1731</f>
        <v>1389611.669</v>
      </c>
      <c r="K57" s="1">
        <f>[1]Results!N1731</f>
        <v>1423538.906</v>
      </c>
      <c r="L57" s="1">
        <f>[1]Results!O1731</f>
        <v>1458569.449</v>
      </c>
      <c r="M57" s="1">
        <f>[1]Results!P1731</f>
        <v>1494940.4750000001</v>
      </c>
      <c r="N57" s="1">
        <f>[1]Results!Q1731</f>
        <v>1530217.125</v>
      </c>
      <c r="O57" s="1">
        <f>[1]Results!R1731</f>
        <v>1563342.6769999999</v>
      </c>
      <c r="P57" s="1">
        <f>[1]Results!S1731</f>
        <v>1593661.797</v>
      </c>
      <c r="Q57" s="1">
        <f>[1]Results!T1731</f>
        <v>1621039.689</v>
      </c>
      <c r="R57" s="1">
        <f>[1]Results!U1731</f>
        <v>1645775.925</v>
      </c>
      <c r="S57" s="1">
        <f>[1]Results!V1731</f>
        <v>1669266.023</v>
      </c>
      <c r="T57" s="1">
        <f>[1]Results!W1731</f>
        <v>1692191.794</v>
      </c>
      <c r="U57" s="1">
        <f>[1]Results!X1731</f>
        <v>1715067.548</v>
      </c>
      <c r="V57" s="1">
        <f>[1]Results!Y1731</f>
        <v>1738358.0859999999</v>
      </c>
      <c r="W57" s="1">
        <f>[1]Results!Z1731</f>
        <v>1762035.5349999999</v>
      </c>
      <c r="X57" s="1">
        <f>[1]Results!AA1731</f>
        <v>1787259.9080000001</v>
      </c>
      <c r="Y57" s="1">
        <f>[1]Results!AB1731</f>
        <v>1814328.611</v>
      </c>
      <c r="Z57" s="1">
        <f>[1]Results!AC1731</f>
        <v>1843590.4990000001</v>
      </c>
      <c r="AA57" s="1">
        <f>[1]Results!AD1731</f>
        <v>1875309.7609999999</v>
      </c>
      <c r="AB57" s="1">
        <f>[1]Results!AE1731</f>
        <v>1908284.2209999999</v>
      </c>
      <c r="AC57" s="1">
        <f>[1]Results!AF1731</f>
        <v>1943855.7479999999</v>
      </c>
      <c r="AD57" s="1">
        <f>[1]Results!AG1731</f>
        <v>1981985.382</v>
      </c>
      <c r="AE57" s="1">
        <f>[1]Results!AH1731</f>
        <v>2022831.085</v>
      </c>
      <c r="AF57" s="1">
        <f>[1]Results!AI1731</f>
        <v>2066464.7050000001</v>
      </c>
      <c r="AG57" s="1">
        <f>[1]Results!AJ1731</f>
        <v>2112750.6340000001</v>
      </c>
      <c r="AH57" s="1">
        <f>[1]Results!AK1731</f>
        <v>2161378.2889999999</v>
      </c>
      <c r="AI57" s="1">
        <f>[1]Results!AL1731</f>
        <v>2211933.5389999999</v>
      </c>
      <c r="AJ57" s="1">
        <f>[1]Results!AM1731</f>
        <v>2263944.202</v>
      </c>
      <c r="AK57" s="1">
        <f>[1]Results!AN1731</f>
        <v>2316905.409</v>
      </c>
      <c r="AL57" s="1">
        <f>[1]Results!AO1731</f>
        <v>2370293.1740000001</v>
      </c>
    </row>
    <row r="58" spans="1:38" x14ac:dyDescent="0.35">
      <c r="B58" t="s">
        <v>6</v>
      </c>
      <c r="C58" s="1">
        <f>[1]Results!F1702</f>
        <v>1202604.7109999999</v>
      </c>
      <c r="D58" s="1">
        <f>[1]Results!G1702</f>
        <v>1219919.959</v>
      </c>
      <c r="E58" s="1">
        <f>[1]Results!H1702</f>
        <v>1241152.446</v>
      </c>
      <c r="F58" s="1">
        <f>[1]Results!I1702</f>
        <v>1266165.433</v>
      </c>
      <c r="G58" s="1">
        <f>[1]Results!J1702</f>
        <v>1294200.9739999999</v>
      </c>
      <c r="H58" s="1">
        <f>[1]Results!K1702</f>
        <v>1324927.4509999999</v>
      </c>
      <c r="I58" s="1">
        <f>[1]Results!L1702</f>
        <v>1357444.817</v>
      </c>
      <c r="J58" s="1">
        <f>[1]Results!M1702</f>
        <v>1390788.17</v>
      </c>
      <c r="K58" s="1">
        <f>[1]Results!N1702</f>
        <v>1424939.4990000001</v>
      </c>
      <c r="L58" s="1">
        <f>[1]Results!O1702</f>
        <v>1462266.902</v>
      </c>
      <c r="M58" s="1">
        <f>[1]Results!P1702</f>
        <v>1503981.5859999999</v>
      </c>
      <c r="N58" s="1">
        <f>[1]Results!Q1702</f>
        <v>1545601.0360000001</v>
      </c>
      <c r="O58" s="1">
        <f>[1]Results!R1702</f>
        <v>1585735.172</v>
      </c>
      <c r="P58" s="1">
        <f>[1]Results!S1702</f>
        <v>1622993.3259999999</v>
      </c>
      <c r="Q58" s="1">
        <f>[1]Results!T1702</f>
        <v>1656973.953</v>
      </c>
      <c r="R58" s="1">
        <f>[1]Results!U1702</f>
        <v>1688039.9720000001</v>
      </c>
      <c r="S58" s="1">
        <f>[1]Results!V1702</f>
        <v>1717127.5889999999</v>
      </c>
      <c r="T58" s="1">
        <f>[1]Results!W1702</f>
        <v>1745061.5079999999</v>
      </c>
      <c r="U58" s="1">
        <f>[1]Results!X1702</f>
        <v>1772629.888</v>
      </c>
      <c r="V58" s="1">
        <f>[1]Results!Y1702</f>
        <v>1800478.1359999999</v>
      </c>
      <c r="W58" s="1">
        <f>[1]Results!Z1702</f>
        <v>1828605.32</v>
      </c>
      <c r="X58" s="1">
        <f>[1]Results!AA1702</f>
        <v>1857887.6950000001</v>
      </c>
      <c r="Y58" s="1">
        <f>[1]Results!AB1702</f>
        <v>1888618.172</v>
      </c>
      <c r="Z58" s="1">
        <f>[1]Results!AC1702</f>
        <v>1921117.04</v>
      </c>
      <c r="AA58" s="1">
        <f>[1]Results!AD1702</f>
        <v>1955677.52</v>
      </c>
      <c r="AB58" s="1">
        <f>[1]Results!AE1702</f>
        <v>1991138.372</v>
      </c>
      <c r="AC58" s="1">
        <f>[1]Results!AF1702</f>
        <v>2028414.9539999999</v>
      </c>
      <c r="AD58" s="1">
        <f>[1]Results!AG1702</f>
        <v>2067539.277</v>
      </c>
      <c r="AE58" s="1">
        <f>[1]Results!AH1702</f>
        <v>2108813.585</v>
      </c>
      <c r="AF58" s="1">
        <f>[1]Results!AI1702</f>
        <v>2152462.5449999999</v>
      </c>
      <c r="AG58" s="1">
        <f>[1]Results!AJ1702</f>
        <v>2198490.8709999998</v>
      </c>
      <c r="AH58" s="1">
        <f>[1]Results!AK1702</f>
        <v>2246501.4440000001</v>
      </c>
      <c r="AI58" s="1">
        <f>[1]Results!AL1702</f>
        <v>2296263.1919999998</v>
      </c>
      <c r="AJ58" s="1">
        <f>[1]Results!AM1702</f>
        <v>2347434.6129999999</v>
      </c>
      <c r="AK58" s="1">
        <f>[1]Results!AN1702</f>
        <v>2399639.2549999999</v>
      </c>
      <c r="AL58" s="1">
        <f>[1]Results!AO1702</f>
        <v>2452479.8629999999</v>
      </c>
    </row>
    <row r="59" spans="1:38" x14ac:dyDescent="0.35">
      <c r="C59" s="1"/>
      <c r="D59" s="1"/>
      <c r="E59" s="1"/>
      <c r="F59" s="1"/>
      <c r="G59" s="1"/>
      <c r="H59" s="4">
        <f t="shared" ref="H59:U59" si="0">H57/G57-1</f>
        <v>2.374165807110562E-2</v>
      </c>
      <c r="I59" s="4">
        <f t="shared" si="0"/>
        <v>2.4017204848448825E-2</v>
      </c>
      <c r="J59" s="4">
        <f t="shared" si="0"/>
        <v>2.4222001261759329E-2</v>
      </c>
      <c r="K59" s="4">
        <f t="shared" si="0"/>
        <v>2.4414905082378091E-2</v>
      </c>
      <c r="L59" s="4">
        <f t="shared" si="0"/>
        <v>2.460806856233555E-2</v>
      </c>
      <c r="M59" s="4">
        <f t="shared" si="0"/>
        <v>2.493609476390457E-2</v>
      </c>
      <c r="N59" s="4">
        <f t="shared" si="0"/>
        <v>2.359736095846876E-2</v>
      </c>
      <c r="O59" s="4">
        <f t="shared" si="0"/>
        <v>2.1647615530377751E-2</v>
      </c>
      <c r="P59" s="4">
        <f t="shared" si="0"/>
        <v>1.9393777478256657E-2</v>
      </c>
      <c r="Q59" s="4">
        <f t="shared" si="0"/>
        <v>1.7179235927935022E-2</v>
      </c>
      <c r="R59" s="4">
        <f t="shared" si="0"/>
        <v>1.5259488196281978E-2</v>
      </c>
      <c r="S59" s="4">
        <f t="shared" si="0"/>
        <v>1.4272962462979377E-2</v>
      </c>
      <c r="T59" s="4">
        <f t="shared" si="0"/>
        <v>1.3734042797323376E-2</v>
      </c>
      <c r="U59" s="4">
        <f t="shared" si="0"/>
        <v>1.3518416813691259E-2</v>
      </c>
      <c r="V59" s="4">
        <f>V57/U57-1</f>
        <v>1.3579953761681196E-2</v>
      </c>
      <c r="W59" s="4">
        <f t="shared" ref="W59:AL59" si="1">W57/V57-1</f>
        <v>1.3620582082994437E-2</v>
      </c>
      <c r="X59" s="4">
        <f t="shared" si="1"/>
        <v>1.4315473495828401E-2</v>
      </c>
      <c r="Y59" s="4">
        <f t="shared" si="1"/>
        <v>1.5145364632663139E-2</v>
      </c>
      <c r="Z59" s="4">
        <f t="shared" si="1"/>
        <v>1.6128218351730617E-2</v>
      </c>
      <c r="AA59" s="4">
        <f t="shared" si="1"/>
        <v>1.7205155926549365E-2</v>
      </c>
      <c r="AB59" s="4">
        <f t="shared" si="1"/>
        <v>1.7583473773642888E-2</v>
      </c>
      <c r="AC59" s="4">
        <f t="shared" si="1"/>
        <v>1.8640581213504648E-2</v>
      </c>
      <c r="AD59" s="4">
        <f t="shared" si="1"/>
        <v>1.9615464799397353E-2</v>
      </c>
      <c r="AE59" s="4">
        <f t="shared" si="1"/>
        <v>2.0608478433268296E-2</v>
      </c>
      <c r="AF59" s="4">
        <f t="shared" si="1"/>
        <v>2.1570570238691023E-2</v>
      </c>
      <c r="AG59" s="4">
        <f t="shared" si="1"/>
        <v>2.239860612572131E-2</v>
      </c>
      <c r="AH59" s="4">
        <f t="shared" si="1"/>
        <v>2.3016277556587195E-2</v>
      </c>
      <c r="AI59" s="4">
        <f t="shared" si="1"/>
        <v>2.3390283069508522E-2</v>
      </c>
      <c r="AJ59" s="4">
        <f t="shared" si="1"/>
        <v>2.3513664440168336E-2</v>
      </c>
      <c r="AK59" s="4">
        <f t="shared" si="1"/>
        <v>2.3393335822152084E-2</v>
      </c>
      <c r="AL59" s="4">
        <f t="shared" si="1"/>
        <v>2.304270376883566E-2</v>
      </c>
    </row>
    <row r="60" spans="1:38" x14ac:dyDescent="0.35">
      <c r="A60" s="13" t="s">
        <v>3</v>
      </c>
      <c r="B60" t="s">
        <v>4</v>
      </c>
      <c r="C60" s="1">
        <f>[1]Results!F1789</f>
        <v>1.0018776700000001</v>
      </c>
      <c r="D60" s="1">
        <f>[1]Results!G1789</f>
        <v>1.0237714090000001</v>
      </c>
      <c r="E60" s="1">
        <f>[1]Results!H1789</f>
        <v>1.0474093419999999</v>
      </c>
      <c r="F60" s="1">
        <f>[1]Results!I1789</f>
        <v>1.0737881010000001</v>
      </c>
      <c r="G60" s="1">
        <f>[1]Results!J1789</f>
        <v>1.100331511</v>
      </c>
      <c r="H60" s="1">
        <f>[1]Results!K1789</f>
        <v>1.128602772</v>
      </c>
      <c r="I60" s="1">
        <f>[1]Results!L1789</f>
        <v>1.1598497210000001</v>
      </c>
      <c r="J60" s="1">
        <f>[1]Results!M1789</f>
        <v>1.1941200380000001</v>
      </c>
      <c r="K60" s="1">
        <f>[1]Results!N1789</f>
        <v>1.2308911819999999</v>
      </c>
      <c r="L60" s="1">
        <f>[1]Results!O1789</f>
        <v>1.2700701190000001</v>
      </c>
      <c r="M60" s="1">
        <f>[1]Results!P1789</f>
        <v>1.311275524</v>
      </c>
      <c r="N60" s="1">
        <f>[1]Results!Q1789</f>
        <v>1.353775677</v>
      </c>
      <c r="O60" s="1">
        <f>[1]Results!R1789</f>
        <v>1.3969239</v>
      </c>
      <c r="P60" s="1">
        <f>[1]Results!S1789</f>
        <v>1.4401750440000001</v>
      </c>
      <c r="Q60" s="1">
        <f>[1]Results!T1789</f>
        <v>1.4831307570000001</v>
      </c>
      <c r="R60" s="1">
        <f>[1]Results!U1789</f>
        <v>1.525532194</v>
      </c>
      <c r="S60" s="1">
        <f>[1]Results!V1789</f>
        <v>1.5662297780000001</v>
      </c>
      <c r="T60" s="1">
        <f>[1]Results!W1789</f>
        <v>1.6054670099999999</v>
      </c>
      <c r="U60" s="1">
        <f>[1]Results!X1789</f>
        <v>1.6435033910000001</v>
      </c>
      <c r="V60" s="1">
        <f>[1]Results!Y1789</f>
        <v>1.680656666</v>
      </c>
      <c r="W60" s="1">
        <f>[1]Results!Z1789</f>
        <v>1.717365174</v>
      </c>
      <c r="X60" s="1">
        <f>[1]Results!AA1789</f>
        <v>1.753940831</v>
      </c>
      <c r="Y60" s="1">
        <f>[1]Results!AB1789</f>
        <v>1.790758743</v>
      </c>
      <c r="Z60" s="1">
        <f>[1]Results!AC1789</f>
        <v>1.8282302020000001</v>
      </c>
      <c r="AA60" s="1">
        <f>[1]Results!AD1789</f>
        <v>1.866770998</v>
      </c>
      <c r="AB60" s="1">
        <f>[1]Results!AE1789</f>
        <v>1.907069484</v>
      </c>
      <c r="AC60" s="1">
        <f>[1]Results!AF1789</f>
        <v>1.949079094</v>
      </c>
      <c r="AD60" s="1">
        <f>[1]Results!AG1789</f>
        <v>1.993047746</v>
      </c>
      <c r="AE60" s="1">
        <f>[1]Results!AH1789</f>
        <v>2.039226899</v>
      </c>
      <c r="AF60" s="1">
        <f>[1]Results!AI1789</f>
        <v>2.087828869</v>
      </c>
      <c r="AG60" s="1">
        <f>[1]Results!AJ1789</f>
        <v>2.138966946</v>
      </c>
      <c r="AH60" s="1">
        <f>[1]Results!AK1789</f>
        <v>2.1926469389999999</v>
      </c>
      <c r="AI60" s="1">
        <f>[1]Results!AL1789</f>
        <v>2.248785673</v>
      </c>
      <c r="AJ60" s="1">
        <f>[1]Results!AM1789</f>
        <v>2.3072246980000002</v>
      </c>
      <c r="AK60" s="1">
        <f>[1]Results!AN1789</f>
        <v>2.3677378390000001</v>
      </c>
      <c r="AL60" s="1">
        <f>[1]Results!AO1789</f>
        <v>2.43003686</v>
      </c>
    </row>
    <row r="61" spans="1:38" x14ac:dyDescent="0.35">
      <c r="A61" s="13"/>
      <c r="B61" t="s">
        <v>6</v>
      </c>
      <c r="C61" s="1">
        <f>[1]Results!F1760</f>
        <v>1.0018776709999999</v>
      </c>
      <c r="D61" s="1">
        <f>[1]Results!G1760</f>
        <v>1.0237714090000001</v>
      </c>
      <c r="E61" s="1">
        <f>[1]Results!H1760</f>
        <v>1.0474093419999999</v>
      </c>
      <c r="F61" s="1">
        <f>[1]Results!I1760</f>
        <v>1.0737881010000001</v>
      </c>
      <c r="G61" s="1">
        <f>[1]Results!J1760</f>
        <v>1.1003315119999999</v>
      </c>
      <c r="H61" s="1">
        <f>[1]Results!K1760</f>
        <v>1.1286027729999999</v>
      </c>
      <c r="I61" s="1">
        <f>[1]Results!L1760</f>
        <v>1.1589221279999999</v>
      </c>
      <c r="J61" s="1">
        <f>[1]Results!M1760</f>
        <v>1.1944240269999999</v>
      </c>
      <c r="K61" s="1">
        <f>[1]Results!N1760</f>
        <v>1.2339017370000001</v>
      </c>
      <c r="L61" s="1">
        <f>[1]Results!O1760</f>
        <v>1.2791514470000001</v>
      </c>
      <c r="M61" s="1">
        <f>[1]Results!P1760</f>
        <v>1.3317702119999999</v>
      </c>
      <c r="N61" s="1">
        <f>[1]Results!Q1760</f>
        <v>1.3806152190000001</v>
      </c>
      <c r="O61" s="1">
        <f>[1]Results!R1760</f>
        <v>1.430405948</v>
      </c>
      <c r="P61" s="1">
        <f>[1]Results!S1760</f>
        <v>1.480806171</v>
      </c>
      <c r="Q61" s="1">
        <f>[1]Results!T1760</f>
        <v>1.5314543329999999</v>
      </c>
      <c r="R61" s="1">
        <f>[1]Results!U1760</f>
        <v>1.5820797280000001</v>
      </c>
      <c r="S61" s="1">
        <f>[1]Results!V1760</f>
        <v>1.6329421120000001</v>
      </c>
      <c r="T61" s="1">
        <f>[1]Results!W1760</f>
        <v>1.6835370140000001</v>
      </c>
      <c r="U61" s="1">
        <f>[1]Results!X1760</f>
        <v>1.73376073</v>
      </c>
      <c r="V61" s="1">
        <f>[1]Results!Y1760</f>
        <v>1.7832830399999999</v>
      </c>
      <c r="W61" s="1">
        <f>[1]Results!Z1760</f>
        <v>1.832682881</v>
      </c>
      <c r="X61" s="1">
        <f>[1]Results!AA1760</f>
        <v>1.880623218</v>
      </c>
      <c r="Y61" s="1">
        <f>[1]Results!AB1760</f>
        <v>1.9281874080000001</v>
      </c>
      <c r="Z61" s="1">
        <f>[1]Results!AC1760</f>
        <v>1.975712175</v>
      </c>
      <c r="AA61" s="1">
        <f>[1]Results!AD1760</f>
        <v>2.023535887</v>
      </c>
      <c r="AB61" s="1">
        <f>[1]Results!AE1760</f>
        <v>2.0723413370000001</v>
      </c>
      <c r="AC61" s="1">
        <f>[1]Results!AF1760</f>
        <v>2.1209614999999999</v>
      </c>
      <c r="AD61" s="1">
        <f>[1]Results!AG1760</f>
        <v>2.1704570269999999</v>
      </c>
      <c r="AE61" s="1">
        <f>[1]Results!AH1760</f>
        <v>2.221233309</v>
      </c>
      <c r="AF61" s="1">
        <f>[1]Results!AI1760</f>
        <v>2.2736548430000001</v>
      </c>
      <c r="AG61" s="1">
        <f>[1]Results!AJ1760</f>
        <v>2.3280148029999999</v>
      </c>
      <c r="AH61" s="1">
        <f>[1]Results!AK1760</f>
        <v>2.3839579689999999</v>
      </c>
      <c r="AI61" s="1">
        <f>[1]Results!AL1760</f>
        <v>2.4419507999999999</v>
      </c>
      <c r="AJ61" s="1">
        <f>[1]Results!AM1760</f>
        <v>2.5020663480000001</v>
      </c>
      <c r="AK61" s="1">
        <f>[1]Results!AN1760</f>
        <v>2.5642929419999998</v>
      </c>
      <c r="AL61" s="1">
        <f>[1]Results!AO1760</f>
        <v>2.6285491639999998</v>
      </c>
    </row>
    <row r="62" spans="1:38" x14ac:dyDescent="0.35"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x14ac:dyDescent="0.35">
      <c r="A63" s="13" t="s">
        <v>1</v>
      </c>
      <c r="B63" t="str">
        <f>B60</f>
        <v>Baseline</v>
      </c>
      <c r="D63" s="1">
        <f t="shared" ref="D63:AL63" si="2">(D60/C60-1)*100</f>
        <v>2.1852706827970358</v>
      </c>
      <c r="E63" s="1">
        <f t="shared" si="2"/>
        <v>2.3089073197589016</v>
      </c>
      <c r="F63" s="1">
        <f t="shared" si="2"/>
        <v>2.5184765823866639</v>
      </c>
      <c r="G63" s="1">
        <f t="shared" si="2"/>
        <v>2.4719411562933669</v>
      </c>
      <c r="H63" s="1">
        <f t="shared" si="2"/>
        <v>2.5693403049328767</v>
      </c>
      <c r="I63" s="1">
        <f t="shared" si="2"/>
        <v>2.7686401075045497</v>
      </c>
      <c r="J63" s="1">
        <f t="shared" si="2"/>
        <v>2.9547204589964293</v>
      </c>
      <c r="K63" s="1">
        <f t="shared" si="2"/>
        <v>3.0793507210202131</v>
      </c>
      <c r="L63" s="1">
        <f t="shared" si="2"/>
        <v>3.1829732451523984</v>
      </c>
      <c r="M63" s="1">
        <f t="shared" si="2"/>
        <v>3.2443409528005729</v>
      </c>
      <c r="N63" s="1">
        <f t="shared" si="2"/>
        <v>3.2411306565347076</v>
      </c>
      <c r="O63" s="1">
        <f t="shared" si="2"/>
        <v>3.1872505713514965</v>
      </c>
      <c r="P63" s="1">
        <f t="shared" si="2"/>
        <v>3.0961703783577654</v>
      </c>
      <c r="Q63" s="1">
        <f t="shared" si="2"/>
        <v>2.9826730562344084</v>
      </c>
      <c r="R63" s="1">
        <f t="shared" si="2"/>
        <v>2.8589142798014278</v>
      </c>
      <c r="S63" s="1">
        <f t="shared" si="2"/>
        <v>2.667763037716675</v>
      </c>
      <c r="T63" s="1">
        <f t="shared" si="2"/>
        <v>2.5052027838535773</v>
      </c>
      <c r="U63" s="1">
        <f t="shared" si="2"/>
        <v>2.369178610527789</v>
      </c>
      <c r="V63" s="1">
        <f t="shared" si="2"/>
        <v>2.260614441287756</v>
      </c>
      <c r="W63" s="1">
        <f t="shared" si="2"/>
        <v>2.1841765033049354</v>
      </c>
      <c r="X63" s="1">
        <f t="shared" si="2"/>
        <v>2.1297542045067619</v>
      </c>
      <c r="Y63" s="1">
        <f t="shared" si="2"/>
        <v>2.0991535945376505</v>
      </c>
      <c r="Z63" s="1">
        <f t="shared" si="2"/>
        <v>2.0924906354065964</v>
      </c>
      <c r="AA63" s="1">
        <f t="shared" si="2"/>
        <v>2.1080931688929549</v>
      </c>
      <c r="AB63" s="1">
        <f t="shared" si="2"/>
        <v>2.1587268091894707</v>
      </c>
      <c r="AC63" s="1">
        <f t="shared" si="2"/>
        <v>2.2028358354246436</v>
      </c>
      <c r="AD63" s="1">
        <f t="shared" si="2"/>
        <v>2.2558680217417582</v>
      </c>
      <c r="AE63" s="1">
        <f t="shared" si="2"/>
        <v>2.3170118775468707</v>
      </c>
      <c r="AF63" s="1">
        <f t="shared" si="2"/>
        <v>2.3833527315588743</v>
      </c>
      <c r="AG63" s="1">
        <f t="shared" si="2"/>
        <v>2.4493423651380741</v>
      </c>
      <c r="AH63" s="1">
        <f t="shared" si="2"/>
        <v>2.509622371696052</v>
      </c>
      <c r="AI63" s="1">
        <f t="shared" si="2"/>
        <v>2.5603179883398441</v>
      </c>
      <c r="AJ63" s="1">
        <f t="shared" si="2"/>
        <v>2.5986925166612052</v>
      </c>
      <c r="AK63" s="1">
        <f t="shared" si="2"/>
        <v>2.6227675636644854</v>
      </c>
      <c r="AL63" s="1">
        <f t="shared" si="2"/>
        <v>2.6311621149033737</v>
      </c>
    </row>
    <row r="64" spans="1:38" x14ac:dyDescent="0.35">
      <c r="A64" s="13"/>
      <c r="B64" t="str">
        <f>B61</f>
        <v>NZ50</v>
      </c>
      <c r="D64" s="1">
        <f t="shared" ref="D64:AL64" si="3">(D61/C61-1)*100</f>
        <v>2.1852705808032891</v>
      </c>
      <c r="E64" s="1">
        <f t="shared" si="3"/>
        <v>2.3089073197589016</v>
      </c>
      <c r="F64" s="1">
        <f t="shared" si="3"/>
        <v>2.5184765823866639</v>
      </c>
      <c r="G64" s="1">
        <f t="shared" si="3"/>
        <v>2.4719412494215831</v>
      </c>
      <c r="H64" s="1">
        <f t="shared" si="3"/>
        <v>2.5693403025978334</v>
      </c>
      <c r="I64" s="1">
        <f t="shared" si="3"/>
        <v>2.6864505143298967</v>
      </c>
      <c r="J64" s="1">
        <f t="shared" si="3"/>
        <v>3.0633550039524282</v>
      </c>
      <c r="K64" s="1">
        <f t="shared" si="3"/>
        <v>3.3051671021015139</v>
      </c>
      <c r="L64" s="1">
        <f t="shared" si="3"/>
        <v>3.6672053084240153</v>
      </c>
      <c r="M64" s="1">
        <f t="shared" si="3"/>
        <v>4.1135680316358947</v>
      </c>
      <c r="N64" s="1">
        <f t="shared" si="3"/>
        <v>3.6676752911184884</v>
      </c>
      <c r="O64" s="1">
        <f t="shared" si="3"/>
        <v>3.6064160610994822</v>
      </c>
      <c r="P64" s="1">
        <f t="shared" si="3"/>
        <v>3.5234908712781676</v>
      </c>
      <c r="Q64" s="1">
        <f t="shared" si="3"/>
        <v>3.4203100305691514</v>
      </c>
      <c r="R64" s="1">
        <f t="shared" si="3"/>
        <v>3.3057071248627334</v>
      </c>
      <c r="S64" s="1">
        <f t="shared" si="3"/>
        <v>3.2149064993265641</v>
      </c>
      <c r="T64" s="1">
        <f t="shared" si="3"/>
        <v>3.0983891975222777</v>
      </c>
      <c r="U64" s="1">
        <f t="shared" si="3"/>
        <v>2.9832261234738588</v>
      </c>
      <c r="V64" s="1">
        <f t="shared" si="3"/>
        <v>2.8563520411492904</v>
      </c>
      <c r="W64" s="1">
        <f t="shared" si="3"/>
        <v>2.7701626658211298</v>
      </c>
      <c r="X64" s="1">
        <f t="shared" si="3"/>
        <v>2.6158555578279508</v>
      </c>
      <c r="Y64" s="1">
        <f t="shared" si="3"/>
        <v>2.5291716886588045</v>
      </c>
      <c r="Z64" s="1">
        <f t="shared" si="3"/>
        <v>2.4647379607822817</v>
      </c>
      <c r="AA64" s="1">
        <f t="shared" si="3"/>
        <v>2.4205809229272068</v>
      </c>
      <c r="AB64" s="1">
        <f t="shared" si="3"/>
        <v>2.4118895203957491</v>
      </c>
      <c r="AC64" s="1">
        <f t="shared" si="3"/>
        <v>2.3461464639982665</v>
      </c>
      <c r="AD64" s="1">
        <f t="shared" si="3"/>
        <v>2.333636277697626</v>
      </c>
      <c r="AE64" s="1">
        <f t="shared" si="3"/>
        <v>2.339428118979292</v>
      </c>
      <c r="AF64" s="1">
        <f t="shared" si="3"/>
        <v>2.3600192644148699</v>
      </c>
      <c r="AG64" s="1">
        <f t="shared" si="3"/>
        <v>2.3908624551066016</v>
      </c>
      <c r="AH64" s="1">
        <f t="shared" si="3"/>
        <v>2.4030416785970843</v>
      </c>
      <c r="AI64" s="1">
        <f t="shared" si="3"/>
        <v>2.432628081288124</v>
      </c>
      <c r="AJ64" s="1">
        <f t="shared" si="3"/>
        <v>2.4617837509256946</v>
      </c>
      <c r="AK64" s="1">
        <f t="shared" si="3"/>
        <v>2.4870081502730734</v>
      </c>
      <c r="AL64" s="1">
        <f t="shared" si="3"/>
        <v>2.5058066084245434</v>
      </c>
    </row>
    <row r="65" spans="1:38" x14ac:dyDescent="0.35">
      <c r="A65" s="7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38" x14ac:dyDescent="0.35">
      <c r="A66" s="12" t="s">
        <v>2</v>
      </c>
      <c r="B66" t="str">
        <f>B63</f>
        <v>Baseline</v>
      </c>
      <c r="C66" s="6">
        <f>[1]Emissions!B820</f>
        <v>347.96453320000001</v>
      </c>
      <c r="D66" s="6">
        <f>[1]Emissions!C820</f>
        <v>348.33814860000001</v>
      </c>
      <c r="E66" s="6">
        <f>[1]Emissions!D820</f>
        <v>348.92544700000002</v>
      </c>
      <c r="F66" s="6">
        <f>[1]Emissions!E820</f>
        <v>349.38157419999999</v>
      </c>
      <c r="G66" s="6">
        <f>[1]Emissions!F820</f>
        <v>351.90915319999999</v>
      </c>
      <c r="H66" s="6">
        <f>[1]Emissions!G820</f>
        <v>356.04349239999999</v>
      </c>
      <c r="I66" s="6">
        <f>[1]Emissions!H820</f>
        <v>360.83220080000001</v>
      </c>
      <c r="J66" s="6">
        <f>[1]Emissions!I820</f>
        <v>365.8492847</v>
      </c>
      <c r="K66" s="6">
        <f>[1]Emissions!J820</f>
        <v>371.09210209999998</v>
      </c>
      <c r="L66" s="6">
        <f>[1]Emissions!K820</f>
        <v>376.50630940000002</v>
      </c>
      <c r="M66" s="6">
        <f>[1]Emissions!L820</f>
        <v>381.9158966</v>
      </c>
      <c r="N66" s="6">
        <f>[1]Emissions!M820</f>
        <v>387.55952109999998</v>
      </c>
      <c r="O66" s="6">
        <f>[1]Emissions!N820</f>
        <v>392.53897899999998</v>
      </c>
      <c r="P66" s="6">
        <f>[1]Emissions!O820</f>
        <v>397.0634369</v>
      </c>
      <c r="Q66" s="6">
        <f>[1]Emissions!P820</f>
        <v>401.34464179999998</v>
      </c>
      <c r="R66" s="6">
        <f>[1]Emissions!Q820</f>
        <v>405.57688289999999</v>
      </c>
      <c r="S66" s="6">
        <f>[1]Emissions!R820</f>
        <v>410.51298450000002</v>
      </c>
      <c r="T66" s="6">
        <f>[1]Emissions!S820</f>
        <v>416.35380350000003</v>
      </c>
      <c r="U66" s="6">
        <f>[1]Emissions!T820</f>
        <v>423.12096889999998</v>
      </c>
      <c r="V66" s="6">
        <f>[1]Emissions!U820</f>
        <v>430.80970600000001</v>
      </c>
      <c r="W66" s="6">
        <f>[1]Emissions!V820</f>
        <v>439.37975770000003</v>
      </c>
      <c r="X66" s="6">
        <f>[1]Emissions!W820</f>
        <v>448.93522000000002</v>
      </c>
      <c r="Y66" s="6">
        <f>[1]Emissions!X820</f>
        <v>459.53585889999999</v>
      </c>
      <c r="Z66" s="6">
        <f>[1]Emissions!Y820</f>
        <v>471.24503989999999</v>
      </c>
      <c r="AA66" s="6">
        <f>[1]Emissions!Z820</f>
        <v>484.1077252</v>
      </c>
      <c r="AB66" s="6">
        <f>[1]Emissions!AA820</f>
        <v>498.03644709999998</v>
      </c>
      <c r="AC66" s="6">
        <f>[1]Emissions!AB820</f>
        <v>509.19697989999997</v>
      </c>
      <c r="AD66" s="6">
        <f>[1]Emissions!AC820</f>
        <v>519.81974579999996</v>
      </c>
      <c r="AE66" s="6">
        <f>[1]Emissions!AD820</f>
        <v>530.88146500000005</v>
      </c>
      <c r="AF66" s="6">
        <f>[1]Emissions!AE820</f>
        <v>542.59647910000001</v>
      </c>
      <c r="AG66" s="6">
        <f>[1]Emissions!AF820</f>
        <v>554.88892169999997</v>
      </c>
      <c r="AH66" s="6">
        <f>[1]Emissions!AG820</f>
        <v>567.61817189999999</v>
      </c>
      <c r="AI66" s="6">
        <f>[1]Emissions!AH820</f>
        <v>580.65045459999999</v>
      </c>
      <c r="AJ66" s="6">
        <f>[1]Emissions!AI820</f>
        <v>593.86071819999995</v>
      </c>
      <c r="AK66" s="6">
        <f>[1]Emissions!AJ820</f>
        <v>607.13039200000003</v>
      </c>
      <c r="AL66" s="6">
        <f>[1]Emissions!AK820</f>
        <v>620.34477660000005</v>
      </c>
    </row>
    <row r="67" spans="1:38" x14ac:dyDescent="0.35">
      <c r="A67" s="12"/>
      <c r="B67" t="s">
        <v>27</v>
      </c>
      <c r="C67" s="6">
        <f>[1]Emissions!B824</f>
        <v>119.490486</v>
      </c>
      <c r="D67" s="6">
        <f>[1]Emissions!C824</f>
        <v>118.37914960000001</v>
      </c>
      <c r="E67" s="6">
        <f>[1]Emissions!D824</f>
        <v>117.14360859999999</v>
      </c>
      <c r="F67" s="6">
        <f>[1]Emissions!E824</f>
        <v>115.9595157</v>
      </c>
      <c r="G67" s="6">
        <f>[1]Emissions!F824</f>
        <v>115.42480949999999</v>
      </c>
      <c r="H67" s="6">
        <f>[1]Emissions!G824</f>
        <v>115.30187890000001</v>
      </c>
      <c r="I67" s="6">
        <f>[1]Emissions!H824</f>
        <v>115.1873416</v>
      </c>
      <c r="J67" s="6">
        <f>[1]Emissions!I824</f>
        <v>115.06907339999999</v>
      </c>
      <c r="K67" s="6">
        <f>[1]Emissions!J824</f>
        <v>115.02081</v>
      </c>
      <c r="L67" s="6">
        <f>[1]Emissions!K824</f>
        <v>115.0451707</v>
      </c>
      <c r="M67" s="6">
        <f>[1]Emissions!L824</f>
        <v>115.1744837</v>
      </c>
      <c r="N67" s="6">
        <f>[1]Emissions!M824</f>
        <v>115.327769</v>
      </c>
      <c r="O67" s="6">
        <f>[1]Emissions!N824</f>
        <v>115.49158250000001</v>
      </c>
      <c r="P67" s="6">
        <f>[1]Emissions!O824</f>
        <v>115.6477884</v>
      </c>
      <c r="Q67" s="6">
        <f>[1]Emissions!P824</f>
        <v>115.7798404</v>
      </c>
      <c r="R67" s="6">
        <f>[1]Emissions!Q824</f>
        <v>115.8765928</v>
      </c>
      <c r="S67" s="6">
        <f>[1]Emissions!R824</f>
        <v>116.0731938</v>
      </c>
      <c r="T67" s="6">
        <f>[1]Emissions!S824</f>
        <v>116.30768209999999</v>
      </c>
      <c r="U67" s="6">
        <f>[1]Emissions!T824</f>
        <v>116.5503508</v>
      </c>
      <c r="V67" s="6">
        <f>[1]Emissions!U824</f>
        <v>116.78722500000001</v>
      </c>
      <c r="W67" s="6">
        <f>[1]Emissions!V824</f>
        <v>116.9871914</v>
      </c>
      <c r="X67" s="6">
        <f>[1]Emissions!W824</f>
        <v>117.1906066</v>
      </c>
      <c r="Y67" s="6">
        <f>[1]Emissions!X824</f>
        <v>117.3944104</v>
      </c>
      <c r="Z67" s="6">
        <f>[1]Emissions!Y824</f>
        <v>117.60086320000001</v>
      </c>
      <c r="AA67" s="6">
        <f>[1]Emissions!Z824</f>
        <v>117.81400960000001</v>
      </c>
      <c r="AB67" s="6">
        <f>[1]Emissions!AA824</f>
        <v>117.9669663</v>
      </c>
      <c r="AC67" s="6">
        <f>[1]Emissions!AB824</f>
        <v>118.1363403</v>
      </c>
      <c r="AD67" s="6">
        <f>[1]Emissions!AC824</f>
        <v>118.32139669999999</v>
      </c>
      <c r="AE67" s="6">
        <f>[1]Emissions!AD824</f>
        <v>118.5239766</v>
      </c>
      <c r="AF67" s="6">
        <f>[1]Emissions!AE824</f>
        <v>118.746156</v>
      </c>
      <c r="AG67" s="6">
        <f>[1]Emissions!AF824</f>
        <v>118.9876969</v>
      </c>
      <c r="AH67" s="6">
        <f>[1]Emissions!AG824</f>
        <v>119.24442790000001</v>
      </c>
      <c r="AI67" s="6">
        <f>[1]Emissions!AH824</f>
        <v>119.5106826</v>
      </c>
      <c r="AJ67" s="6">
        <f>[1]Emissions!AI824</f>
        <v>119.779465</v>
      </c>
      <c r="AK67" s="6">
        <f>[1]Emissions!AJ824</f>
        <v>120.0427701</v>
      </c>
      <c r="AL67" s="6">
        <f>[1]Emissions!AK824</f>
        <v>120.29190010000001</v>
      </c>
    </row>
    <row r="68" spans="1:38" x14ac:dyDescent="0.35">
      <c r="A68" s="12"/>
      <c r="B68" t="s">
        <v>28</v>
      </c>
      <c r="C68" s="6">
        <f>SUM(C69:C71)</f>
        <v>228.47404725589999</v>
      </c>
      <c r="D68" s="6">
        <f t="shared" ref="D68:AL68" si="4">SUM(D69:D71)</f>
        <v>229.95899900040001</v>
      </c>
      <c r="E68" s="6">
        <f t="shared" si="4"/>
        <v>231.7818383689</v>
      </c>
      <c r="F68" s="6">
        <f t="shared" si="4"/>
        <v>233.42205846460001</v>
      </c>
      <c r="G68" s="6">
        <f t="shared" si="4"/>
        <v>236.48434369980001</v>
      </c>
      <c r="H68" s="6">
        <f t="shared" si="4"/>
        <v>240.74161350910001</v>
      </c>
      <c r="I68" s="6">
        <f t="shared" si="4"/>
        <v>245.64485915009999</v>
      </c>
      <c r="J68" s="6">
        <f t="shared" si="4"/>
        <v>250.78021127790001</v>
      </c>
      <c r="K68" s="6">
        <f t="shared" si="4"/>
        <v>256.0712920643</v>
      </c>
      <c r="L68" s="6">
        <f t="shared" si="4"/>
        <v>261.46113873659999</v>
      </c>
      <c r="M68" s="6">
        <f t="shared" si="4"/>
        <v>266.74141293279996</v>
      </c>
      <c r="N68" s="6">
        <f t="shared" si="4"/>
        <v>272.23175211009999</v>
      </c>
      <c r="O68" s="6">
        <f t="shared" si="4"/>
        <v>277.0473965251</v>
      </c>
      <c r="P68" s="6">
        <f t="shared" si="4"/>
        <v>281.41564845250002</v>
      </c>
      <c r="Q68" s="6">
        <f t="shared" si="4"/>
        <v>285.56480146730001</v>
      </c>
      <c r="R68" s="6">
        <f t="shared" si="4"/>
        <v>289.70029012829997</v>
      </c>
      <c r="S68" s="6">
        <f t="shared" si="4"/>
        <v>294.43979061620001</v>
      </c>
      <c r="T68" s="6">
        <f t="shared" si="4"/>
        <v>300.04612132189999</v>
      </c>
      <c r="U68" s="6">
        <f t="shared" si="4"/>
        <v>306.5706180473</v>
      </c>
      <c r="V68" s="6">
        <f t="shared" si="4"/>
        <v>314.02248101369997</v>
      </c>
      <c r="W68" s="6">
        <f t="shared" si="4"/>
        <v>322.39256639640001</v>
      </c>
      <c r="X68" s="6">
        <f t="shared" si="4"/>
        <v>331.7446134324</v>
      </c>
      <c r="Y68" s="6">
        <f t="shared" si="4"/>
        <v>342.14144849849998</v>
      </c>
      <c r="Z68" s="6">
        <f t="shared" si="4"/>
        <v>353.64417672320002</v>
      </c>
      <c r="AA68" s="6">
        <f t="shared" si="4"/>
        <v>366.29371549170003</v>
      </c>
      <c r="AB68" s="6">
        <f t="shared" si="4"/>
        <v>380.06948073089995</v>
      </c>
      <c r="AC68" s="6">
        <f t="shared" si="4"/>
        <v>391.06063958899995</v>
      </c>
      <c r="AD68" s="6">
        <f t="shared" si="4"/>
        <v>401.49834916050003</v>
      </c>
      <c r="AE68" s="6">
        <f t="shared" si="4"/>
        <v>412.3574884061</v>
      </c>
      <c r="AF68" s="6">
        <f t="shared" si="4"/>
        <v>423.85032307110004</v>
      </c>
      <c r="AG68" s="6">
        <f t="shared" si="4"/>
        <v>435.90122486909996</v>
      </c>
      <c r="AH68" s="6">
        <f t="shared" si="4"/>
        <v>448.37374394350002</v>
      </c>
      <c r="AI68" s="6">
        <f t="shared" si="4"/>
        <v>461.13977200459999</v>
      </c>
      <c r="AJ68" s="6">
        <f t="shared" si="4"/>
        <v>474.0812532425</v>
      </c>
      <c r="AK68" s="6">
        <f t="shared" si="4"/>
        <v>487.08762182050003</v>
      </c>
      <c r="AL68" s="6">
        <f t="shared" si="4"/>
        <v>500.05287645640004</v>
      </c>
    </row>
    <row r="69" spans="1:38" x14ac:dyDescent="0.35">
      <c r="A69" s="12"/>
      <c r="B69" t="s">
        <v>56</v>
      </c>
      <c r="C69" s="6">
        <f>[1]Emissions!B821</f>
        <v>213.22631569999999</v>
      </c>
      <c r="D69" s="6">
        <f>[1]Emissions!C821</f>
        <v>214.46398060000001</v>
      </c>
      <c r="E69" s="6">
        <f>[1]Emissions!D821</f>
        <v>216.00539330000001</v>
      </c>
      <c r="F69" s="6">
        <f>[1]Emissions!E821</f>
        <v>217.34219569999999</v>
      </c>
      <c r="G69" s="6">
        <f>[1]Emissions!F821</f>
        <v>220.07722240000001</v>
      </c>
      <c r="H69" s="6">
        <f>[1]Emissions!G821</f>
        <v>223.98245120000001</v>
      </c>
      <c r="I69" s="6">
        <f>[1]Emissions!H821</f>
        <v>228.5112374</v>
      </c>
      <c r="J69" s="6">
        <f>[1]Emissions!I821</f>
        <v>233.25620269999999</v>
      </c>
      <c r="K69" s="6">
        <f>[1]Emissions!J821</f>
        <v>238.144711</v>
      </c>
      <c r="L69" s="6">
        <f>[1]Emissions!K821</f>
        <v>243.12112930000001</v>
      </c>
      <c r="M69" s="6">
        <f>[1]Emissions!L821</f>
        <v>247.98655579999999</v>
      </c>
      <c r="N69" s="6">
        <f>[1]Emissions!M821</f>
        <v>253.0986254</v>
      </c>
      <c r="O69" s="6">
        <f>[1]Emissions!N821</f>
        <v>257.5678284</v>
      </c>
      <c r="P69" s="6">
        <f>[1]Emissions!O821</f>
        <v>261.6125816</v>
      </c>
      <c r="Q69" s="6">
        <f>[1]Emissions!P821</f>
        <v>265.45070290000001</v>
      </c>
      <c r="R69" s="6">
        <f>[1]Emissions!Q821</f>
        <v>269.27778760000001</v>
      </c>
      <c r="S69" s="6">
        <f>[1]Emissions!R821</f>
        <v>273.69801769999998</v>
      </c>
      <c r="T69" s="6">
        <f>[1]Emissions!S821</f>
        <v>278.9634418</v>
      </c>
      <c r="U69" s="6">
        <f>[1]Emissions!T821</f>
        <v>285.11807299999998</v>
      </c>
      <c r="V69" s="6">
        <f>[1]Emissions!U821</f>
        <v>292.1671235</v>
      </c>
      <c r="W69" s="6">
        <f>[1]Emissions!V821</f>
        <v>300.09987169999999</v>
      </c>
      <c r="X69" s="6">
        <f>[1]Emissions!W821</f>
        <v>308.97661670000002</v>
      </c>
      <c r="Y69" s="6">
        <f>[1]Emissions!X821</f>
        <v>318.85689300000001</v>
      </c>
      <c r="Z69" s="6">
        <f>[1]Emissions!Y821</f>
        <v>329.79948150000001</v>
      </c>
      <c r="AA69" s="6">
        <f>[1]Emissions!Z821</f>
        <v>341.84472090000003</v>
      </c>
      <c r="AB69" s="6">
        <f>[1]Emissions!AA821</f>
        <v>354.9753475</v>
      </c>
      <c r="AC69" s="6">
        <f>[1]Emissions!AB821</f>
        <v>365.30202259999999</v>
      </c>
      <c r="AD69" s="6">
        <f>[1]Emissions!AC821</f>
        <v>375.05420400000003</v>
      </c>
      <c r="AE69" s="6">
        <f>[1]Emissions!AD821</f>
        <v>385.20097490000001</v>
      </c>
      <c r="AF69" s="6">
        <f>[1]Emissions!AE821</f>
        <v>395.95396140000003</v>
      </c>
      <c r="AG69" s="6">
        <f>[1]Emissions!AF821</f>
        <v>407.2411573</v>
      </c>
      <c r="AH69" s="6">
        <f>[1]Emissions!AG821</f>
        <v>418.9306067</v>
      </c>
      <c r="AI69" s="6">
        <f>[1]Emissions!AH821</f>
        <v>430.89818889999998</v>
      </c>
      <c r="AJ69" s="6">
        <f>[1]Emissions!AI821</f>
        <v>443.02953780000001</v>
      </c>
      <c r="AK69" s="6">
        <f>[1]Emissions!AJ821</f>
        <v>455.2176417</v>
      </c>
      <c r="AL69" s="6">
        <f>[1]Emissions!AK821</f>
        <v>467.3600414</v>
      </c>
    </row>
    <row r="70" spans="1:38" x14ac:dyDescent="0.35">
      <c r="A70" s="12"/>
      <c r="B70" t="s">
        <v>57</v>
      </c>
      <c r="C70" s="6">
        <f>[1]Emissions!B822</f>
        <v>2.7531315899999999E-2</v>
      </c>
      <c r="D70" s="6">
        <f>[1]Emissions!C822</f>
        <v>2.79907904E-2</v>
      </c>
      <c r="E70" s="6">
        <f>[1]Emissions!D822</f>
        <v>2.85353089E-2</v>
      </c>
      <c r="F70" s="6">
        <f>[1]Emissions!E822</f>
        <v>2.91645146E-2</v>
      </c>
      <c r="G70" s="6">
        <f>[1]Emissions!F822</f>
        <v>2.9865119799999999E-2</v>
      </c>
      <c r="H70" s="6">
        <f>[1]Emissions!G822</f>
        <v>3.0632209099999998E-2</v>
      </c>
      <c r="I70" s="6">
        <f>[1]Emissions!H822</f>
        <v>3.1441720100000001E-2</v>
      </c>
      <c r="J70" s="6">
        <f>[1]Emissions!I822</f>
        <v>3.2280957899999997E-2</v>
      </c>
      <c r="K70" s="6">
        <f>[1]Emissions!J822</f>
        <v>3.3140074300000003E-2</v>
      </c>
      <c r="L70" s="6">
        <f>[1]Emissions!K822</f>
        <v>3.4014096600000002E-2</v>
      </c>
      <c r="M70" s="6">
        <f>[1]Emissions!L822</f>
        <v>3.4875932800000002E-2</v>
      </c>
      <c r="N70" s="6">
        <f>[1]Emissions!M822</f>
        <v>3.5617700099999997E-2</v>
      </c>
      <c r="O70" s="6">
        <f>[1]Emissions!N822</f>
        <v>3.6261685100000003E-2</v>
      </c>
      <c r="P70" s="6">
        <f>[1]Emissions!O822</f>
        <v>3.6825752500000003E-2</v>
      </c>
      <c r="Q70" s="6">
        <f>[1]Emissions!P822</f>
        <v>3.7333207299999997E-2</v>
      </c>
      <c r="R70" s="6">
        <f>[1]Emissions!Q822</f>
        <v>3.7807658299999998E-2</v>
      </c>
      <c r="S70" s="6">
        <f>[1]Emissions!R822</f>
        <v>3.82836062E-2</v>
      </c>
      <c r="T70" s="6">
        <f>[1]Emissions!S822</f>
        <v>3.87878719E-2</v>
      </c>
      <c r="U70" s="6">
        <f>[1]Emissions!T822</f>
        <v>3.9339387300000001E-2</v>
      </c>
      <c r="V70" s="6">
        <f>[1]Emissions!U822</f>
        <v>3.99488037E-2</v>
      </c>
      <c r="W70" s="6">
        <f>[1]Emissions!V822</f>
        <v>4.0618586399999997E-2</v>
      </c>
      <c r="X70" s="6">
        <f>[1]Emissions!W822</f>
        <v>4.1362612399999998E-2</v>
      </c>
      <c r="Y70" s="6">
        <f>[1]Emissions!X822</f>
        <v>4.21878085E-2</v>
      </c>
      <c r="Z70" s="6">
        <f>[1]Emissions!Y822</f>
        <v>4.3097813200000001E-2</v>
      </c>
      <c r="AA70" s="6">
        <f>[1]Emissions!Z822</f>
        <v>4.4090981699999997E-2</v>
      </c>
      <c r="AB70" s="6">
        <f>[1]Emissions!AA822</f>
        <v>4.51487109E-2</v>
      </c>
      <c r="AC70" s="6">
        <f>[1]Emissions!AB822</f>
        <v>4.6279569E-2</v>
      </c>
      <c r="AD70" s="6">
        <f>[1]Emissions!AC822</f>
        <v>4.7487730499999999E-2</v>
      </c>
      <c r="AE70" s="6">
        <f>[1]Emissions!AD822</f>
        <v>4.8774536100000002E-2</v>
      </c>
      <c r="AF70" s="6">
        <f>[1]Emissions!AE822</f>
        <v>5.0130411100000001E-2</v>
      </c>
      <c r="AG70" s="6">
        <f>[1]Emissions!AF822</f>
        <v>5.1539909100000003E-2</v>
      </c>
      <c r="AH70" s="6">
        <f>[1]Emissions!AG822</f>
        <v>5.29888835E-2</v>
      </c>
      <c r="AI70" s="6">
        <f>[1]Emissions!AH822</f>
        <v>5.4465694600000003E-2</v>
      </c>
      <c r="AJ70" s="6">
        <f>[1]Emissions!AI822</f>
        <v>5.5959512500000003E-2</v>
      </c>
      <c r="AK70" s="6">
        <f>[1]Emissions!AJ822</f>
        <v>5.7459820500000001E-2</v>
      </c>
      <c r="AL70" s="6">
        <f>[1]Emissions!AK822</f>
        <v>5.8956216399999997E-2</v>
      </c>
    </row>
    <row r="71" spans="1:38" x14ac:dyDescent="0.35">
      <c r="A71" s="12"/>
      <c r="B71" t="s">
        <v>58</v>
      </c>
      <c r="C71" s="6">
        <f>[1]Emissions!B823</f>
        <v>15.22020024</v>
      </c>
      <c r="D71" s="6">
        <f>[1]Emissions!C823</f>
        <v>15.467027610000001</v>
      </c>
      <c r="E71" s="6">
        <f>[1]Emissions!D823</f>
        <v>15.747909760000001</v>
      </c>
      <c r="F71" s="6">
        <f>[1]Emissions!E823</f>
        <v>16.05069825</v>
      </c>
      <c r="G71" s="6">
        <f>[1]Emissions!F823</f>
        <v>16.37725618</v>
      </c>
      <c r="H71" s="6">
        <f>[1]Emissions!G823</f>
        <v>16.7285301</v>
      </c>
      <c r="I71" s="6">
        <f>[1]Emissions!H823</f>
        <v>17.10218003</v>
      </c>
      <c r="J71" s="6">
        <f>[1]Emissions!I823</f>
        <v>17.491727619999999</v>
      </c>
      <c r="K71" s="6">
        <f>[1]Emissions!J823</f>
        <v>17.893440989999998</v>
      </c>
      <c r="L71" s="6">
        <f>[1]Emissions!K823</f>
        <v>18.305995339999999</v>
      </c>
      <c r="M71" s="6">
        <f>[1]Emissions!L823</f>
        <v>18.719981199999999</v>
      </c>
      <c r="N71" s="6">
        <f>[1]Emissions!M823</f>
        <v>19.09750901</v>
      </c>
      <c r="O71" s="6">
        <f>[1]Emissions!N823</f>
        <v>19.443306440000001</v>
      </c>
      <c r="P71" s="6">
        <f>[1]Emissions!O823</f>
        <v>19.766241099999998</v>
      </c>
      <c r="Q71" s="6">
        <f>[1]Emissions!P823</f>
        <v>20.07676536</v>
      </c>
      <c r="R71" s="6">
        <f>[1]Emissions!Q823</f>
        <v>20.384694870000001</v>
      </c>
      <c r="S71" s="6">
        <f>[1]Emissions!R823</f>
        <v>20.703489309999998</v>
      </c>
      <c r="T71" s="6">
        <f>[1]Emissions!S823</f>
        <v>21.043891649999999</v>
      </c>
      <c r="U71" s="6">
        <f>[1]Emissions!T823</f>
        <v>21.413205659999999</v>
      </c>
      <c r="V71" s="6">
        <f>[1]Emissions!U823</f>
        <v>21.81540871</v>
      </c>
      <c r="W71" s="6">
        <f>[1]Emissions!V823</f>
        <v>22.252076110000001</v>
      </c>
      <c r="X71" s="6">
        <f>[1]Emissions!W823</f>
        <v>22.72663412</v>
      </c>
      <c r="Y71" s="6">
        <f>[1]Emissions!X823</f>
        <v>23.242367689999998</v>
      </c>
      <c r="Z71" s="6">
        <f>[1]Emissions!Y823</f>
        <v>23.801597409999999</v>
      </c>
      <c r="AA71" s="6">
        <f>[1]Emissions!Z823</f>
        <v>24.404903610000002</v>
      </c>
      <c r="AB71" s="6">
        <f>[1]Emissions!AA823</f>
        <v>25.048984520000001</v>
      </c>
      <c r="AC71" s="6">
        <f>[1]Emissions!AB823</f>
        <v>25.712337420000001</v>
      </c>
      <c r="AD71" s="6">
        <f>[1]Emissions!AC823</f>
        <v>26.396657430000001</v>
      </c>
      <c r="AE71" s="6">
        <f>[1]Emissions!AD823</f>
        <v>27.10773897</v>
      </c>
      <c r="AF71" s="6">
        <f>[1]Emissions!AE823</f>
        <v>27.84623126</v>
      </c>
      <c r="AG71" s="6">
        <f>[1]Emissions!AF823</f>
        <v>28.60852766</v>
      </c>
      <c r="AH71" s="6">
        <f>[1]Emissions!AG823</f>
        <v>29.390148360000001</v>
      </c>
      <c r="AI71" s="6">
        <f>[1]Emissions!AH823</f>
        <v>30.187117409999999</v>
      </c>
      <c r="AJ71" s="6">
        <f>[1]Emissions!AI823</f>
        <v>30.995755930000001</v>
      </c>
      <c r="AK71" s="6">
        <f>[1]Emissions!AJ823</f>
        <v>31.812520299999999</v>
      </c>
      <c r="AL71" s="6">
        <f>[1]Emissions!AK823</f>
        <v>32.633878840000001</v>
      </c>
    </row>
    <row r="72" spans="1:38" x14ac:dyDescent="0.35">
      <c r="A72" s="12"/>
      <c r="B72" t="str">
        <f>B64</f>
        <v>NZ50</v>
      </c>
      <c r="C72" s="6">
        <f>[1]Emissions!B825</f>
        <v>347.96455589999999</v>
      </c>
      <c r="D72" s="6">
        <f>[1]Emissions!C825</f>
        <v>348.33817060000001</v>
      </c>
      <c r="E72" s="6">
        <f>[1]Emissions!D825</f>
        <v>348.92546859999999</v>
      </c>
      <c r="F72" s="6">
        <f>[1]Emissions!E825</f>
        <v>349.38159530000001</v>
      </c>
      <c r="G72" s="6">
        <f>[1]Emissions!F825</f>
        <v>351.90917400000001</v>
      </c>
      <c r="H72" s="6">
        <f>[1]Emissions!G825</f>
        <v>356.04351329999997</v>
      </c>
      <c r="I72" s="6">
        <f>[1]Emissions!H825</f>
        <v>361.61399030000001</v>
      </c>
      <c r="J72" s="6">
        <f>[1]Emissions!I825</f>
        <v>364.17928590000002</v>
      </c>
      <c r="K72" s="6">
        <f>[1]Emissions!J825</f>
        <v>363.84600469999998</v>
      </c>
      <c r="L72" s="6">
        <f>[1]Emissions!K825</f>
        <v>362.11428389999998</v>
      </c>
      <c r="M72" s="6">
        <f>[1]Emissions!L825</f>
        <v>356.90350919999997</v>
      </c>
      <c r="N72" s="6">
        <f>[1]Emissions!M825</f>
        <v>354.31403419999998</v>
      </c>
      <c r="O72" s="6">
        <f>[1]Emissions!N825</f>
        <v>352.69193630000001</v>
      </c>
      <c r="P72" s="6">
        <f>[1]Emissions!O825</f>
        <v>351.72633980000001</v>
      </c>
      <c r="Q72" s="6">
        <f>[1]Emissions!P825</f>
        <v>351.29867330000002</v>
      </c>
      <c r="R72" s="6">
        <f>[1]Emissions!Q825</f>
        <v>351.31684689999997</v>
      </c>
      <c r="S72" s="6">
        <f>[1]Emissions!R825</f>
        <v>349.25025979999998</v>
      </c>
      <c r="T72" s="6">
        <f>[1]Emissions!S825</f>
        <v>347.18624219999998</v>
      </c>
      <c r="U72" s="6">
        <f>[1]Emissions!T825</f>
        <v>344.33975429999998</v>
      </c>
      <c r="V72" s="6">
        <f>[1]Emissions!U825</f>
        <v>339.03035899999998</v>
      </c>
      <c r="W72" s="6">
        <f>[1]Emissions!V825</f>
        <v>333.49951299999998</v>
      </c>
      <c r="X72" s="6">
        <f>[1]Emissions!W825</f>
        <v>328.09119920000001</v>
      </c>
      <c r="Y72" s="6">
        <f>[1]Emissions!X825</f>
        <v>322.89490009999997</v>
      </c>
      <c r="Z72" s="6">
        <f>[1]Emissions!Y825</f>
        <v>318.04318009999997</v>
      </c>
      <c r="AA72" s="6">
        <f>[1]Emissions!Z825</f>
        <v>313.69455859999999</v>
      </c>
      <c r="AB72" s="6">
        <f>[1]Emissions!AA825</f>
        <v>309.94583940000001</v>
      </c>
      <c r="AC72" s="6">
        <f>[1]Emissions!AB825</f>
        <v>304.47614629999998</v>
      </c>
      <c r="AD72" s="6">
        <f>[1]Emissions!AC825</f>
        <v>299.06500729999999</v>
      </c>
      <c r="AE72" s="6">
        <f>[1]Emissions!AD825</f>
        <v>294.40081730000003</v>
      </c>
      <c r="AF72" s="6">
        <f>[1]Emissions!AE825</f>
        <v>290.60376300000001</v>
      </c>
      <c r="AG72" s="6">
        <f>[1]Emissions!AF825</f>
        <v>287.58965910000001</v>
      </c>
      <c r="AH72" s="6">
        <f>[1]Emissions!AG825</f>
        <v>285.30553809999998</v>
      </c>
      <c r="AI72" s="6">
        <f>[1]Emissions!AH825</f>
        <v>283.62546839999999</v>
      </c>
      <c r="AJ72" s="6">
        <f>[1]Emissions!AI825</f>
        <v>282.43901</v>
      </c>
      <c r="AK72" s="6">
        <f>[1]Emissions!AJ825</f>
        <v>281.65498789999998</v>
      </c>
      <c r="AL72" s="6">
        <f>[1]Emissions!AK825</f>
        <v>281.20055170000001</v>
      </c>
    </row>
    <row r="73" spans="1:38" x14ac:dyDescent="0.35">
      <c r="A73" s="9"/>
      <c r="B73" t="s">
        <v>27</v>
      </c>
      <c r="C73" s="6">
        <f>[1]Emissions!B829</f>
        <v>119.49049309999999</v>
      </c>
      <c r="D73" s="6">
        <f>[1]Emissions!C829</f>
        <v>118.3791564</v>
      </c>
      <c r="E73" s="6">
        <f>[1]Emissions!D829</f>
        <v>117.1436152</v>
      </c>
      <c r="F73" s="6">
        <f>[1]Emissions!E829</f>
        <v>115.9595221</v>
      </c>
      <c r="G73" s="6">
        <f>[1]Emissions!F829</f>
        <v>115.4248157</v>
      </c>
      <c r="H73" s="6">
        <f>[1]Emissions!G829</f>
        <v>115.30188510000001</v>
      </c>
      <c r="I73" s="6">
        <f>[1]Emissions!H829</f>
        <v>115.4221881</v>
      </c>
      <c r="J73" s="6">
        <f>[1]Emissions!I829</f>
        <v>115.00401050000001</v>
      </c>
      <c r="K73" s="6">
        <f>[1]Emissions!J829</f>
        <v>113.9834144</v>
      </c>
      <c r="L73" s="6">
        <f>[1]Emissions!K829</f>
        <v>112.5809057</v>
      </c>
      <c r="M73" s="6">
        <f>[1]Emissions!L829</f>
        <v>110.59106130000001</v>
      </c>
      <c r="N73" s="6">
        <f>[1]Emissions!M829</f>
        <v>109.5492644</v>
      </c>
      <c r="O73" s="6">
        <f>[1]Emissions!N829</f>
        <v>108.93490660000001</v>
      </c>
      <c r="P73" s="6">
        <f>[1]Emissions!O829</f>
        <v>108.4690895</v>
      </c>
      <c r="Q73" s="6">
        <f>[1]Emissions!P829</f>
        <v>108.010132</v>
      </c>
      <c r="R73" s="6">
        <f>[1]Emissions!Q829</f>
        <v>107.4908768</v>
      </c>
      <c r="S73" s="6">
        <f>[1]Emissions!R829</f>
        <v>106.3583165</v>
      </c>
      <c r="T73" s="6">
        <f>[1]Emissions!S829</f>
        <v>105.0746472</v>
      </c>
      <c r="U73" s="6">
        <f>[1]Emissions!T829</f>
        <v>103.2497436</v>
      </c>
      <c r="V73" s="6">
        <f>[1]Emissions!U829</f>
        <v>100.0439813</v>
      </c>
      <c r="W73" s="6">
        <f>[1]Emissions!V829</f>
        <v>96.528634690000004</v>
      </c>
      <c r="X73" s="6">
        <f>[1]Emissions!W829</f>
        <v>92.829315940000001</v>
      </c>
      <c r="Y73" s="6">
        <f>[1]Emissions!X829</f>
        <v>88.951490789999994</v>
      </c>
      <c r="Z73" s="6">
        <f>[1]Emissions!Y829</f>
        <v>84.929914190000005</v>
      </c>
      <c r="AA73" s="6">
        <f>[1]Emissions!Z829</f>
        <v>80.816974979999998</v>
      </c>
      <c r="AB73" s="6">
        <f>[1]Emissions!AA829</f>
        <v>76.628853000000007</v>
      </c>
      <c r="AC73" s="6">
        <f>[1]Emissions!AB829</f>
        <v>72.497057409999996</v>
      </c>
      <c r="AD73" s="6">
        <f>[1]Emissions!AC829</f>
        <v>68.456045470000007</v>
      </c>
      <c r="AE73" s="6">
        <f>[1]Emissions!AD829</f>
        <v>64.544584560000004</v>
      </c>
      <c r="AF73" s="6">
        <f>[1]Emissions!AE829</f>
        <v>60.798974459999997</v>
      </c>
      <c r="AG73" s="6">
        <f>[1]Emissions!AF829</f>
        <v>57.249134589999997</v>
      </c>
      <c r="AH73" s="6">
        <f>[1]Emissions!AG829</f>
        <v>53.937882260000002</v>
      </c>
      <c r="AI73" s="6">
        <f>[1]Emissions!AH829</f>
        <v>50.871431260000001</v>
      </c>
      <c r="AJ73" s="6">
        <f>[1]Emissions!AI829</f>
        <v>48.054863419999997</v>
      </c>
      <c r="AK73" s="6">
        <f>[1]Emissions!AJ829</f>
        <v>45.490465759999999</v>
      </c>
      <c r="AL73" s="6">
        <f>[1]Emissions!AK829</f>
        <v>43.17644584</v>
      </c>
    </row>
    <row r="74" spans="1:38" x14ac:dyDescent="0.35">
      <c r="A74" s="9"/>
      <c r="B74" t="s">
        <v>28</v>
      </c>
      <c r="C74" s="6">
        <f>SUM(C75:C77)</f>
        <v>228.47406275590001</v>
      </c>
      <c r="D74" s="6">
        <f t="shared" ref="D74:AL74" si="5">SUM(D75:D77)</f>
        <v>229.95901430039999</v>
      </c>
      <c r="E74" s="6">
        <f t="shared" si="5"/>
        <v>231.78185346889998</v>
      </c>
      <c r="F74" s="6">
        <f t="shared" si="5"/>
        <v>233.42207316460002</v>
      </c>
      <c r="G74" s="6">
        <f t="shared" si="5"/>
        <v>236.48435828980001</v>
      </c>
      <c r="H74" s="6">
        <f t="shared" si="5"/>
        <v>240.74162820909999</v>
      </c>
      <c r="I74" s="6">
        <f t="shared" si="5"/>
        <v>246.1918021923</v>
      </c>
      <c r="J74" s="6">
        <f t="shared" si="5"/>
        <v>249.17527540360001</v>
      </c>
      <c r="K74" s="6">
        <f t="shared" si="5"/>
        <v>249.86259027789998</v>
      </c>
      <c r="L74" s="6">
        <f t="shared" si="5"/>
        <v>249.53337817120001</v>
      </c>
      <c r="M74" s="6">
        <f t="shared" si="5"/>
        <v>246.31244787</v>
      </c>
      <c r="N74" s="6">
        <f t="shared" si="5"/>
        <v>244.76476975610001</v>
      </c>
      <c r="O74" s="6">
        <f t="shared" si="5"/>
        <v>243.75702961830001</v>
      </c>
      <c r="P74" s="6">
        <f t="shared" si="5"/>
        <v>243.25725024559998</v>
      </c>
      <c r="Q74" s="6">
        <f t="shared" si="5"/>
        <v>243.28854127220001</v>
      </c>
      <c r="R74" s="6">
        <f t="shared" si="5"/>
        <v>243.82597001210002</v>
      </c>
      <c r="S74" s="6">
        <f t="shared" si="5"/>
        <v>242.89194337959998</v>
      </c>
      <c r="T74" s="6">
        <f t="shared" si="5"/>
        <v>242.11159492740001</v>
      </c>
      <c r="U74" s="6">
        <f t="shared" si="5"/>
        <v>241.09001073339996</v>
      </c>
      <c r="V74" s="6">
        <f t="shared" si="5"/>
        <v>238.98637772929999</v>
      </c>
      <c r="W74" s="6">
        <f t="shared" si="5"/>
        <v>236.9708783282</v>
      </c>
      <c r="X74" s="6">
        <f t="shared" si="5"/>
        <v>235.26188329510001</v>
      </c>
      <c r="Y74" s="6">
        <f t="shared" si="5"/>
        <v>233.94340930939998</v>
      </c>
      <c r="Z74" s="6">
        <f t="shared" si="5"/>
        <v>233.11326592009999</v>
      </c>
      <c r="AA74" s="6">
        <f t="shared" si="5"/>
        <v>232.87758363200001</v>
      </c>
      <c r="AB74" s="6">
        <f t="shared" si="5"/>
        <v>233.31698645660001</v>
      </c>
      <c r="AC74" s="6">
        <f t="shared" si="5"/>
        <v>231.97908889289999</v>
      </c>
      <c r="AD74" s="6">
        <f t="shared" si="5"/>
        <v>230.6089618112</v>
      </c>
      <c r="AE74" s="6">
        <f t="shared" si="5"/>
        <v>229.8562326935</v>
      </c>
      <c r="AF74" s="6">
        <f t="shared" si="5"/>
        <v>229.80478848679996</v>
      </c>
      <c r="AG74" s="6">
        <f t="shared" si="5"/>
        <v>230.34052450990001</v>
      </c>
      <c r="AH74" s="6">
        <f t="shared" si="5"/>
        <v>231.36765576900001</v>
      </c>
      <c r="AI74" s="6">
        <f t="shared" si="5"/>
        <v>232.75403708600001</v>
      </c>
      <c r="AJ74" s="6">
        <f t="shared" si="5"/>
        <v>234.38414657640001</v>
      </c>
      <c r="AK74" s="6">
        <f t="shared" si="5"/>
        <v>236.1645221636</v>
      </c>
      <c r="AL74" s="6">
        <f t="shared" si="5"/>
        <v>238.02410589160002</v>
      </c>
    </row>
    <row r="75" spans="1:38" x14ac:dyDescent="0.35">
      <c r="A75" s="9"/>
      <c r="B75" t="s">
        <v>56</v>
      </c>
      <c r="C75" s="5">
        <f>[1]Emissions!B826</f>
        <v>213.2263312</v>
      </c>
      <c r="D75" s="5">
        <f>[1]Emissions!C826</f>
        <v>214.46399589999999</v>
      </c>
      <c r="E75" s="5">
        <f>[1]Emissions!D826</f>
        <v>216.00540839999999</v>
      </c>
      <c r="F75" s="5">
        <f>[1]Emissions!E826</f>
        <v>217.3422104</v>
      </c>
      <c r="G75" s="5">
        <f>[1]Emissions!F826</f>
        <v>220.077237</v>
      </c>
      <c r="H75" s="5">
        <f>[1]Emissions!G826</f>
        <v>223.98246589999999</v>
      </c>
      <c r="I75" s="5">
        <f>[1]Emissions!H826</f>
        <v>229.05414949999999</v>
      </c>
      <c r="J75" s="5">
        <f>[1]Emissions!I826</f>
        <v>231.70614470000001</v>
      </c>
      <c r="K75" s="5">
        <f>[1]Emissions!J826</f>
        <v>232.07684459999999</v>
      </c>
      <c r="L75" s="5">
        <f>[1]Emissions!K826</f>
        <v>231.39828700000001</v>
      </c>
      <c r="M75" s="5">
        <f>[1]Emissions!L826</f>
        <v>227.8506199</v>
      </c>
      <c r="N75" s="5">
        <f>[1]Emissions!M826</f>
        <v>226.02228210000001</v>
      </c>
      <c r="O75" s="5">
        <f>[1]Emissions!N826</f>
        <v>224.7635243</v>
      </c>
      <c r="P75" s="5">
        <f>[1]Emissions!O826</f>
        <v>224.02622489999999</v>
      </c>
      <c r="Q75" s="5">
        <f>[1]Emissions!P826</f>
        <v>223.81943229999999</v>
      </c>
      <c r="R75" s="5">
        <f>[1]Emissions!Q826</f>
        <v>224.1101118</v>
      </c>
      <c r="S75" s="5">
        <f>[1]Emissions!R826</f>
        <v>222.9157553</v>
      </c>
      <c r="T75" s="5">
        <f>[1]Emissions!S826</f>
        <v>221.8616596</v>
      </c>
      <c r="U75" s="5">
        <f>[1]Emissions!T826</f>
        <v>220.54886149999999</v>
      </c>
      <c r="V75" s="5">
        <f>[1]Emissions!U826</f>
        <v>218.13297109999999</v>
      </c>
      <c r="W75" s="5">
        <f>[1]Emissions!V826</f>
        <v>215.78305470000001</v>
      </c>
      <c r="X75" s="5">
        <f>[1]Emissions!W826</f>
        <v>213.7097785</v>
      </c>
      <c r="Y75" s="5">
        <f>[1]Emissions!X826</f>
        <v>211.99136089999999</v>
      </c>
      <c r="Z75" s="5">
        <f>[1]Emissions!Y826</f>
        <v>210.72275379999999</v>
      </c>
      <c r="AA75" s="5">
        <f>[1]Emissions!Z826</f>
        <v>210.009759</v>
      </c>
      <c r="AB75" s="5">
        <f>[1]Emissions!AA826</f>
        <v>209.93685859999999</v>
      </c>
      <c r="AC75" s="5">
        <f>[1]Emissions!AB826</f>
        <v>208.07353749999999</v>
      </c>
      <c r="AD75" s="5">
        <f>[1]Emissions!AC826</f>
        <v>206.1598262</v>
      </c>
      <c r="AE75" s="5">
        <f>[1]Emissions!AD826</f>
        <v>204.8403021</v>
      </c>
      <c r="AF75" s="5">
        <f>[1]Emissions!AE826</f>
        <v>204.19908899999999</v>
      </c>
      <c r="AG75" s="5">
        <f>[1]Emissions!AF826</f>
        <v>204.12634009999999</v>
      </c>
      <c r="AH75" s="5">
        <f>[1]Emissions!AG826</f>
        <v>204.5288644</v>
      </c>
      <c r="AI75" s="5">
        <f>[1]Emissions!AH826</f>
        <v>205.27782640000001</v>
      </c>
      <c r="AJ75" s="5">
        <f>[1]Emissions!AI826</f>
        <v>206.2619196</v>
      </c>
      <c r="AK75" s="5">
        <f>[1]Emissions!AJ826</f>
        <v>207.3922781</v>
      </c>
      <c r="AL75" s="5">
        <f>[1]Emissions!AK826</f>
        <v>208.6025104</v>
      </c>
    </row>
    <row r="76" spans="1:38" x14ac:dyDescent="0.35">
      <c r="A76" s="9"/>
      <c r="B76" t="s">
        <v>57</v>
      </c>
      <c r="C76" s="5">
        <f>[1]Emissions!B827</f>
        <v>2.7531315899999999E-2</v>
      </c>
      <c r="D76" s="5">
        <f>[1]Emissions!C827</f>
        <v>2.79907904E-2</v>
      </c>
      <c r="E76" s="5">
        <f>[1]Emissions!D827</f>
        <v>2.85353089E-2</v>
      </c>
      <c r="F76" s="5">
        <f>[1]Emissions!E827</f>
        <v>2.91645146E-2</v>
      </c>
      <c r="G76" s="5">
        <f>[1]Emissions!F827</f>
        <v>2.9865119799999999E-2</v>
      </c>
      <c r="H76" s="5">
        <f>[1]Emissions!G827</f>
        <v>3.0632209099999998E-2</v>
      </c>
      <c r="I76" s="5">
        <f>[1]Emissions!H827</f>
        <v>3.1452012299999998E-2</v>
      </c>
      <c r="J76" s="5">
        <f>[1]Emissions!I827</f>
        <v>3.2172193600000003E-2</v>
      </c>
      <c r="K76" s="5">
        <f>[1]Emissions!J827</f>
        <v>3.2902337900000002E-2</v>
      </c>
      <c r="L76" s="5">
        <f>[1]Emissions!K827</f>
        <v>3.3792011199999999E-2</v>
      </c>
      <c r="M76" s="5">
        <f>[1]Emissions!L827</f>
        <v>3.4677489999999998E-2</v>
      </c>
      <c r="N76" s="5">
        <f>[1]Emissions!M827</f>
        <v>3.5402346100000003E-2</v>
      </c>
      <c r="O76" s="5">
        <f>[1]Emissions!N827</f>
        <v>3.6006328300000001E-2</v>
      </c>
      <c r="P76" s="5">
        <f>[1]Emissions!O827</f>
        <v>3.65270356E-2</v>
      </c>
      <c r="Q76" s="5">
        <f>[1]Emissions!P827</f>
        <v>3.7003002200000003E-2</v>
      </c>
      <c r="R76" s="5">
        <f>[1]Emissions!Q827</f>
        <v>3.7459102100000002E-2</v>
      </c>
      <c r="S76" s="5">
        <f>[1]Emissions!R827</f>
        <v>3.79157496E-2</v>
      </c>
      <c r="T76" s="5">
        <f>[1]Emissions!S827</f>
        <v>3.8386527400000002E-2</v>
      </c>
      <c r="U76" s="5">
        <f>[1]Emissions!T827</f>
        <v>3.8887643399999998E-2</v>
      </c>
      <c r="V76" s="5">
        <f>[1]Emissions!U827</f>
        <v>3.9430529300000003E-2</v>
      </c>
      <c r="W76" s="5">
        <f>[1]Emissions!V827</f>
        <v>4.0020318200000002E-2</v>
      </c>
      <c r="X76" s="5">
        <f>[1]Emissions!W827</f>
        <v>4.0669295100000002E-2</v>
      </c>
      <c r="Y76" s="5">
        <f>[1]Emissions!X827</f>
        <v>4.1390959400000003E-2</v>
      </c>
      <c r="Z76" s="5">
        <f>[1]Emissions!Y827</f>
        <v>4.2192830100000002E-2</v>
      </c>
      <c r="AA76" s="5">
        <f>[1]Emissions!Z827</f>
        <v>4.3076162000000001E-2</v>
      </c>
      <c r="AB76" s="5">
        <f>[1]Emissions!AA827</f>
        <v>4.4024816600000002E-2</v>
      </c>
      <c r="AC76" s="5">
        <f>[1]Emissions!AB827</f>
        <v>4.5034232899999999E-2</v>
      </c>
      <c r="AD76" s="5">
        <f>[1]Emissions!AC827</f>
        <v>4.6120141199999999E-2</v>
      </c>
      <c r="AE76" s="5">
        <f>[1]Emissions!AD827</f>
        <v>4.7288003500000002E-2</v>
      </c>
      <c r="AF76" s="5">
        <f>[1]Emissions!AE827</f>
        <v>4.8531706799999998E-2</v>
      </c>
      <c r="AG76" s="5">
        <f>[1]Emissions!AF827</f>
        <v>4.9838569899999997E-2</v>
      </c>
      <c r="AH76" s="5">
        <f>[1]Emissions!AG827</f>
        <v>5.1193949000000002E-2</v>
      </c>
      <c r="AI76" s="5">
        <f>[1]Emissions!AH827</f>
        <v>5.2589245999999999E-2</v>
      </c>
      <c r="AJ76" s="5">
        <f>[1]Emissions!AI827</f>
        <v>5.4014876400000002E-2</v>
      </c>
      <c r="AK76" s="5">
        <f>[1]Emissions!AJ827</f>
        <v>5.5460513599999997E-2</v>
      </c>
      <c r="AL76" s="5">
        <f>[1]Emissions!AK827</f>
        <v>5.6915401599999998E-2</v>
      </c>
    </row>
    <row r="77" spans="1:38" x14ac:dyDescent="0.35">
      <c r="B77" t="s">
        <v>58</v>
      </c>
      <c r="C77" s="5">
        <f>[1]Emissions!B828</f>
        <v>15.22020024</v>
      </c>
      <c r="D77" s="5">
        <f>[1]Emissions!C828</f>
        <v>15.467027610000001</v>
      </c>
      <c r="E77" s="5">
        <f>[1]Emissions!D828</f>
        <v>15.747909760000001</v>
      </c>
      <c r="F77" s="5">
        <f>[1]Emissions!E828</f>
        <v>16.05069825</v>
      </c>
      <c r="G77" s="5">
        <f>[1]Emissions!F828</f>
        <v>16.377256169999999</v>
      </c>
      <c r="H77" s="5">
        <f>[1]Emissions!G828</f>
        <v>16.7285301</v>
      </c>
      <c r="I77" s="5">
        <f>[1]Emissions!H828</f>
        <v>17.106200680000001</v>
      </c>
      <c r="J77" s="5">
        <f>[1]Emissions!I828</f>
        <v>17.43695851</v>
      </c>
      <c r="K77" s="5">
        <f>[1]Emissions!J828</f>
        <v>17.752843339999998</v>
      </c>
      <c r="L77" s="5">
        <f>[1]Emissions!K828</f>
        <v>18.10129916</v>
      </c>
      <c r="M77" s="5">
        <f>[1]Emissions!L828</f>
        <v>18.427150480000002</v>
      </c>
      <c r="N77" s="5">
        <f>[1]Emissions!M828</f>
        <v>18.70708531</v>
      </c>
      <c r="O77" s="5">
        <f>[1]Emissions!N828</f>
        <v>18.957498990000001</v>
      </c>
      <c r="P77" s="5">
        <f>[1]Emissions!O828</f>
        <v>19.19449831</v>
      </c>
      <c r="Q77" s="5">
        <f>[1]Emissions!P828</f>
        <v>19.432105969999999</v>
      </c>
      <c r="R77" s="5">
        <f>[1]Emissions!Q828</f>
        <v>19.678399110000001</v>
      </c>
      <c r="S77" s="5">
        <f>[1]Emissions!R828</f>
        <v>19.93827233</v>
      </c>
      <c r="T77" s="5">
        <f>[1]Emissions!S828</f>
        <v>20.211548799999999</v>
      </c>
      <c r="U77" s="5">
        <f>[1]Emissions!T828</f>
        <v>20.50226159</v>
      </c>
      <c r="V77" s="5">
        <f>[1]Emissions!U828</f>
        <v>20.813976100000001</v>
      </c>
      <c r="W77" s="5">
        <f>[1]Emissions!V828</f>
        <v>21.14780331</v>
      </c>
      <c r="X77" s="5">
        <f>[1]Emissions!W828</f>
        <v>21.511435500000001</v>
      </c>
      <c r="Y77" s="5">
        <f>[1]Emissions!X828</f>
        <v>21.910657449999999</v>
      </c>
      <c r="Z77" s="5">
        <f>[1]Emissions!Y828</f>
        <v>22.348319289999999</v>
      </c>
      <c r="AA77" s="5">
        <f>[1]Emissions!Z828</f>
        <v>22.824748469999999</v>
      </c>
      <c r="AB77" s="5">
        <f>[1]Emissions!AA828</f>
        <v>23.336103040000001</v>
      </c>
      <c r="AC77" s="5">
        <f>[1]Emissions!AB828</f>
        <v>23.860517160000001</v>
      </c>
      <c r="AD77" s="5">
        <f>[1]Emissions!AC828</f>
        <v>24.40301547</v>
      </c>
      <c r="AE77" s="5">
        <f>[1]Emissions!AD828</f>
        <v>24.968642590000002</v>
      </c>
      <c r="AF77" s="5">
        <f>[1]Emissions!AE828</f>
        <v>25.55716778</v>
      </c>
      <c r="AG77" s="5">
        <f>[1]Emissions!AF828</f>
        <v>26.164345839999999</v>
      </c>
      <c r="AH77" s="5">
        <f>[1]Emissions!AG828</f>
        <v>26.787597420000001</v>
      </c>
      <c r="AI77" s="5">
        <f>[1]Emissions!AH828</f>
        <v>27.423621440000002</v>
      </c>
      <c r="AJ77" s="5">
        <f>[1]Emissions!AI828</f>
        <v>28.0682121</v>
      </c>
      <c r="AK77" s="5">
        <f>[1]Emissions!AJ828</f>
        <v>28.716783549999999</v>
      </c>
      <c r="AL77" s="5">
        <f>[1]Emissions!AK828</f>
        <v>29.36468009</v>
      </c>
    </row>
    <row r="78" spans="1:38" x14ac:dyDescent="0.35">
      <c r="B78" t="s">
        <v>15</v>
      </c>
      <c r="C78" s="6">
        <f>[1]Results!F1551</f>
        <v>1966068.348</v>
      </c>
      <c r="D78" s="6">
        <f>[1]Results!G1551</f>
        <v>2002095.1569999999</v>
      </c>
      <c r="E78" s="6">
        <f>[1]Results!H1551</f>
        <v>2041583.284</v>
      </c>
      <c r="F78" s="6">
        <f>[1]Results!I1551</f>
        <v>2084846.263</v>
      </c>
      <c r="G78" s="6">
        <f>[1]Results!J1551</f>
        <v>2131129.665</v>
      </c>
      <c r="H78" s="6">
        <f>[1]Results!K1551</f>
        <v>2180235.781</v>
      </c>
      <c r="I78" s="6">
        <f>[1]Results!L1551</f>
        <v>2230715.0249999999</v>
      </c>
      <c r="J78" s="6">
        <f>[1]Results!M1551</f>
        <v>2282506.7880000002</v>
      </c>
      <c r="K78" s="6">
        <f>[1]Results!N1551</f>
        <v>2335428.0690000001</v>
      </c>
      <c r="L78" s="6">
        <f>[1]Results!O1551</f>
        <v>2389422.3790000002</v>
      </c>
      <c r="M78" s="6">
        <f>[1]Results!P1551</f>
        <v>2443096.39</v>
      </c>
      <c r="N78" s="6">
        <f>[1]Results!Q1551</f>
        <v>2490722.298</v>
      </c>
      <c r="O78" s="6">
        <f>[1]Results!R1551</f>
        <v>2533950.736</v>
      </c>
      <c r="P78" s="6">
        <f>[1]Results!S1551</f>
        <v>2573636.8450000002</v>
      </c>
      <c r="Q78" s="6">
        <f>[1]Results!T1551</f>
        <v>2610941.9350000001</v>
      </c>
      <c r="R78" s="6">
        <f>[1]Results!U1551</f>
        <v>2647018.3429999999</v>
      </c>
      <c r="S78" s="6">
        <f>[1]Results!V1551</f>
        <v>2683567.716</v>
      </c>
      <c r="T78" s="6">
        <f>[1]Results!W1551</f>
        <v>2721824.148</v>
      </c>
      <c r="U78" s="6">
        <f>[1]Results!X1551</f>
        <v>2762644.9789999998</v>
      </c>
      <c r="V78" s="6">
        <f>[1]Results!Y1551</f>
        <v>2806512.9040000001</v>
      </c>
      <c r="W78" s="6">
        <f>[1]Results!Z1551</f>
        <v>2853526.8330000001</v>
      </c>
      <c r="X78" s="6">
        <f>[1]Results!AA1551</f>
        <v>2904489.7740000002</v>
      </c>
      <c r="Y78" s="6">
        <f>[1]Results!AB1551</f>
        <v>2959788.682</v>
      </c>
      <c r="Z78" s="6">
        <f>[1]Results!AC1551</f>
        <v>3019657.4730000002</v>
      </c>
      <c r="AA78" s="6">
        <f>[1]Results!AD1551</f>
        <v>3084041.963</v>
      </c>
      <c r="AB78" s="6">
        <f>[1]Results!AE1551</f>
        <v>3151935.74</v>
      </c>
      <c r="AC78" s="6">
        <f>[1]Results!AF1551</f>
        <v>3224760.8870000001</v>
      </c>
      <c r="AD78" s="6">
        <f>[1]Results!AG1551</f>
        <v>3301991.5070000002</v>
      </c>
      <c r="AE78" s="6">
        <f>[1]Results!AH1551</f>
        <v>3383489.642</v>
      </c>
      <c r="AF78" s="6">
        <f>[1]Results!AI1551</f>
        <v>3468725.7030000002</v>
      </c>
      <c r="AG78" s="6">
        <f>[1]Results!AJ1551</f>
        <v>3556937.2760000001</v>
      </c>
      <c r="AH78" s="6">
        <f>[1]Results!AK1551</f>
        <v>3647465.9840000002</v>
      </c>
      <c r="AI78" s="6">
        <f>[1]Results!AL1551</f>
        <v>3739780.949</v>
      </c>
      <c r="AJ78" s="6">
        <f>[1]Results!AM1551</f>
        <v>3833373.02</v>
      </c>
      <c r="AK78" s="6">
        <f>[1]Results!AN1551</f>
        <v>3927735.0320000001</v>
      </c>
      <c r="AL78" s="6">
        <f>[1]Results!AO1551</f>
        <v>4022352.7370000002</v>
      </c>
    </row>
    <row r="79" spans="1:38" x14ac:dyDescent="0.35">
      <c r="A79" t="s">
        <v>13</v>
      </c>
      <c r="B79" t="s">
        <v>7</v>
      </c>
      <c r="C79" s="6">
        <f>[1]Results!F1552</f>
        <v>36093.471129999998</v>
      </c>
      <c r="D79" s="6">
        <f>[1]Results!G1552</f>
        <v>36606.043689999999</v>
      </c>
      <c r="E79" s="6">
        <f>[1]Results!H1552</f>
        <v>37209.220630000003</v>
      </c>
      <c r="F79" s="6">
        <f>[1]Results!I1552</f>
        <v>37907.741439999998</v>
      </c>
      <c r="G79" s="6">
        <f>[1]Results!J1552</f>
        <v>38701.380250000002</v>
      </c>
      <c r="H79" s="6">
        <f>[1]Results!K1552</f>
        <v>39575.106310000003</v>
      </c>
      <c r="I79" s="6">
        <f>[1]Results!L1552</f>
        <v>40524.638509999997</v>
      </c>
      <c r="J79" s="6">
        <f>[1]Results!M1552</f>
        <v>41517.113279999998</v>
      </c>
      <c r="K79" s="6">
        <f>[1]Results!N1552</f>
        <v>42541.372049999998</v>
      </c>
      <c r="L79" s="6">
        <f>[1]Results!O1552</f>
        <v>43592.00733</v>
      </c>
      <c r="M79" s="6">
        <f>[1]Results!P1552</f>
        <v>44635.209150000002</v>
      </c>
      <c r="N79" s="6">
        <f>[1]Results!Q1552</f>
        <v>45523.326480000003</v>
      </c>
      <c r="O79" s="6">
        <f>[1]Results!R1552</f>
        <v>46310.324330000003</v>
      </c>
      <c r="P79" s="6">
        <f>[1]Results!S1552</f>
        <v>47019.318829999997</v>
      </c>
      <c r="Q79" s="6">
        <f>[1]Results!T1552</f>
        <v>47677.62846</v>
      </c>
      <c r="R79" s="6">
        <f>[1]Results!U1552</f>
        <v>48311.748370000001</v>
      </c>
      <c r="S79" s="6">
        <f>[1]Results!V1552</f>
        <v>48976.945330000002</v>
      </c>
      <c r="T79" s="6">
        <f>[1]Results!W1552</f>
        <v>49686.524369999999</v>
      </c>
      <c r="U79" s="6">
        <f>[1]Results!X1552</f>
        <v>50458.519480000003</v>
      </c>
      <c r="V79" s="6">
        <f>[1]Results!Y1552</f>
        <v>51303.77867</v>
      </c>
      <c r="W79" s="6">
        <f>[1]Results!Z1552</f>
        <v>52223.248070000001</v>
      </c>
      <c r="X79" s="6">
        <f>[1]Results!AA1552</f>
        <v>53238.40322</v>
      </c>
      <c r="Y79" s="6">
        <f>[1]Results!AB1552</f>
        <v>54357.463000000003</v>
      </c>
      <c r="Z79" s="6">
        <f>[1]Results!AC1552</f>
        <v>55585.717689999998</v>
      </c>
      <c r="AA79" s="6">
        <f>[1]Results!AD1552</f>
        <v>56922.363420000001</v>
      </c>
      <c r="AB79" s="6">
        <f>[1]Results!AE1552</f>
        <v>58341.553999999996</v>
      </c>
      <c r="AC79" s="6">
        <f>[1]Results!AF1552</f>
        <v>59725.546320000001</v>
      </c>
      <c r="AD79" s="6">
        <f>[1]Results!AG1552</f>
        <v>61168.394670000001</v>
      </c>
      <c r="AE79" s="6">
        <f>[1]Results!AH1552</f>
        <v>62699.266960000001</v>
      </c>
      <c r="AF79" s="6">
        <f>[1]Results!AI1552</f>
        <v>64311.92815</v>
      </c>
      <c r="AG79" s="6">
        <f>[1]Results!AJ1552</f>
        <v>65988.123489999998</v>
      </c>
      <c r="AH79" s="6">
        <f>[1]Results!AK1552</f>
        <v>67711.137220000004</v>
      </c>
      <c r="AI79" s="6">
        <f>[1]Results!AL1552</f>
        <v>69467.609500000006</v>
      </c>
      <c r="AJ79" s="6">
        <f>[1]Results!AM1552</f>
        <v>71244.997629999998</v>
      </c>
      <c r="AK79" s="6">
        <f>[1]Results!AN1552</f>
        <v>73031.157229999997</v>
      </c>
      <c r="AL79" s="6">
        <f>[1]Results!AO1552</f>
        <v>74814.120060000001</v>
      </c>
    </row>
    <row r="80" spans="1:38" x14ac:dyDescent="0.35">
      <c r="B80" t="s">
        <v>33</v>
      </c>
      <c r="C80" s="6">
        <f>[1]Results!F1555</f>
        <v>331632.60889999999</v>
      </c>
      <c r="D80" s="6">
        <f>[1]Results!G1555</f>
        <v>339679.97759999998</v>
      </c>
      <c r="E80" s="6">
        <f>[1]Results!H1555</f>
        <v>348003.6715</v>
      </c>
      <c r="F80" s="6">
        <f>[1]Results!I1555</f>
        <v>356886.93170000002</v>
      </c>
      <c r="G80" s="6">
        <f>[1]Results!J1555</f>
        <v>366290.91570000001</v>
      </c>
      <c r="H80" s="6">
        <f>[1]Results!K1555</f>
        <v>376180.22100000002</v>
      </c>
      <c r="I80" s="6">
        <f>[1]Results!L1555</f>
        <v>386457.48359999998</v>
      </c>
      <c r="J80" s="6">
        <f>[1]Results!M1555</f>
        <v>397063.25020000001</v>
      </c>
      <c r="K80" s="6">
        <f>[1]Results!N1555</f>
        <v>407978.49680000002</v>
      </c>
      <c r="L80" s="6">
        <f>[1]Results!O1555</f>
        <v>419213.46039999998</v>
      </c>
      <c r="M80" s="6">
        <f>[1]Results!P1555</f>
        <v>430332.34960000002</v>
      </c>
      <c r="N80" s="6">
        <f>[1]Results!Q1555</f>
        <v>439817.77169999998</v>
      </c>
      <c r="O80" s="6">
        <f>[1]Results!R1555</f>
        <v>448489.1249</v>
      </c>
      <c r="P80" s="6">
        <f>[1]Results!S1555</f>
        <v>456631.01699999999</v>
      </c>
      <c r="Q80" s="6">
        <f>[1]Results!T1555</f>
        <v>464554.3639</v>
      </c>
      <c r="R80" s="6">
        <f>[1]Results!U1555</f>
        <v>472518.91470000002</v>
      </c>
      <c r="S80" s="6">
        <f>[1]Results!V1555</f>
        <v>480882.14399999997</v>
      </c>
      <c r="T80" s="6">
        <f>[1]Results!W1555</f>
        <v>489887.25550000003</v>
      </c>
      <c r="U80" s="6">
        <f>[1]Results!X1555</f>
        <v>499691.02220000001</v>
      </c>
      <c r="V80" s="6">
        <f>[1]Results!Y1555</f>
        <v>510363.80959999998</v>
      </c>
      <c r="W80" s="6">
        <f>[1]Results!Z1555</f>
        <v>521937.45039999997</v>
      </c>
      <c r="X80" s="6">
        <f>[1]Results!AA1555</f>
        <v>534536.45759999997</v>
      </c>
      <c r="Y80" s="6">
        <f>[1]Results!AB1555</f>
        <v>548262.09840000002</v>
      </c>
      <c r="Z80" s="6">
        <f>[1]Results!AC1555</f>
        <v>563168.18949999998</v>
      </c>
      <c r="AA80" s="6">
        <f>[1]Results!AD1555</f>
        <v>579239.27590000001</v>
      </c>
      <c r="AB80" s="6">
        <f>[1]Results!AE1555</f>
        <v>596348.04009999998</v>
      </c>
      <c r="AC80" s="6">
        <f>[1]Results!AF1555</f>
        <v>614080.39419999998</v>
      </c>
      <c r="AD80" s="6">
        <f>[1]Results!AG1555</f>
        <v>632603.05460000003</v>
      </c>
      <c r="AE80" s="6">
        <f>[1]Results!AH1555</f>
        <v>652026.65209999995</v>
      </c>
      <c r="AF80" s="6">
        <f>[1]Results!AI1555</f>
        <v>672251.62410000002</v>
      </c>
      <c r="AG80" s="6">
        <f>[1]Results!AJ1555</f>
        <v>693105.19689999998</v>
      </c>
      <c r="AH80" s="6">
        <f>[1]Results!AK1555</f>
        <v>714457.84340000001</v>
      </c>
      <c r="AI80" s="6">
        <f>[1]Results!AL1555</f>
        <v>736218.33189999999</v>
      </c>
      <c r="AJ80" s="6">
        <f>[1]Results!AM1555</f>
        <v>758297.2058</v>
      </c>
      <c r="AK80" s="6">
        <f>[1]Results!AN1555</f>
        <v>780602.78960000002</v>
      </c>
      <c r="AL80" s="6">
        <f>[1]Results!AO1555</f>
        <v>803038.58920000005</v>
      </c>
    </row>
    <row r="81" spans="1:38" x14ac:dyDescent="0.35">
      <c r="B81" t="s">
        <v>9</v>
      </c>
      <c r="C81" s="6">
        <f>[1]Results!F1567</f>
        <v>48465.392570000004</v>
      </c>
      <c r="D81" s="6">
        <f>[1]Results!G1567</f>
        <v>49489.280590000002</v>
      </c>
      <c r="E81" s="6">
        <f>[1]Results!H1567</f>
        <v>50531.9035</v>
      </c>
      <c r="F81" s="6">
        <f>[1]Results!I1567</f>
        <v>51637.402690000003</v>
      </c>
      <c r="G81" s="6">
        <f>[1]Results!J1567</f>
        <v>52826.663209999999</v>
      </c>
      <c r="H81" s="6">
        <f>[1]Results!K1567</f>
        <v>54098.030100000004</v>
      </c>
      <c r="I81" s="6">
        <f>[1]Results!L1567</f>
        <v>55419.896159999997</v>
      </c>
      <c r="J81" s="6">
        <f>[1]Results!M1567</f>
        <v>56771.259339999997</v>
      </c>
      <c r="K81" s="6">
        <f>[1]Results!N1567</f>
        <v>58144.189599999998</v>
      </c>
      <c r="L81" s="6">
        <f>[1]Results!O1567</f>
        <v>59535.485070000002</v>
      </c>
      <c r="M81" s="6">
        <f>[1]Results!P1567</f>
        <v>60885.519849999997</v>
      </c>
      <c r="N81" s="6">
        <f>[1]Results!Q1567</f>
        <v>61988.020759999999</v>
      </c>
      <c r="O81" s="6">
        <f>[1]Results!R1567</f>
        <v>62947.112240000002</v>
      </c>
      <c r="P81" s="6">
        <f>[1]Results!S1567</f>
        <v>63800.02476</v>
      </c>
      <c r="Q81" s="6">
        <f>[1]Results!T1567</f>
        <v>64589.655019999998</v>
      </c>
      <c r="R81" s="6">
        <f>[1]Results!U1567</f>
        <v>65354.074860000001</v>
      </c>
      <c r="S81" s="6">
        <f>[1]Results!V1567</f>
        <v>66148.902660000007</v>
      </c>
      <c r="T81" s="6">
        <f>[1]Results!W1567</f>
        <v>67011.382920000004</v>
      </c>
      <c r="U81" s="6">
        <f>[1]Results!X1567</f>
        <v>67964.96918</v>
      </c>
      <c r="V81" s="6">
        <f>[1]Results!Y1567</f>
        <v>69020.364990000002</v>
      </c>
      <c r="W81" s="6">
        <f>[1]Results!Z1567</f>
        <v>70180.402759999997</v>
      </c>
      <c r="X81" s="6">
        <f>[1]Results!AA1567</f>
        <v>71464.305470000007</v>
      </c>
      <c r="Y81" s="6">
        <f>[1]Results!AB1567</f>
        <v>72882.896470000007</v>
      </c>
      <c r="Z81" s="6">
        <f>[1]Results!AC1567</f>
        <v>74440.290059999999</v>
      </c>
      <c r="AA81" s="6">
        <f>[1]Results!AD1567</f>
        <v>76130.736799999999</v>
      </c>
      <c r="AB81" s="6">
        <f>[1]Results!AE1567</f>
        <v>77928.011459999994</v>
      </c>
      <c r="AC81" s="6">
        <f>[1]Results!AF1567</f>
        <v>79825.197400000005</v>
      </c>
      <c r="AD81" s="6">
        <f>[1]Results!AG1567</f>
        <v>81839.850659999996</v>
      </c>
      <c r="AE81" s="6">
        <f>[1]Results!AH1567</f>
        <v>83975.884319999997</v>
      </c>
      <c r="AF81" s="6">
        <f>[1]Results!AI1567</f>
        <v>86212.38652</v>
      </c>
      <c r="AG81" s="6">
        <f>[1]Results!AJ1567</f>
        <v>88521.032019999999</v>
      </c>
      <c r="AH81" s="6">
        <f>[1]Results!AK1567</f>
        <v>90880.378970000005</v>
      </c>
      <c r="AI81" s="6">
        <f>[1]Results!AL1567</f>
        <v>93274.835829999996</v>
      </c>
      <c r="AJ81" s="6">
        <f>[1]Results!AM1567</f>
        <v>95689.758759999997</v>
      </c>
      <c r="AK81" s="6">
        <f>[1]Results!AN1567</f>
        <v>98110.900299999994</v>
      </c>
      <c r="AL81" s="6">
        <f>[1]Results!AO1567</f>
        <v>100524.1505</v>
      </c>
    </row>
    <row r="82" spans="1:38" x14ac:dyDescent="0.35">
      <c r="B82" t="s">
        <v>10</v>
      </c>
      <c r="C82" s="6">
        <f>[1]Results!F1572</f>
        <v>1511265.9580000001</v>
      </c>
      <c r="D82" s="6">
        <f>[1]Results!G1572</f>
        <v>1537087.466</v>
      </c>
      <c r="E82" s="6">
        <f>[1]Results!H1572</f>
        <v>1566001.192</v>
      </c>
      <c r="F82" s="6">
        <f>[1]Results!I1572</f>
        <v>1597914.9620000001</v>
      </c>
      <c r="G82" s="6">
        <f>[1]Results!J1572</f>
        <v>1632200.128</v>
      </c>
      <c r="H82" s="6">
        <f>[1]Results!K1572</f>
        <v>1668652.1159999999</v>
      </c>
      <c r="I82" s="6">
        <f>[1]Results!L1572</f>
        <v>1706563.9709999999</v>
      </c>
      <c r="J82" s="6">
        <f>[1]Results!M1572</f>
        <v>1745590.6680000001</v>
      </c>
      <c r="K82" s="6">
        <f>[1]Results!N1572</f>
        <v>1785510.3330000001</v>
      </c>
      <c r="L82" s="6">
        <f>[1]Results!O1572</f>
        <v>1826249.6410000001</v>
      </c>
      <c r="M82" s="6">
        <f>[1]Results!P1572</f>
        <v>1866970.53</v>
      </c>
      <c r="N82" s="6">
        <f>[1]Results!Q1572</f>
        <v>1903628.3330000001</v>
      </c>
      <c r="O82" s="6">
        <f>[1]Results!R1572</f>
        <v>1937033.088</v>
      </c>
      <c r="P82" s="6">
        <f>[1]Results!S1572</f>
        <v>1967746.811</v>
      </c>
      <c r="Q82" s="6">
        <f>[1]Results!T1572</f>
        <v>1996545.7549999999</v>
      </c>
      <c r="R82" s="6">
        <f>[1]Results!U1572</f>
        <v>2024244.412</v>
      </c>
      <c r="S82" s="6">
        <f>[1]Results!V1572</f>
        <v>2052112.233</v>
      </c>
      <c r="T82" s="6">
        <f>[1]Results!W1572</f>
        <v>2081036.9790000001</v>
      </c>
      <c r="U82" s="6">
        <f>[1]Results!X1572</f>
        <v>2111655.7179999999</v>
      </c>
      <c r="V82" s="6">
        <f>[1]Results!Y1572</f>
        <v>2144359.0669999998</v>
      </c>
      <c r="W82" s="6">
        <f>[1]Results!Z1572</f>
        <v>2179228.0589999999</v>
      </c>
      <c r="X82" s="6">
        <f>[1]Results!AA1572</f>
        <v>2216909.6880000001</v>
      </c>
      <c r="Y82" s="6">
        <f>[1]Results!AB1572</f>
        <v>2257701.8909999998</v>
      </c>
      <c r="Z82" s="6">
        <f>[1]Results!AC1572</f>
        <v>2301815.5639999998</v>
      </c>
      <c r="AA82" s="6">
        <f>[1]Results!AD1572</f>
        <v>2349269.727</v>
      </c>
      <c r="AB82" s="6">
        <f>[1]Results!AE1572</f>
        <v>2399311.8309999998</v>
      </c>
      <c r="AC82" s="6">
        <f>[1]Results!AF1572</f>
        <v>2451515.233</v>
      </c>
      <c r="AD82" s="6">
        <f>[1]Results!AG1572</f>
        <v>2506368.7420000001</v>
      </c>
      <c r="AE82" s="6">
        <f>[1]Results!AH1572</f>
        <v>2564170.4470000002</v>
      </c>
      <c r="AF82" s="6">
        <f>[1]Results!AI1572</f>
        <v>2624702.1329999999</v>
      </c>
      <c r="AG82" s="6">
        <f>[1]Results!AJ1572</f>
        <v>2687468.26</v>
      </c>
      <c r="AH82" s="6">
        <f>[1]Results!AK1572</f>
        <v>2751983.3339999998</v>
      </c>
      <c r="AI82" s="6">
        <f>[1]Results!AL1572</f>
        <v>2817831.5460000001</v>
      </c>
      <c r="AJ82" s="6">
        <f>[1]Results!AM1572</f>
        <v>2884615.557</v>
      </c>
      <c r="AK82" s="6">
        <f>[1]Results!AN1572</f>
        <v>2951943.014</v>
      </c>
      <c r="AL82" s="6">
        <f>[1]Results!AO1572</f>
        <v>3019420.585</v>
      </c>
    </row>
    <row r="83" spans="1:38" x14ac:dyDescent="0.35">
      <c r="B83" t="s">
        <v>32</v>
      </c>
      <c r="C83" s="6">
        <f>C88-C84</f>
        <v>-1916.2354111000002</v>
      </c>
      <c r="D83" s="6">
        <f t="shared" ref="D83:AL83" si="6">D88-D84</f>
        <v>-1929.4469331000003</v>
      </c>
      <c r="E83" s="6">
        <f t="shared" si="6"/>
        <v>-1941.2208118000001</v>
      </c>
      <c r="F83" s="6">
        <f t="shared" si="6"/>
        <v>-1954.3059959999998</v>
      </c>
      <c r="G83" s="6">
        <f t="shared" si="6"/>
        <v>-1964.3306895000001</v>
      </c>
      <c r="H83" s="6">
        <f t="shared" si="6"/>
        <v>-1981.3828984000002</v>
      </c>
      <c r="I83" s="6">
        <f t="shared" si="6"/>
        <v>-1992.9513149999998</v>
      </c>
      <c r="J83" s="6">
        <f t="shared" si="6"/>
        <v>-2010.6739001999999</v>
      </c>
      <c r="K83" s="6">
        <f t="shared" si="6"/>
        <v>-2029.0185193</v>
      </c>
      <c r="L83" s="6">
        <f t="shared" si="6"/>
        <v>-2046.1317607000001</v>
      </c>
      <c r="M83" s="6">
        <f t="shared" si="6"/>
        <v>-2062.3073036999999</v>
      </c>
      <c r="N83" s="6">
        <f t="shared" si="6"/>
        <v>-2094.6188748999998</v>
      </c>
      <c r="O83" s="6">
        <f t="shared" si="6"/>
        <v>-2119.9965136000001</v>
      </c>
      <c r="P83" s="6">
        <f t="shared" si="6"/>
        <v>-2138.1332670000002</v>
      </c>
      <c r="Q83" s="6">
        <f t="shared" si="6"/>
        <v>-2151.1298487999998</v>
      </c>
      <c r="R83" s="6">
        <f t="shared" si="6"/>
        <v>-2160.9844641</v>
      </c>
      <c r="S83" s="6">
        <f t="shared" si="6"/>
        <v>-2165.4624506</v>
      </c>
      <c r="T83" s="6">
        <f t="shared" si="6"/>
        <v>-2167.7264897</v>
      </c>
      <c r="U83" s="6">
        <f t="shared" si="6"/>
        <v>-2171.7259018</v>
      </c>
      <c r="V83" s="6">
        <f t="shared" si="6"/>
        <v>-2178.6347746000001</v>
      </c>
      <c r="W83" s="6">
        <f t="shared" si="6"/>
        <v>-2188.4581291</v>
      </c>
      <c r="X83" s="6">
        <f t="shared" si="6"/>
        <v>-2200.2280333999997</v>
      </c>
      <c r="Y83" s="6">
        <f t="shared" si="6"/>
        <v>-2213.7704132999997</v>
      </c>
      <c r="Z83" s="6">
        <f t="shared" si="6"/>
        <v>-2229.0233211999998</v>
      </c>
      <c r="AA83" s="6">
        <f t="shared" si="6"/>
        <v>-2245.9409198999997</v>
      </c>
      <c r="AB83" s="6">
        <f t="shared" si="6"/>
        <v>-2264.5947646999998</v>
      </c>
      <c r="AC83" s="6">
        <f t="shared" si="6"/>
        <v>-2304.8229741999999</v>
      </c>
      <c r="AD83" s="6">
        <f t="shared" si="6"/>
        <v>-2344.0145461000002</v>
      </c>
      <c r="AE83" s="6">
        <f t="shared" si="6"/>
        <v>-2382.2746751999998</v>
      </c>
      <c r="AF83" s="6">
        <f t="shared" si="6"/>
        <v>-2422.2945425000003</v>
      </c>
      <c r="AG83" s="6">
        <f t="shared" si="6"/>
        <v>-2464.8546977999999</v>
      </c>
      <c r="AH83" s="6">
        <f t="shared" si="6"/>
        <v>-2509.377078</v>
      </c>
      <c r="AI83" s="6">
        <f t="shared" si="6"/>
        <v>-2555.1002503</v>
      </c>
      <c r="AJ83" s="6">
        <f t="shared" si="6"/>
        <v>-2601.5179678</v>
      </c>
      <c r="AK83" s="6">
        <f t="shared" si="6"/>
        <v>-2648.2418978000001</v>
      </c>
      <c r="AL83" s="6">
        <f t="shared" si="6"/>
        <v>-2694.9173501</v>
      </c>
    </row>
    <row r="84" spans="1:38" x14ac:dyDescent="0.35">
      <c r="B84" t="s">
        <v>39</v>
      </c>
      <c r="C84" s="6">
        <f>C86+C87</f>
        <v>-119.39810889999995</v>
      </c>
      <c r="D84" s="6">
        <f t="shared" ref="D84:AL84" si="7">D86+D87</f>
        <v>-123.77149089999995</v>
      </c>
      <c r="E84" s="6">
        <f t="shared" si="7"/>
        <v>-125.87786720000003</v>
      </c>
      <c r="F84" s="6">
        <f t="shared" si="7"/>
        <v>-128.131505</v>
      </c>
      <c r="G84" s="6">
        <f t="shared" si="7"/>
        <v>-131.90779049999998</v>
      </c>
      <c r="H84" s="6">
        <f t="shared" si="7"/>
        <v>-138.08409360000002</v>
      </c>
      <c r="I84" s="6">
        <f t="shared" si="7"/>
        <v>-146.06498100000005</v>
      </c>
      <c r="J84" s="6">
        <f t="shared" si="7"/>
        <v>-154.86602980000004</v>
      </c>
      <c r="K84" s="6">
        <f t="shared" si="7"/>
        <v>-164.11478070000004</v>
      </c>
      <c r="L84" s="6">
        <f t="shared" si="7"/>
        <v>-173.57096129999996</v>
      </c>
      <c r="M84" s="6">
        <f t="shared" si="7"/>
        <v>-183.00888530000003</v>
      </c>
      <c r="N84" s="6">
        <f t="shared" si="7"/>
        <v>-192.2446521</v>
      </c>
      <c r="O84" s="6">
        <f t="shared" si="7"/>
        <v>-201.01680540000001</v>
      </c>
      <c r="P84" s="6">
        <f t="shared" si="7"/>
        <v>-208.879435</v>
      </c>
      <c r="Q84" s="6">
        <f t="shared" si="7"/>
        <v>-215.93142019999999</v>
      </c>
      <c r="R84" s="6">
        <f t="shared" si="7"/>
        <v>-222.38964289999996</v>
      </c>
      <c r="S84" s="6">
        <f t="shared" si="7"/>
        <v>-228.42520440000004</v>
      </c>
      <c r="T84" s="6">
        <f t="shared" si="7"/>
        <v>-234.40741229999998</v>
      </c>
      <c r="U84" s="6">
        <f t="shared" si="7"/>
        <v>-240.97064619999998</v>
      </c>
      <c r="V84" s="6">
        <f t="shared" si="7"/>
        <v>-248.2794154</v>
      </c>
      <c r="W84" s="6">
        <f t="shared" si="7"/>
        <v>-256.32823990000003</v>
      </c>
      <c r="X84" s="6">
        <f t="shared" si="7"/>
        <v>-265.09204359999995</v>
      </c>
      <c r="Y84" s="6">
        <f t="shared" si="7"/>
        <v>-274.59634269999998</v>
      </c>
      <c r="Z84" s="6">
        <f t="shared" si="7"/>
        <v>-284.86880679999996</v>
      </c>
      <c r="AA84" s="6">
        <f t="shared" si="7"/>
        <v>-295.92142210000003</v>
      </c>
      <c r="AB84" s="6">
        <f t="shared" si="7"/>
        <v>-307.71365529999997</v>
      </c>
      <c r="AC84" s="6">
        <f t="shared" si="7"/>
        <v>-320.08242279999996</v>
      </c>
      <c r="AD84" s="6">
        <f t="shared" si="7"/>
        <v>-332.90047989999999</v>
      </c>
      <c r="AE84" s="6">
        <f t="shared" si="7"/>
        <v>-346.28420980000004</v>
      </c>
      <c r="AF84" s="6">
        <f t="shared" si="7"/>
        <v>-360.28783449999997</v>
      </c>
      <c r="AG84" s="6">
        <f t="shared" si="7"/>
        <v>-374.84663619999998</v>
      </c>
      <c r="AH84" s="6">
        <f t="shared" si="7"/>
        <v>-389.83234499999998</v>
      </c>
      <c r="AI84" s="6">
        <f t="shared" si="7"/>
        <v>-405.1107457</v>
      </c>
      <c r="AJ84" s="6">
        <f t="shared" si="7"/>
        <v>-420.55522420000005</v>
      </c>
      <c r="AK84" s="6">
        <f t="shared" si="7"/>
        <v>-436.03950319999996</v>
      </c>
      <c r="AL84" s="6">
        <f t="shared" si="7"/>
        <v>-451.43442190000002</v>
      </c>
    </row>
    <row r="85" spans="1:38" x14ac:dyDescent="0.35">
      <c r="B85" t="s">
        <v>36</v>
      </c>
      <c r="C85" s="6">
        <f>[1]Results!F1580</f>
        <v>40646.551720000003</v>
      </c>
      <c r="D85" s="6">
        <f>[1]Results!G1580</f>
        <v>41285.607640000002</v>
      </c>
      <c r="E85" s="6">
        <f>[1]Results!H1580</f>
        <v>41904.395360000002</v>
      </c>
      <c r="F85" s="6">
        <f>[1]Results!I1580</f>
        <v>42581.66214</v>
      </c>
      <c r="G85" s="6">
        <f>[1]Results!J1580</f>
        <v>43206.816919999997</v>
      </c>
      <c r="H85" s="6">
        <f>[1]Results!K1580</f>
        <v>43849.774389999999</v>
      </c>
      <c r="I85" s="6">
        <f>[1]Results!L1580</f>
        <v>43888.051700000004</v>
      </c>
      <c r="J85" s="6">
        <f>[1]Results!M1580</f>
        <v>43730.036870000004</v>
      </c>
      <c r="K85" s="6">
        <f>[1]Results!N1580</f>
        <v>43446.81162</v>
      </c>
      <c r="L85" s="6">
        <f>[1]Results!O1580</f>
        <v>43051.487659999999</v>
      </c>
      <c r="M85" s="6">
        <f>[1]Results!P1580</f>
        <v>42518.097099999999</v>
      </c>
      <c r="N85" s="6">
        <f>[1]Results!Q1580</f>
        <v>42051.709410000003</v>
      </c>
      <c r="O85" s="6">
        <f>[1]Results!R1580</f>
        <v>41492.100330000001</v>
      </c>
      <c r="P85" s="6">
        <f>[1]Results!S1580</f>
        <v>40786.686280000002</v>
      </c>
      <c r="Q85" s="6">
        <f>[1]Results!T1580</f>
        <v>39941.594010000001</v>
      </c>
      <c r="R85" s="6">
        <f>[1]Results!U1580</f>
        <v>38972.567539999996</v>
      </c>
      <c r="S85" s="6">
        <f>[1]Results!V1580</f>
        <v>37841.37876</v>
      </c>
      <c r="T85" s="6">
        <f>[1]Results!W1580</f>
        <v>36604.140319999999</v>
      </c>
      <c r="U85" s="6">
        <f>[1]Results!X1580</f>
        <v>35287.44586</v>
      </c>
      <c r="V85" s="6">
        <f>[1]Results!Y1580</f>
        <v>33892.798139999999</v>
      </c>
      <c r="W85" s="6">
        <f>[1]Results!Z1580</f>
        <v>32402.459060000001</v>
      </c>
      <c r="X85" s="6">
        <f>[1]Results!AA1580</f>
        <v>30806.239460000001</v>
      </c>
      <c r="Y85" s="6">
        <f>[1]Results!AB1580</f>
        <v>29072.699840000001</v>
      </c>
      <c r="Z85" s="6">
        <f>[1]Results!AC1580</f>
        <v>27161.60353</v>
      </c>
      <c r="AA85" s="6">
        <f>[1]Results!AD1580</f>
        <v>25021.72234</v>
      </c>
      <c r="AB85" s="6">
        <f>[1]Results!AE1580</f>
        <v>22578.611239999998</v>
      </c>
      <c r="AC85" s="6">
        <f>[1]Results!AF1580</f>
        <v>22239.421920000001</v>
      </c>
      <c r="AD85" s="6">
        <f>[1]Results!AG1580</f>
        <v>22688.380450000001</v>
      </c>
      <c r="AE85" s="6">
        <f>[1]Results!AH1580</f>
        <v>23345.950140000001</v>
      </c>
      <c r="AF85" s="6">
        <f>[1]Results!AI1580</f>
        <v>24030.213189999999</v>
      </c>
      <c r="AG85" s="6">
        <f>[1]Results!AJ1580</f>
        <v>24694.36407</v>
      </c>
      <c r="AH85" s="6">
        <f>[1]Results!AK1580</f>
        <v>25332.500540000001</v>
      </c>
      <c r="AI85" s="6">
        <f>[1]Results!AL1580</f>
        <v>25948.83642</v>
      </c>
      <c r="AJ85" s="6">
        <f>[1]Results!AM1580</f>
        <v>26547.573039999999</v>
      </c>
      <c r="AK85" s="6">
        <f>[1]Results!AN1580</f>
        <v>27131.452140000001</v>
      </c>
      <c r="AL85" s="6">
        <f>[1]Results!AO1580</f>
        <v>27701.644520000002</v>
      </c>
    </row>
    <row r="86" spans="1:38" x14ac:dyDescent="0.35">
      <c r="B86" t="s">
        <v>38</v>
      </c>
      <c r="C86" s="6">
        <f>[1]Results!F1577</f>
        <v>-612.35718799999995</v>
      </c>
      <c r="D86" s="6">
        <f>[1]Results!G1577</f>
        <v>-616.73056999999994</v>
      </c>
      <c r="E86" s="6">
        <f>[1]Results!H1577</f>
        <v>-618.83694630000002</v>
      </c>
      <c r="F86" s="6">
        <f>[1]Results!I1577</f>
        <v>-621.0905841</v>
      </c>
      <c r="G86" s="6">
        <f>[1]Results!J1577</f>
        <v>-624.86686959999997</v>
      </c>
      <c r="H86" s="6">
        <f>[1]Results!K1577</f>
        <v>-631.04317270000001</v>
      </c>
      <c r="I86" s="6">
        <f>[1]Results!L1577</f>
        <v>-639.02406010000004</v>
      </c>
      <c r="J86" s="6">
        <f>[1]Results!M1577</f>
        <v>-647.82510890000003</v>
      </c>
      <c r="K86" s="6">
        <f>[1]Results!N1577</f>
        <v>-657.07385980000004</v>
      </c>
      <c r="L86" s="6">
        <f>[1]Results!O1577</f>
        <v>-666.53004039999996</v>
      </c>
      <c r="M86" s="6">
        <f>[1]Results!P1577</f>
        <v>-675.96796440000003</v>
      </c>
      <c r="N86" s="6">
        <f>[1]Results!Q1577</f>
        <v>-685.20373119999999</v>
      </c>
      <c r="O86" s="6">
        <f>[1]Results!R1577</f>
        <v>-693.97588450000001</v>
      </c>
      <c r="P86" s="6">
        <f>[1]Results!S1577</f>
        <v>-701.8385141</v>
      </c>
      <c r="Q86" s="6">
        <f>[1]Results!T1577</f>
        <v>-708.89049929999999</v>
      </c>
      <c r="R86" s="6">
        <f>[1]Results!U1577</f>
        <v>-715.34872199999995</v>
      </c>
      <c r="S86" s="6">
        <f>[1]Results!V1577</f>
        <v>-721.38428350000004</v>
      </c>
      <c r="T86" s="6">
        <f>[1]Results!W1577</f>
        <v>-727.36649139999997</v>
      </c>
      <c r="U86" s="6">
        <f>[1]Results!X1577</f>
        <v>-733.92972529999997</v>
      </c>
      <c r="V86" s="6">
        <f>[1]Results!Y1577</f>
        <v>-741.2384945</v>
      </c>
      <c r="W86" s="6">
        <f>[1]Results!Z1577</f>
        <v>-749.28731900000002</v>
      </c>
      <c r="X86" s="6">
        <f>[1]Results!AA1577</f>
        <v>-758.05112269999995</v>
      </c>
      <c r="Y86" s="6">
        <f>[1]Results!AB1577</f>
        <v>-767.55542179999998</v>
      </c>
      <c r="Z86" s="6">
        <f>[1]Results!AC1577</f>
        <v>-777.82788589999996</v>
      </c>
      <c r="AA86" s="6">
        <f>[1]Results!AD1577</f>
        <v>-788.88050120000003</v>
      </c>
      <c r="AB86" s="6">
        <f>[1]Results!AE1577</f>
        <v>-800.67273439999997</v>
      </c>
      <c r="AC86" s="6">
        <f>[1]Results!AF1577</f>
        <v>-813.04150189999996</v>
      </c>
      <c r="AD86" s="6">
        <f>[1]Results!AG1577</f>
        <v>-825.85955899999999</v>
      </c>
      <c r="AE86" s="6">
        <f>[1]Results!AH1577</f>
        <v>-839.24328890000004</v>
      </c>
      <c r="AF86" s="6">
        <f>[1]Results!AI1577</f>
        <v>-853.24691359999997</v>
      </c>
      <c r="AG86" s="6">
        <f>[1]Results!AJ1577</f>
        <v>-867.80571529999997</v>
      </c>
      <c r="AH86" s="6">
        <f>[1]Results!AK1577</f>
        <v>-882.79142409999997</v>
      </c>
      <c r="AI86" s="6">
        <f>[1]Results!AL1577</f>
        <v>-898.06982479999999</v>
      </c>
      <c r="AJ86" s="6">
        <f>[1]Results!AM1577</f>
        <v>-913.51430330000005</v>
      </c>
      <c r="AK86" s="6">
        <f>[1]Results!AN1577</f>
        <v>-928.99858229999995</v>
      </c>
      <c r="AL86" s="6">
        <f>[1]Results!AO1577</f>
        <v>-944.39350100000001</v>
      </c>
    </row>
    <row r="87" spans="1:38" x14ac:dyDescent="0.35">
      <c r="B87" t="s">
        <v>37</v>
      </c>
      <c r="C87" s="6">
        <f>[1]Results!$F1579</f>
        <v>492.9590791</v>
      </c>
      <c r="D87" s="6">
        <f>[1]Results!$F1579</f>
        <v>492.9590791</v>
      </c>
      <c r="E87" s="6">
        <f>[1]Results!$F1579</f>
        <v>492.9590791</v>
      </c>
      <c r="F87" s="6">
        <f>[1]Results!$F1579</f>
        <v>492.9590791</v>
      </c>
      <c r="G87" s="6">
        <f>[1]Results!$F1579</f>
        <v>492.9590791</v>
      </c>
      <c r="H87" s="6">
        <f>[1]Results!$F1579</f>
        <v>492.9590791</v>
      </c>
      <c r="I87" s="6">
        <f>[1]Results!$F1579</f>
        <v>492.9590791</v>
      </c>
      <c r="J87" s="6">
        <f>[1]Results!$F1579</f>
        <v>492.9590791</v>
      </c>
      <c r="K87" s="6">
        <f>[1]Results!$F1579</f>
        <v>492.9590791</v>
      </c>
      <c r="L87" s="6">
        <f>[1]Results!$F1579</f>
        <v>492.9590791</v>
      </c>
      <c r="M87" s="6">
        <f>[1]Results!$F1579</f>
        <v>492.9590791</v>
      </c>
      <c r="N87" s="6">
        <f>[1]Results!$F1579</f>
        <v>492.9590791</v>
      </c>
      <c r="O87" s="6">
        <f>[1]Results!$F1579</f>
        <v>492.9590791</v>
      </c>
      <c r="P87" s="6">
        <f>[1]Results!$F1579</f>
        <v>492.9590791</v>
      </c>
      <c r="Q87" s="6">
        <f>[1]Results!$F1579</f>
        <v>492.9590791</v>
      </c>
      <c r="R87" s="6">
        <f>[1]Results!$F1579</f>
        <v>492.9590791</v>
      </c>
      <c r="S87" s="6">
        <f>[1]Results!$F1579</f>
        <v>492.9590791</v>
      </c>
      <c r="T87" s="6">
        <f>[1]Results!$F1579</f>
        <v>492.9590791</v>
      </c>
      <c r="U87" s="6">
        <f>[1]Results!$F1579</f>
        <v>492.9590791</v>
      </c>
      <c r="V87" s="6">
        <f>[1]Results!$F1579</f>
        <v>492.9590791</v>
      </c>
      <c r="W87" s="6">
        <f>[1]Results!$F1579</f>
        <v>492.9590791</v>
      </c>
      <c r="X87" s="6">
        <f>[1]Results!$F1579</f>
        <v>492.9590791</v>
      </c>
      <c r="Y87" s="6">
        <f>[1]Results!$F1579</f>
        <v>492.9590791</v>
      </c>
      <c r="Z87" s="6">
        <f>[1]Results!$F1579</f>
        <v>492.9590791</v>
      </c>
      <c r="AA87" s="6">
        <f>[1]Results!$F1579</f>
        <v>492.9590791</v>
      </c>
      <c r="AB87" s="6">
        <f>[1]Results!$F1579</f>
        <v>492.9590791</v>
      </c>
      <c r="AC87" s="6">
        <f>[1]Results!$F1579</f>
        <v>492.9590791</v>
      </c>
      <c r="AD87" s="6">
        <f>[1]Results!$F1579</f>
        <v>492.9590791</v>
      </c>
      <c r="AE87" s="6">
        <f>[1]Results!$F1579</f>
        <v>492.9590791</v>
      </c>
      <c r="AF87" s="6">
        <f>[1]Results!$F1579</f>
        <v>492.9590791</v>
      </c>
      <c r="AG87" s="6">
        <f>[1]Results!$F1579</f>
        <v>492.9590791</v>
      </c>
      <c r="AH87" s="6">
        <f>[1]Results!$F1579</f>
        <v>492.9590791</v>
      </c>
      <c r="AI87" s="6">
        <f>[1]Results!$F1579</f>
        <v>492.9590791</v>
      </c>
      <c r="AJ87" s="6">
        <f>[1]Results!$F1579</f>
        <v>492.9590791</v>
      </c>
      <c r="AK87" s="6">
        <f>[1]Results!$F1579</f>
        <v>492.9590791</v>
      </c>
      <c r="AL87" s="6">
        <f>[1]Results!$F1579</f>
        <v>492.9590791</v>
      </c>
    </row>
    <row r="88" spans="1:38" x14ac:dyDescent="0.35">
      <c r="B88" t="s">
        <v>40</v>
      </c>
      <c r="C88" s="6">
        <f>[1]Results!F1575</f>
        <v>-2035.6335200000001</v>
      </c>
      <c r="D88" s="6">
        <f>[1]Results!G1575</f>
        <v>-2053.2184240000001</v>
      </c>
      <c r="E88" s="6">
        <f>[1]Results!H1575</f>
        <v>-2067.0986790000002</v>
      </c>
      <c r="F88" s="6">
        <f>[1]Results!I1575</f>
        <v>-2082.4375009999999</v>
      </c>
      <c r="G88" s="6">
        <f>[1]Results!J1575</f>
        <v>-2096.23848</v>
      </c>
      <c r="H88" s="6">
        <f>[1]Results!K1575</f>
        <v>-2119.4669920000001</v>
      </c>
      <c r="I88" s="6">
        <f>[1]Results!L1575</f>
        <v>-2139.0162959999998</v>
      </c>
      <c r="J88" s="6">
        <f>[1]Results!M1575</f>
        <v>-2165.5399299999999</v>
      </c>
      <c r="K88" s="6">
        <f>[1]Results!N1575</f>
        <v>-2193.1333</v>
      </c>
      <c r="L88" s="6">
        <f>[1]Results!O1575</f>
        <v>-2219.702722</v>
      </c>
      <c r="M88" s="6">
        <f>[1]Results!P1575</f>
        <v>-2245.3161890000001</v>
      </c>
      <c r="N88" s="6">
        <f>[1]Results!Q1575</f>
        <v>-2286.863527</v>
      </c>
      <c r="O88" s="6">
        <f>[1]Results!R1575</f>
        <v>-2321.0133190000001</v>
      </c>
      <c r="P88" s="6">
        <f>[1]Results!S1575</f>
        <v>-2347.012702</v>
      </c>
      <c r="Q88" s="6">
        <f>[1]Results!T1575</f>
        <v>-2367.0612689999998</v>
      </c>
      <c r="R88" s="6">
        <f>[1]Results!U1575</f>
        <v>-2383.3741070000001</v>
      </c>
      <c r="S88" s="6">
        <f>[1]Results!V1575</f>
        <v>-2393.887655</v>
      </c>
      <c r="T88" s="6">
        <f>[1]Results!W1575</f>
        <v>-2402.133902</v>
      </c>
      <c r="U88" s="6">
        <f>[1]Results!X1575</f>
        <v>-2412.6965479999999</v>
      </c>
      <c r="V88" s="6">
        <f>[1]Results!Y1575</f>
        <v>-2426.91419</v>
      </c>
      <c r="W88" s="6">
        <f>[1]Results!Z1575</f>
        <v>-2444.7863689999999</v>
      </c>
      <c r="X88" s="6">
        <f>[1]Results!AA1575</f>
        <v>-2465.3200769999999</v>
      </c>
      <c r="Y88" s="6">
        <f>[1]Results!AB1575</f>
        <v>-2488.3667559999999</v>
      </c>
      <c r="Z88" s="6">
        <f>[1]Results!AC1575</f>
        <v>-2513.892128</v>
      </c>
      <c r="AA88" s="6">
        <f>[1]Results!AD1575</f>
        <v>-2541.8623419999999</v>
      </c>
      <c r="AB88" s="6">
        <f>[1]Results!AE1575</f>
        <v>-2572.3084199999998</v>
      </c>
      <c r="AC88" s="6">
        <f>[1]Results!AF1575</f>
        <v>-2624.905397</v>
      </c>
      <c r="AD88" s="6">
        <f>[1]Results!AG1575</f>
        <v>-2676.9150260000001</v>
      </c>
      <c r="AE88" s="6">
        <f>[1]Results!AH1575</f>
        <v>-2728.5588849999999</v>
      </c>
      <c r="AF88" s="6">
        <f>[1]Results!AI1575</f>
        <v>-2782.5823770000002</v>
      </c>
      <c r="AG88" s="6">
        <f>[1]Results!AJ1575</f>
        <v>-2839.7013339999999</v>
      </c>
      <c r="AH88" s="6">
        <f>[1]Results!AK1575</f>
        <v>-2899.2094229999998</v>
      </c>
      <c r="AI88" s="6">
        <f>[1]Results!AL1575</f>
        <v>-2960.2109959999998</v>
      </c>
      <c r="AJ88" s="6">
        <f>[1]Results!AM1575</f>
        <v>-3022.0731919999998</v>
      </c>
      <c r="AK88" s="6">
        <f>[1]Results!AN1575</f>
        <v>-3084.2814010000002</v>
      </c>
      <c r="AL88" s="6">
        <f>[1]Results!AO1575</f>
        <v>-3146.351772</v>
      </c>
    </row>
    <row r="90" spans="1:38" x14ac:dyDescent="0.35">
      <c r="B90" t="s">
        <v>15</v>
      </c>
      <c r="C90" s="6">
        <f>[1]Results!F1512</f>
        <v>1966068.348</v>
      </c>
      <c r="D90" s="6">
        <f>[1]Results!G1512</f>
        <v>2002095.1569999999</v>
      </c>
      <c r="E90" s="6">
        <f>[1]Results!H1512</f>
        <v>2041583.284</v>
      </c>
      <c r="F90" s="6">
        <f>[1]Results!I1512</f>
        <v>2084846.263</v>
      </c>
      <c r="G90" s="6">
        <f>[1]Results!J1512</f>
        <v>2131129.665</v>
      </c>
      <c r="H90" s="6">
        <f>[1]Results!K1512</f>
        <v>2180235.781</v>
      </c>
      <c r="I90" s="6">
        <f>[1]Results!L1512</f>
        <v>2231210.8640000001</v>
      </c>
      <c r="J90" s="6">
        <f>[1]Results!M1512</f>
        <v>2277319.8530000001</v>
      </c>
      <c r="K90" s="6">
        <f>[1]Results!N1512</f>
        <v>2325183.4139999999</v>
      </c>
      <c r="L90" s="6">
        <f>[1]Results!O1512</f>
        <v>2383643.264</v>
      </c>
      <c r="M90" s="6">
        <f>[1]Results!P1512</f>
        <v>2442611.5720000002</v>
      </c>
      <c r="N90" s="6">
        <f>[1]Results!Q1512</f>
        <v>2493795.0759999999</v>
      </c>
      <c r="O90" s="6">
        <f>[1]Results!R1512</f>
        <v>2539298.446</v>
      </c>
      <c r="P90" s="6">
        <f>[1]Results!S1512</f>
        <v>2580687.9509999999</v>
      </c>
      <c r="Q90" s="6">
        <f>[1]Results!T1512</f>
        <v>2619913.5589999999</v>
      </c>
      <c r="R90" s="6">
        <f>[1]Results!U1512</f>
        <v>2658245.2829999998</v>
      </c>
      <c r="S90" s="6">
        <f>[1]Results!V1512</f>
        <v>2696184.9530000002</v>
      </c>
      <c r="T90" s="6">
        <f>[1]Results!W1512</f>
        <v>2735163.7050000001</v>
      </c>
      <c r="U90" s="6">
        <f>[1]Results!X1512</f>
        <v>2776105.1690000002</v>
      </c>
      <c r="V90" s="6">
        <f>[1]Results!Y1512</f>
        <v>2819581.2850000001</v>
      </c>
      <c r="W90" s="6">
        <f>[1]Results!Z1512</f>
        <v>2865751.375</v>
      </c>
      <c r="X90" s="6">
        <f>[1]Results!AA1512</f>
        <v>2915298.1430000002</v>
      </c>
      <c r="Y90" s="6">
        <f>[1]Results!AB1512</f>
        <v>2968799.8480000002</v>
      </c>
      <c r="Z90" s="6">
        <f>[1]Results!AC1512</f>
        <v>3026590.0750000002</v>
      </c>
      <c r="AA90" s="6">
        <f>[1]Results!AD1512</f>
        <v>3088725.3670000001</v>
      </c>
      <c r="AB90" s="6">
        <f>[1]Results!AE1512</f>
        <v>3154300.2069999999</v>
      </c>
      <c r="AC90" s="6">
        <f>[1]Results!AF1512</f>
        <v>3224605.6609999998</v>
      </c>
      <c r="AD90" s="6">
        <f>[1]Results!AG1512</f>
        <v>3299150.1910000001</v>
      </c>
      <c r="AE90" s="6">
        <f>[1]Results!AH1512</f>
        <v>3377943.6349999998</v>
      </c>
      <c r="AF90" s="6">
        <f>[1]Results!AI1512</f>
        <v>3460613.9989999998</v>
      </c>
      <c r="AG90" s="6">
        <f>[1]Results!AJ1512</f>
        <v>3546529.8390000002</v>
      </c>
      <c r="AH90" s="6">
        <f>[1]Results!AK1512</f>
        <v>3634986.1510000001</v>
      </c>
      <c r="AI90" s="6">
        <f>[1]Results!AL1512</f>
        <v>3725574.3810000001</v>
      </c>
      <c r="AJ90" s="6">
        <f>[1]Results!AM1512</f>
        <v>3817819.966</v>
      </c>
      <c r="AK90" s="6">
        <f>[1]Results!AN1512</f>
        <v>3911215.4679999999</v>
      </c>
      <c r="AL90" s="6">
        <f>[1]Results!AO1512</f>
        <v>4005227.392</v>
      </c>
    </row>
    <row r="91" spans="1:38" x14ac:dyDescent="0.35">
      <c r="A91" t="s">
        <v>14</v>
      </c>
      <c r="B91" t="s">
        <v>7</v>
      </c>
      <c r="C91" s="6">
        <f>[1]Results!F1513</f>
        <v>36093.471129999998</v>
      </c>
      <c r="D91" s="6">
        <f>[1]Results!G1513</f>
        <v>36606.043689999999</v>
      </c>
      <c r="E91" s="6">
        <f>[1]Results!H1513</f>
        <v>37209.220630000003</v>
      </c>
      <c r="F91" s="6">
        <f>[1]Results!I1513</f>
        <v>37907.741439999998</v>
      </c>
      <c r="G91" s="6">
        <f>[1]Results!J1513</f>
        <v>38701.380259999998</v>
      </c>
      <c r="H91" s="6">
        <f>[1]Results!K1513</f>
        <v>39575.106310000003</v>
      </c>
      <c r="I91" s="6">
        <f>[1]Results!L1513</f>
        <v>40535.082690000003</v>
      </c>
      <c r="J91" s="6">
        <f>[1]Results!M1513</f>
        <v>41353.543369999999</v>
      </c>
      <c r="K91" s="6">
        <f>[1]Results!N1513</f>
        <v>42210.659229999997</v>
      </c>
      <c r="L91" s="6">
        <f>[1]Results!O1513</f>
        <v>43298.231339999998</v>
      </c>
      <c r="M91" s="6">
        <f>[1]Results!P1513</f>
        <v>44363.201630000003</v>
      </c>
      <c r="N91" s="6">
        <f>[1]Results!Q1513</f>
        <v>45254.013279999999</v>
      </c>
      <c r="O91" s="6">
        <f>[1]Results!R1513</f>
        <v>46027.328079999999</v>
      </c>
      <c r="P91" s="6">
        <f>[1]Results!S1513</f>
        <v>46720.91042</v>
      </c>
      <c r="Q91" s="6">
        <f>[1]Results!T1513</f>
        <v>47377.163280000001</v>
      </c>
      <c r="R91" s="6">
        <f>[1]Results!U1513</f>
        <v>48021.950550000001</v>
      </c>
      <c r="S91" s="6">
        <f>[1]Results!V1513</f>
        <v>48685.596590000001</v>
      </c>
      <c r="T91" s="6">
        <f>[1]Results!W1513</f>
        <v>49378.241499999996</v>
      </c>
      <c r="U91" s="6">
        <f>[1]Results!X1513</f>
        <v>50118.192210000001</v>
      </c>
      <c r="V91" s="6">
        <f>[1]Results!Y1513</f>
        <v>50917.082869999998</v>
      </c>
      <c r="W91" s="6">
        <f>[1]Results!Z1513</f>
        <v>51778.848879999998</v>
      </c>
      <c r="X91" s="6">
        <f>[1]Results!AA1513</f>
        <v>52723.281170000002</v>
      </c>
      <c r="Y91" s="6">
        <f>[1]Results!AB1513</f>
        <v>53764.195240000001</v>
      </c>
      <c r="Z91" s="6">
        <f>[1]Results!AC1513</f>
        <v>54910.08582</v>
      </c>
      <c r="AA91" s="6">
        <f>[1]Results!AD1513</f>
        <v>56163.462959999997</v>
      </c>
      <c r="AB91" s="6">
        <f>[1]Results!AE1513</f>
        <v>57502.1702</v>
      </c>
      <c r="AC91" s="6">
        <f>[1]Results!AF1513</f>
        <v>58779.606290000003</v>
      </c>
      <c r="AD91" s="6">
        <f>[1]Results!AG1513</f>
        <v>60113.310319999997</v>
      </c>
      <c r="AE91" s="6">
        <f>[1]Results!AH1513</f>
        <v>61538.931349999999</v>
      </c>
      <c r="AF91" s="6">
        <f>[1]Results!AI1513</f>
        <v>63054.198920000003</v>
      </c>
      <c r="AG91" s="6">
        <f>[1]Results!AJ1513</f>
        <v>64642.957150000002</v>
      </c>
      <c r="AH91" s="6">
        <f>[1]Results!AK1513</f>
        <v>66285.485310000004</v>
      </c>
      <c r="AI91" s="6">
        <f>[1]Results!AL1513</f>
        <v>67969.614539999995</v>
      </c>
      <c r="AJ91" s="6">
        <f>[1]Results!AM1513</f>
        <v>69681.546820000003</v>
      </c>
      <c r="AK91" s="6">
        <f>[1]Results!AN1513</f>
        <v>71406.884999999995</v>
      </c>
      <c r="AL91" s="6">
        <f>[1]Results!AO1513</f>
        <v>73131.113379999995</v>
      </c>
    </row>
    <row r="92" spans="1:38" x14ac:dyDescent="0.35">
      <c r="B92" t="s">
        <v>33</v>
      </c>
      <c r="C92" s="6">
        <f>[1]Results!F1516</f>
        <v>331632.60889999999</v>
      </c>
      <c r="D92" s="6">
        <f>[1]Results!G1516</f>
        <v>339679.97759999998</v>
      </c>
      <c r="E92" s="6">
        <f>[1]Results!H1516</f>
        <v>348003.6716</v>
      </c>
      <c r="F92" s="6">
        <f>[1]Results!I1516</f>
        <v>356886.93180000002</v>
      </c>
      <c r="G92" s="6">
        <f>[1]Results!J1516</f>
        <v>366290.91580000002</v>
      </c>
      <c r="H92" s="6">
        <f>[1]Results!K1516</f>
        <v>376180.22110000002</v>
      </c>
      <c r="I92" s="6">
        <f>[1]Results!L1516</f>
        <v>386547.50910000002</v>
      </c>
      <c r="J92" s="6">
        <f>[1]Results!M1516</f>
        <v>395216.22249999997</v>
      </c>
      <c r="K92" s="6">
        <f>[1]Results!N1516</f>
        <v>404597.63429999998</v>
      </c>
      <c r="L92" s="6">
        <f>[1]Results!O1516</f>
        <v>416938.05330000003</v>
      </c>
      <c r="M92" s="6">
        <f>[1]Results!P1516</f>
        <v>428743.95480000001</v>
      </c>
      <c r="N92" s="6">
        <f>[1]Results!Q1516</f>
        <v>438618.57919999998</v>
      </c>
      <c r="O92" s="6">
        <f>[1]Results!R1516</f>
        <v>447379.59379999997</v>
      </c>
      <c r="P92" s="6">
        <f>[1]Results!S1516</f>
        <v>455515.7255</v>
      </c>
      <c r="Q92" s="6">
        <f>[1]Results!T1516</f>
        <v>463556.75870000001</v>
      </c>
      <c r="R92" s="6">
        <f>[1]Results!U1516</f>
        <v>471761.22859999997</v>
      </c>
      <c r="S92" s="6">
        <f>[1]Results!V1516</f>
        <v>480138.32069999998</v>
      </c>
      <c r="T92" s="6">
        <f>[1]Results!W1516</f>
        <v>489019.38150000002</v>
      </c>
      <c r="U92" s="6">
        <f>[1]Results!X1516</f>
        <v>498581.6249</v>
      </c>
      <c r="V92" s="6">
        <f>[1]Results!Y1516</f>
        <v>508932.14020000002</v>
      </c>
      <c r="W92" s="6">
        <f>[1]Results!Z1516</f>
        <v>520107.50949999999</v>
      </c>
      <c r="X92" s="6">
        <f>[1]Results!AA1516</f>
        <v>532274.50840000005</v>
      </c>
      <c r="Y92" s="6">
        <f>[1]Results!AB1516</f>
        <v>545547.06409999996</v>
      </c>
      <c r="Z92" s="6">
        <f>[1]Results!AC1516</f>
        <v>559995.28319999995</v>
      </c>
      <c r="AA92" s="6">
        <f>[1]Results!AD1516</f>
        <v>575628.7378</v>
      </c>
      <c r="AB92" s="6">
        <f>[1]Results!AE1516</f>
        <v>592342.6483</v>
      </c>
      <c r="AC92" s="6">
        <f>[1]Results!AF1516</f>
        <v>609742.00670000003</v>
      </c>
      <c r="AD92" s="6">
        <f>[1]Results!AG1516</f>
        <v>627982.37639999995</v>
      </c>
      <c r="AE92" s="6">
        <f>[1]Results!AH1516</f>
        <v>647187.01040000003</v>
      </c>
      <c r="AF92" s="6">
        <f>[1]Results!AI1516</f>
        <v>667274.34959999996</v>
      </c>
      <c r="AG92" s="6">
        <f>[1]Results!AJ1516</f>
        <v>688082.72450000001</v>
      </c>
      <c r="AH92" s="6">
        <f>[1]Results!AK1516</f>
        <v>709484.55240000004</v>
      </c>
      <c r="AI92" s="6">
        <f>[1]Results!AL1516</f>
        <v>731380.17559999996</v>
      </c>
      <c r="AJ92" s="6">
        <f>[1]Results!AM1516</f>
        <v>753660.60499999998</v>
      </c>
      <c r="AK92" s="6">
        <f>[1]Results!AN1516</f>
        <v>776209.93059999996</v>
      </c>
      <c r="AL92" s="6">
        <f>[1]Results!AO1516</f>
        <v>798904.6531</v>
      </c>
    </row>
    <row r="93" spans="1:38" x14ac:dyDescent="0.35">
      <c r="B93" t="s">
        <v>9</v>
      </c>
      <c r="C93" s="6">
        <f>[1]Results!F1528</f>
        <v>48465.392570000004</v>
      </c>
      <c r="D93" s="6">
        <f>[1]Results!G1528</f>
        <v>49489.280590000002</v>
      </c>
      <c r="E93" s="6">
        <f>[1]Results!H1528</f>
        <v>50531.9035</v>
      </c>
      <c r="F93" s="6">
        <f>[1]Results!I1528</f>
        <v>51637.402699999999</v>
      </c>
      <c r="G93" s="6">
        <f>[1]Results!J1528</f>
        <v>52826.663209999999</v>
      </c>
      <c r="H93" s="6">
        <f>[1]Results!K1528</f>
        <v>54098.030100000004</v>
      </c>
      <c r="I93" s="6">
        <f>[1]Results!L1528</f>
        <v>55436.220809999999</v>
      </c>
      <c r="J93" s="6">
        <f>[1]Results!M1528</f>
        <v>56485.204239999999</v>
      </c>
      <c r="K93" s="6">
        <f>[1]Results!N1528</f>
        <v>57538.182630000003</v>
      </c>
      <c r="L93" s="6">
        <f>[1]Results!O1528</f>
        <v>58858.319839999996</v>
      </c>
      <c r="M93" s="6">
        <f>[1]Results!P1528</f>
        <v>59965.715349999999</v>
      </c>
      <c r="N93" s="6">
        <f>[1]Results!Q1528</f>
        <v>60785.168030000001</v>
      </c>
      <c r="O93" s="6">
        <f>[1]Results!R1528</f>
        <v>61460.095249999998</v>
      </c>
      <c r="P93" s="6">
        <f>[1]Results!S1528</f>
        <v>62052.845979999998</v>
      </c>
      <c r="Q93" s="6">
        <f>[1]Results!T1528</f>
        <v>62622.304100000001</v>
      </c>
      <c r="R93" s="6">
        <f>[1]Results!U1528</f>
        <v>63194.309869999997</v>
      </c>
      <c r="S93" s="6">
        <f>[1]Results!V1528</f>
        <v>63767.552280000004</v>
      </c>
      <c r="T93" s="6">
        <f>[1]Results!W1528</f>
        <v>64364.49755</v>
      </c>
      <c r="U93" s="6">
        <f>[1]Results!X1528</f>
        <v>65013.92095</v>
      </c>
      <c r="V93" s="6">
        <f>[1]Results!Y1528</f>
        <v>65744.122610000006</v>
      </c>
      <c r="W93" s="6">
        <f>[1]Results!Z1528</f>
        <v>66560.784499999994</v>
      </c>
      <c r="X93" s="6">
        <f>[1]Results!AA1528</f>
        <v>67501.839550000004</v>
      </c>
      <c r="Y93" s="6">
        <f>[1]Results!AB1528</f>
        <v>68583.743600000002</v>
      </c>
      <c r="Z93" s="6">
        <f>[1]Results!AC1528</f>
        <v>69812.093630000003</v>
      </c>
      <c r="AA93" s="6">
        <f>[1]Results!AD1528</f>
        <v>71184.24914</v>
      </c>
      <c r="AB93" s="6">
        <f>[1]Results!AE1528</f>
        <v>72679.299039999998</v>
      </c>
      <c r="AC93" s="6">
        <f>[1]Results!AF1528</f>
        <v>74300.618440000006</v>
      </c>
      <c r="AD93" s="6">
        <f>[1]Results!AG1528</f>
        <v>76069.341339999999</v>
      </c>
      <c r="AE93" s="6">
        <f>[1]Results!AH1528</f>
        <v>77992.862099999998</v>
      </c>
      <c r="AF93" s="6">
        <f>[1]Results!AI1528</f>
        <v>80055.26685</v>
      </c>
      <c r="AG93" s="6">
        <f>[1]Results!AJ1528</f>
        <v>82232.285180000006</v>
      </c>
      <c r="AH93" s="6">
        <f>[1]Results!AK1528</f>
        <v>84508.684559999994</v>
      </c>
      <c r="AI93" s="6">
        <f>[1]Results!AL1528</f>
        <v>86869.160600000003</v>
      </c>
      <c r="AJ93" s="6">
        <f>[1]Results!AM1528</f>
        <v>89294.559670000002</v>
      </c>
      <c r="AK93" s="6">
        <f>[1]Results!AN1528</f>
        <v>91764.162880000003</v>
      </c>
      <c r="AL93" s="6">
        <f>[1]Results!AO1528</f>
        <v>94256.393179999999</v>
      </c>
    </row>
    <row r="94" spans="1:38" x14ac:dyDescent="0.35">
      <c r="B94" t="s">
        <v>10</v>
      </c>
      <c r="C94" s="6">
        <f>[1]Results!F1533</f>
        <v>1511265.9580000001</v>
      </c>
      <c r="D94" s="6">
        <f>[1]Results!G1533</f>
        <v>1537087.466</v>
      </c>
      <c r="E94" s="6">
        <f>[1]Results!H1533</f>
        <v>1566001.192</v>
      </c>
      <c r="F94" s="6">
        <f>[1]Results!I1533</f>
        <v>1597914.9620000001</v>
      </c>
      <c r="G94" s="6">
        <f>[1]Results!J1533</f>
        <v>1632200.128</v>
      </c>
      <c r="H94" s="6">
        <f>[1]Results!K1533</f>
        <v>1668652.1170000001</v>
      </c>
      <c r="I94" s="6">
        <f>[1]Results!L1533</f>
        <v>1706944.8529999999</v>
      </c>
      <c r="J94" s="6">
        <f>[1]Results!M1533</f>
        <v>1742666.0279999999</v>
      </c>
      <c r="K94" s="6">
        <f>[1]Results!N1533</f>
        <v>1779422.8689999999</v>
      </c>
      <c r="L94" s="6">
        <f>[1]Results!O1533</f>
        <v>1823170.274</v>
      </c>
      <c r="M94" s="6">
        <f>[1]Results!P1533</f>
        <v>1868248.969</v>
      </c>
      <c r="N94" s="6">
        <f>[1]Results!Q1533</f>
        <v>1908210.5209999999</v>
      </c>
      <c r="O94" s="6">
        <f>[1]Results!R1533</f>
        <v>1944071.7849999999</v>
      </c>
      <c r="P94" s="6">
        <f>[1]Results!S1533</f>
        <v>1976768.882</v>
      </c>
      <c r="Q94" s="6">
        <f>[1]Results!T1533</f>
        <v>2007576.0109999999</v>
      </c>
      <c r="R94" s="6">
        <f>[1]Results!U1533</f>
        <v>2037436.0619999999</v>
      </c>
      <c r="S94" s="6">
        <f>[1]Results!V1533</f>
        <v>2066820.311</v>
      </c>
      <c r="T94" s="6">
        <f>[1]Results!W1533</f>
        <v>2096782.1869999999</v>
      </c>
      <c r="U94" s="6">
        <f>[1]Results!X1533</f>
        <v>2128034.4789999998</v>
      </c>
      <c r="V94" s="6">
        <f>[1]Results!Y1533</f>
        <v>2161047.7629999998</v>
      </c>
      <c r="W94" s="6">
        <f>[1]Results!Z1533</f>
        <v>2195947.3990000002</v>
      </c>
      <c r="X94" s="6">
        <f>[1]Results!AA1533</f>
        <v>2233188.906</v>
      </c>
      <c r="Y94" s="6">
        <f>[1]Results!AB1533</f>
        <v>2273205.4210000001</v>
      </c>
      <c r="Z94" s="6">
        <f>[1]Results!AC1533</f>
        <v>2316283.7340000002</v>
      </c>
      <c r="AA94" s="6">
        <f>[1]Results!AD1533</f>
        <v>2362529.0099999998</v>
      </c>
      <c r="AB94" s="6">
        <f>[1]Results!AE1533</f>
        <v>2411268.1880000001</v>
      </c>
      <c r="AC94" s="6">
        <f>[1]Results!AF1533</f>
        <v>2461904.6239999998</v>
      </c>
      <c r="AD94" s="6">
        <f>[1]Results!AG1533</f>
        <v>2515002.2140000002</v>
      </c>
      <c r="AE94" s="6">
        <f>[1]Results!AH1533</f>
        <v>2570997.486</v>
      </c>
      <c r="AF94" s="6">
        <f>[1]Results!AI1533</f>
        <v>2629807.2239999999</v>
      </c>
      <c r="AG94" s="6">
        <f>[1]Results!AJ1533</f>
        <v>2691048.7850000001</v>
      </c>
      <c r="AH94" s="6">
        <f>[1]Results!AK1533</f>
        <v>2754182.9049999998</v>
      </c>
      <c r="AI94" s="6">
        <f>[1]Results!AL1533</f>
        <v>2818905.5329999998</v>
      </c>
      <c r="AJ94" s="6">
        <f>[1]Results!AM1533</f>
        <v>2884868.7259999998</v>
      </c>
      <c r="AK94" s="6">
        <f>[1]Results!AN1533</f>
        <v>2951703.4309999999</v>
      </c>
      <c r="AL94" s="6">
        <f>[1]Results!AO1533</f>
        <v>3019024.7390000001</v>
      </c>
    </row>
    <row r="95" spans="1:38" x14ac:dyDescent="0.35">
      <c r="B95" t="s">
        <v>32</v>
      </c>
      <c r="C95" s="6">
        <f>C100-C96</f>
        <v>-2005.8236241000002</v>
      </c>
      <c r="D95" s="6">
        <f t="shared" ref="D95:AL95" si="8">D100-D96</f>
        <v>-2023.0417843</v>
      </c>
      <c r="E95" s="6">
        <f t="shared" si="8"/>
        <v>-2043.0722831000003</v>
      </c>
      <c r="F95" s="6">
        <f t="shared" si="8"/>
        <v>-2063.8170563000003</v>
      </c>
      <c r="G95" s="6">
        <f t="shared" si="8"/>
        <v>-2085.8311054999999</v>
      </c>
      <c r="H95" s="6">
        <f t="shared" si="8"/>
        <v>-2116.4967545</v>
      </c>
      <c r="I95" s="6">
        <f t="shared" si="8"/>
        <v>-2165.7790577999999</v>
      </c>
      <c r="J95" s="6">
        <f t="shared" si="8"/>
        <v>-2227.4758861</v>
      </c>
      <c r="K95" s="6">
        <f t="shared" si="8"/>
        <v>-2277.0155378999998</v>
      </c>
      <c r="L95" s="6">
        <f t="shared" si="8"/>
        <v>-2316.0773513999998</v>
      </c>
      <c r="M95" s="6">
        <f t="shared" si="8"/>
        <v>-2398.9331534000003</v>
      </c>
      <c r="N95" s="6">
        <f t="shared" si="8"/>
        <v>-2460.5724792000001</v>
      </c>
      <c r="O95" s="6">
        <f t="shared" si="8"/>
        <v>-2517.4163005</v>
      </c>
      <c r="P95" s="6">
        <f t="shared" si="8"/>
        <v>-2573.9041187000003</v>
      </c>
      <c r="Q95" s="6">
        <f t="shared" si="8"/>
        <v>-2632.5951481000002</v>
      </c>
      <c r="R95" s="6">
        <f t="shared" si="8"/>
        <v>-2695.8649533999996</v>
      </c>
      <c r="S95" s="6">
        <f t="shared" si="8"/>
        <v>-2847.1565415999999</v>
      </c>
      <c r="T95" s="6">
        <f t="shared" si="8"/>
        <v>-3002.6504759999998</v>
      </c>
      <c r="U95" s="6">
        <f t="shared" si="8"/>
        <v>-3163.026233</v>
      </c>
      <c r="V95" s="6">
        <f t="shared" si="8"/>
        <v>-3276.5019212999996</v>
      </c>
      <c r="W95" s="6">
        <f t="shared" si="8"/>
        <v>-3286.0077557</v>
      </c>
      <c r="X95" s="6">
        <f t="shared" si="8"/>
        <v>-3272.0835010000001</v>
      </c>
      <c r="Y95" s="6">
        <f t="shared" si="8"/>
        <v>-3237.9058370000002</v>
      </c>
      <c r="Z95" s="6">
        <f t="shared" si="8"/>
        <v>-3176.7053270000001</v>
      </c>
      <c r="AA95" s="6">
        <f t="shared" si="8"/>
        <v>-3080.5280149999999</v>
      </c>
      <c r="AB95" s="6">
        <f t="shared" si="8"/>
        <v>-2941.159991</v>
      </c>
      <c r="AC95" s="6">
        <f t="shared" si="8"/>
        <v>-2713.1676590000002</v>
      </c>
      <c r="AD95" s="6">
        <f t="shared" si="8"/>
        <v>-2405.9145570000005</v>
      </c>
      <c r="AE95" s="6">
        <f t="shared" si="8"/>
        <v>-2033.195929</v>
      </c>
      <c r="AF95" s="6">
        <f t="shared" si="8"/>
        <v>-1602.9526999999998</v>
      </c>
      <c r="AG95" s="6">
        <f t="shared" si="8"/>
        <v>-1121.0300859999998</v>
      </c>
      <c r="AH95" s="6">
        <f t="shared" si="8"/>
        <v>-594.63496500000019</v>
      </c>
      <c r="AI95" s="6">
        <f t="shared" si="8"/>
        <v>-33.003033000000414</v>
      </c>
      <c r="AJ95" s="6">
        <f t="shared" si="8"/>
        <v>553.16648700000042</v>
      </c>
      <c r="AK95" s="6">
        <f t="shared" si="8"/>
        <v>1152.7832170000001</v>
      </c>
      <c r="AL95" s="6">
        <f t="shared" si="8"/>
        <v>1755.2282849999997</v>
      </c>
    </row>
    <row r="96" spans="1:38" x14ac:dyDescent="0.35">
      <c r="B96" t="s">
        <v>39</v>
      </c>
      <c r="C96" s="6">
        <f>C98+C99</f>
        <v>-119.39821989999996</v>
      </c>
      <c r="D96" s="6">
        <f t="shared" ref="D96:AL96" si="9">D98+D99</f>
        <v>-120.31665070000003</v>
      </c>
      <c r="E96" s="6">
        <f t="shared" si="9"/>
        <v>-118.16167989999997</v>
      </c>
      <c r="F96" s="6">
        <f t="shared" si="9"/>
        <v>-116.32640069999997</v>
      </c>
      <c r="G96" s="6">
        <f t="shared" si="9"/>
        <v>-113.62550750000003</v>
      </c>
      <c r="H96" s="6">
        <f t="shared" si="9"/>
        <v>-111.65190749999999</v>
      </c>
      <c r="I96" s="6">
        <f t="shared" si="9"/>
        <v>-99.158227199999942</v>
      </c>
      <c r="J96" s="6">
        <f t="shared" si="9"/>
        <v>-88.713080900000023</v>
      </c>
      <c r="K96" s="6">
        <f t="shared" si="9"/>
        <v>-77.650023099999999</v>
      </c>
      <c r="L96" s="6">
        <f t="shared" si="9"/>
        <v>-64.085290600000008</v>
      </c>
      <c r="M96" s="6">
        <f t="shared" si="9"/>
        <v>-15.39416360000007</v>
      </c>
      <c r="N96" s="6">
        <f t="shared" si="9"/>
        <v>28.450856200000089</v>
      </c>
      <c r="O96" s="6">
        <f t="shared" si="9"/>
        <v>72.903334500000028</v>
      </c>
      <c r="P96" s="6">
        <f t="shared" si="9"/>
        <v>119.62957370000004</v>
      </c>
      <c r="Q96" s="6">
        <f t="shared" si="9"/>
        <v>169.31817109999997</v>
      </c>
      <c r="R96" s="6">
        <f t="shared" si="9"/>
        <v>222.20841739999992</v>
      </c>
      <c r="S96" s="6">
        <f t="shared" si="9"/>
        <v>357.58114660000001</v>
      </c>
      <c r="T96" s="6">
        <f t="shared" si="9"/>
        <v>507.9151589999999</v>
      </c>
      <c r="U96" s="6">
        <f t="shared" si="9"/>
        <v>659.96861200000001</v>
      </c>
      <c r="V96" s="6">
        <f t="shared" si="9"/>
        <v>767.22418829999992</v>
      </c>
      <c r="W96" s="6">
        <f t="shared" si="9"/>
        <v>800.01616569999999</v>
      </c>
      <c r="X96" s="6">
        <f t="shared" si="9"/>
        <v>810.02468900000008</v>
      </c>
      <c r="Y96" s="6">
        <f t="shared" si="9"/>
        <v>798.49583899999993</v>
      </c>
      <c r="Z96" s="6">
        <f t="shared" si="9"/>
        <v>759.22937700000011</v>
      </c>
      <c r="AA96" s="6">
        <f t="shared" si="9"/>
        <v>684.79589699999974</v>
      </c>
      <c r="AB96" s="6">
        <f t="shared" si="9"/>
        <v>567.41703800000005</v>
      </c>
      <c r="AC96" s="6">
        <f t="shared" si="9"/>
        <v>361.21269700000039</v>
      </c>
      <c r="AD96" s="6">
        <f t="shared" si="9"/>
        <v>81.881755000000339</v>
      </c>
      <c r="AE96" s="6">
        <f t="shared" si="9"/>
        <v>-260.16502700000001</v>
      </c>
      <c r="AF96" s="6">
        <f t="shared" si="9"/>
        <v>-659.87281900000016</v>
      </c>
      <c r="AG96" s="6">
        <f t="shared" si="9"/>
        <v>-1112.1496910000001</v>
      </c>
      <c r="AH96" s="6">
        <f t="shared" si="9"/>
        <v>-1609.5682649999999</v>
      </c>
      <c r="AI96" s="6">
        <f t="shared" si="9"/>
        <v>-2143.3442829999995</v>
      </c>
      <c r="AJ96" s="6">
        <f t="shared" si="9"/>
        <v>-2703.3202160000005</v>
      </c>
      <c r="AK96" s="6">
        <f t="shared" si="9"/>
        <v>-3279.0309810000003</v>
      </c>
      <c r="AL96" s="6">
        <f t="shared" si="9"/>
        <v>-3860.4885619999995</v>
      </c>
    </row>
    <row r="97" spans="2:38" x14ac:dyDescent="0.35">
      <c r="B97" t="s">
        <v>36</v>
      </c>
      <c r="C97" s="6">
        <f>[1]Results!F1541</f>
        <v>40646.551729999999</v>
      </c>
      <c r="D97" s="6">
        <f>[1]Results!G1541</f>
        <v>41285.607640000002</v>
      </c>
      <c r="E97" s="6">
        <f>[1]Results!H1541</f>
        <v>41904.395360000002</v>
      </c>
      <c r="F97" s="6">
        <f>[1]Results!I1541</f>
        <v>42581.66214</v>
      </c>
      <c r="G97" s="6">
        <f>[1]Results!J1541</f>
        <v>43206.816919999997</v>
      </c>
      <c r="H97" s="6">
        <f>[1]Results!K1541</f>
        <v>43849.774389999999</v>
      </c>
      <c r="I97" s="6">
        <f>[1]Results!L1541</f>
        <v>43881.952019999997</v>
      </c>
      <c r="J97" s="6">
        <f>[1]Results!M1541</f>
        <v>43766.723989999999</v>
      </c>
      <c r="K97" s="6">
        <f>[1]Results!N1541</f>
        <v>43602.206209999997</v>
      </c>
      <c r="L97" s="6">
        <f>[1]Results!O1541</f>
        <v>43570.803070000002</v>
      </c>
      <c r="M97" s="6">
        <f>[1]Results!P1541</f>
        <v>43464.427479999998</v>
      </c>
      <c r="N97" s="6">
        <f>[1]Results!Q1541</f>
        <v>43075.659590000003</v>
      </c>
      <c r="O97" s="6">
        <f>[1]Results!R1541</f>
        <v>42476.900159999997</v>
      </c>
      <c r="P97" s="6">
        <f>[1]Results!S1541</f>
        <v>41710.277600000001</v>
      </c>
      <c r="Q97" s="6">
        <f>[1]Results!T1541</f>
        <v>40821.540260000002</v>
      </c>
      <c r="R97" s="6">
        <f>[1]Results!U1541</f>
        <v>39829.41012</v>
      </c>
      <c r="S97" s="6">
        <f>[1]Results!V1541</f>
        <v>38660.348689999999</v>
      </c>
      <c r="T97" s="6">
        <f>[1]Results!W1541</f>
        <v>37370.59072</v>
      </c>
      <c r="U97" s="6">
        <f>[1]Results!X1541</f>
        <v>35974.355230000001</v>
      </c>
      <c r="V97" s="6">
        <f>[1]Results!Y1541</f>
        <v>34467.135540000003</v>
      </c>
      <c r="W97" s="6">
        <f>[1]Results!Z1541</f>
        <v>32838.529519999996</v>
      </c>
      <c r="X97" s="6">
        <f>[1]Results!AA1541</f>
        <v>31067.853640000001</v>
      </c>
      <c r="Y97" s="6">
        <f>[1]Results!AB1541</f>
        <v>29156.18504</v>
      </c>
      <c r="Z97" s="6">
        <f>[1]Results!AC1541</f>
        <v>27071.16921</v>
      </c>
      <c r="AA97" s="6">
        <f>[1]Results!AD1541</f>
        <v>24761.065480000001</v>
      </c>
      <c r="AB97" s="6">
        <f>[1]Results!AE1541</f>
        <v>22148.108840000001</v>
      </c>
      <c r="AC97" s="6">
        <f>[1]Results!AF1541</f>
        <v>21706.538690000001</v>
      </c>
      <c r="AD97" s="6">
        <f>[1]Results!AG1541</f>
        <v>22062.72709</v>
      </c>
      <c r="AE97" s="6">
        <f>[1]Results!AH1541</f>
        <v>22616.00878</v>
      </c>
      <c r="AF97" s="6">
        <f>[1]Results!AI1541</f>
        <v>23175.23806</v>
      </c>
      <c r="AG97" s="6">
        <f>[1]Results!AJ1541</f>
        <v>23689.6963</v>
      </c>
      <c r="AH97" s="6">
        <f>[1]Results!AK1541</f>
        <v>24148.926070000001</v>
      </c>
      <c r="AI97" s="6">
        <f>[1]Results!AL1541</f>
        <v>24567.6669</v>
      </c>
      <c r="AJ97" s="6">
        <f>[1]Results!AM1541</f>
        <v>24952.063750000001</v>
      </c>
      <c r="AK97" s="6">
        <f>[1]Results!AN1541</f>
        <v>25305.325540000002</v>
      </c>
      <c r="AL97" s="6">
        <f>[1]Results!AO1541</f>
        <v>25629.478070000001</v>
      </c>
    </row>
    <row r="98" spans="2:38" x14ac:dyDescent="0.35">
      <c r="B98" t="s">
        <v>38</v>
      </c>
      <c r="C98" s="6">
        <f>[1]Results!F1538</f>
        <v>-612.35718799999995</v>
      </c>
      <c r="D98" s="6">
        <f>[1]Results!G1538</f>
        <v>-616.73057010000002</v>
      </c>
      <c r="E98" s="6">
        <f>[1]Results!H1538</f>
        <v>-618.83694639999999</v>
      </c>
      <c r="F98" s="6">
        <f>[1]Results!I1538</f>
        <v>-621.09058419999997</v>
      </c>
      <c r="G98" s="6">
        <f>[1]Results!J1538</f>
        <v>-624.86686970000005</v>
      </c>
      <c r="H98" s="6">
        <f>[1]Results!K1538</f>
        <v>-631.04317289999995</v>
      </c>
      <c r="I98" s="6">
        <f>[1]Results!L1538</f>
        <v>-639.07934039999998</v>
      </c>
      <c r="J98" s="6">
        <f>[1]Results!M1538</f>
        <v>-647.10295559999997</v>
      </c>
      <c r="K98" s="6">
        <f>[1]Results!N1538</f>
        <v>-653.18400799999995</v>
      </c>
      <c r="L98" s="6">
        <f>[1]Results!O1538</f>
        <v>-657.73727250000002</v>
      </c>
      <c r="M98" s="6">
        <f>[1]Results!P1538</f>
        <v>-660.86380140000006</v>
      </c>
      <c r="N98" s="6">
        <f>[1]Results!Q1538</f>
        <v>-662.85878449999996</v>
      </c>
      <c r="O98" s="6">
        <f>[1]Results!R1538</f>
        <v>-665.57921469999997</v>
      </c>
      <c r="P98" s="6">
        <f>[1]Results!S1538</f>
        <v>-668.62285589999999</v>
      </c>
      <c r="Q98" s="6">
        <f>[1]Results!T1538</f>
        <v>-671.77072910000004</v>
      </c>
      <c r="R98" s="6">
        <f>[1]Results!U1538</f>
        <v>-674.91439230000003</v>
      </c>
      <c r="S98" s="6">
        <f>[1]Results!V1538</f>
        <v>-677.71695539999996</v>
      </c>
      <c r="T98" s="6">
        <f>[1]Results!W1538</f>
        <v>-679.917058</v>
      </c>
      <c r="U98" s="6">
        <f>[1]Results!X1538</f>
        <v>-694.90595599999995</v>
      </c>
      <c r="V98" s="6">
        <f>[1]Results!Y1538</f>
        <v>-767.33263669999997</v>
      </c>
      <c r="W98" s="6">
        <f>[1]Results!Z1538</f>
        <v>-924.78947230000006</v>
      </c>
      <c r="X98" s="6">
        <f>[1]Results!AA1538</f>
        <v>-1113.098661</v>
      </c>
      <c r="Y98" s="6">
        <f>[1]Results!AB1538</f>
        <v>-1327.095403</v>
      </c>
      <c r="Z98" s="6">
        <f>[1]Results!AC1538</f>
        <v>-1568.2922140000001</v>
      </c>
      <c r="AA98" s="6">
        <f>[1]Results!AD1538</f>
        <v>-1838.7385200000001</v>
      </c>
      <c r="AB98" s="6">
        <f>[1]Results!AE1538</f>
        <v>-2139.8868170000001</v>
      </c>
      <c r="AC98" s="6">
        <f>[1]Results!AF1538</f>
        <v>-2472.1716459999998</v>
      </c>
      <c r="AD98" s="6">
        <f>[1]Results!AG1538</f>
        <v>-2835.1900799999999</v>
      </c>
      <c r="AE98" s="6">
        <f>[1]Results!AH1538</f>
        <v>-3227.9234459999998</v>
      </c>
      <c r="AF98" s="6">
        <f>[1]Results!AI1538</f>
        <v>-3648.0481930000001</v>
      </c>
      <c r="AG98" s="6">
        <f>[1]Results!AJ1538</f>
        <v>-4091.7362739999999</v>
      </c>
      <c r="AH98" s="6">
        <f>[1]Results!AK1538</f>
        <v>-4554.0851339999999</v>
      </c>
      <c r="AI98" s="6">
        <f>[1]Results!AL1538</f>
        <v>-5029.5991379999996</v>
      </c>
      <c r="AJ98" s="6">
        <f>[1]Results!AM1538</f>
        <v>-5512.0852320000004</v>
      </c>
      <c r="AK98" s="6">
        <f>[1]Results!AN1538</f>
        <v>-5995.1738340000002</v>
      </c>
      <c r="AL98" s="6">
        <f>[1]Results!AO1538</f>
        <v>-6472.7530859999997</v>
      </c>
    </row>
    <row r="99" spans="2:38" x14ac:dyDescent="0.35">
      <c r="B99" t="s">
        <v>37</v>
      </c>
      <c r="C99" s="6">
        <f>[1]Results!F1540</f>
        <v>492.95896809999999</v>
      </c>
      <c r="D99" s="6">
        <f>[1]Results!G1540</f>
        <v>496.4139194</v>
      </c>
      <c r="E99" s="6">
        <f>[1]Results!H1540</f>
        <v>500.67526650000002</v>
      </c>
      <c r="F99" s="6">
        <f>[1]Results!I1540</f>
        <v>504.7641835</v>
      </c>
      <c r="G99" s="6">
        <f>[1]Results!J1540</f>
        <v>511.24136220000003</v>
      </c>
      <c r="H99" s="6">
        <f>[1]Results!K1540</f>
        <v>519.39126539999995</v>
      </c>
      <c r="I99" s="6">
        <f>[1]Results!L1540</f>
        <v>539.92111320000004</v>
      </c>
      <c r="J99" s="6">
        <f>[1]Results!M1540</f>
        <v>558.38987469999995</v>
      </c>
      <c r="K99" s="6">
        <f>[1]Results!N1540</f>
        <v>575.53398489999995</v>
      </c>
      <c r="L99" s="6">
        <f>[1]Results!O1540</f>
        <v>593.65198190000001</v>
      </c>
      <c r="M99" s="6">
        <f>[1]Results!P1540</f>
        <v>645.46963779999999</v>
      </c>
      <c r="N99" s="6">
        <f>[1]Results!Q1540</f>
        <v>691.30964070000005</v>
      </c>
      <c r="O99" s="6">
        <f>[1]Results!R1540</f>
        <v>738.48254919999999</v>
      </c>
      <c r="P99" s="6">
        <f>[1]Results!S1540</f>
        <v>788.25242960000003</v>
      </c>
      <c r="Q99" s="6">
        <f>[1]Results!T1540</f>
        <v>841.08890020000001</v>
      </c>
      <c r="R99" s="6">
        <f>[1]Results!U1540</f>
        <v>897.12280969999995</v>
      </c>
      <c r="S99" s="6">
        <f>[1]Results!V1540</f>
        <v>1035.298102</v>
      </c>
      <c r="T99" s="6">
        <f>[1]Results!W1540</f>
        <v>1187.8322169999999</v>
      </c>
      <c r="U99" s="6">
        <f>[1]Results!X1540</f>
        <v>1354.874568</v>
      </c>
      <c r="V99" s="6">
        <f>[1]Results!Y1540</f>
        <v>1534.5568249999999</v>
      </c>
      <c r="W99" s="6">
        <f>[1]Results!Z1540</f>
        <v>1724.805638</v>
      </c>
      <c r="X99" s="6">
        <f>[1]Results!AA1540</f>
        <v>1923.1233500000001</v>
      </c>
      <c r="Y99" s="6">
        <f>[1]Results!AB1540</f>
        <v>2125.591242</v>
      </c>
      <c r="Z99" s="6">
        <f>[1]Results!AC1540</f>
        <v>2327.5215910000002</v>
      </c>
      <c r="AA99" s="6">
        <f>[1]Results!AD1540</f>
        <v>2523.5344169999998</v>
      </c>
      <c r="AB99" s="6">
        <f>[1]Results!AE1540</f>
        <v>2707.3038550000001</v>
      </c>
      <c r="AC99" s="6">
        <f>[1]Results!AF1540</f>
        <v>2833.3843430000002</v>
      </c>
      <c r="AD99" s="6">
        <f>[1]Results!AG1540</f>
        <v>2917.0718350000002</v>
      </c>
      <c r="AE99" s="6">
        <f>[1]Results!AH1540</f>
        <v>2967.7584189999998</v>
      </c>
      <c r="AF99" s="6">
        <f>[1]Results!AI1540</f>
        <v>2988.1753739999999</v>
      </c>
      <c r="AG99" s="6">
        <f>[1]Results!AJ1540</f>
        <v>2979.5865829999998</v>
      </c>
      <c r="AH99" s="6">
        <f>[1]Results!AK1540</f>
        <v>2944.516869</v>
      </c>
      <c r="AI99" s="6">
        <f>[1]Results!AL1540</f>
        <v>2886.2548550000001</v>
      </c>
      <c r="AJ99" s="6">
        <f>[1]Results!AM1540</f>
        <v>2808.7650159999998</v>
      </c>
      <c r="AK99" s="6">
        <f>[1]Results!AN1540</f>
        <v>2716.1428529999998</v>
      </c>
      <c r="AL99" s="6">
        <f>[1]Results!AO1540</f>
        <v>2612.2645240000002</v>
      </c>
    </row>
    <row r="100" spans="2:38" x14ac:dyDescent="0.35">
      <c r="B100" t="s">
        <v>40</v>
      </c>
      <c r="C100" s="6">
        <f>[1]Results!F1537</f>
        <v>-2125.2218440000001</v>
      </c>
      <c r="D100" s="6">
        <f>[1]Results!G1537</f>
        <v>-2143.3584350000001</v>
      </c>
      <c r="E100" s="6">
        <f>[1]Results!H1537</f>
        <v>-2161.2339630000001</v>
      </c>
      <c r="F100" s="6">
        <f>[1]Results!I1537</f>
        <v>-2180.1434570000001</v>
      </c>
      <c r="G100" s="6">
        <f>[1]Results!J1537</f>
        <v>-2199.4566129999998</v>
      </c>
      <c r="H100" s="6">
        <f>[1]Results!K1537</f>
        <v>-2228.1486620000001</v>
      </c>
      <c r="I100" s="6">
        <f>[1]Results!L1537</f>
        <v>-2264.937285</v>
      </c>
      <c r="J100" s="6">
        <f>[1]Results!M1537</f>
        <v>-2316.188967</v>
      </c>
      <c r="K100" s="6">
        <f>[1]Results!N1537</f>
        <v>-2354.6655609999998</v>
      </c>
      <c r="L100" s="6">
        <f>[1]Results!O1537</f>
        <v>-2380.1626419999998</v>
      </c>
      <c r="M100" s="6">
        <f>[1]Results!P1537</f>
        <v>-2414.3273170000002</v>
      </c>
      <c r="N100" s="6">
        <f>[1]Results!Q1537</f>
        <v>-2432.121623</v>
      </c>
      <c r="O100" s="6">
        <f>[1]Results!R1537</f>
        <v>-2444.5129659999998</v>
      </c>
      <c r="P100" s="6">
        <f>[1]Results!S1537</f>
        <v>-2454.2745450000002</v>
      </c>
      <c r="Q100" s="6">
        <f>[1]Results!T1537</f>
        <v>-2463.276977</v>
      </c>
      <c r="R100" s="6">
        <f>[1]Results!U1537</f>
        <v>-2473.656536</v>
      </c>
      <c r="S100" s="6">
        <f>[1]Results!V1537</f>
        <v>-2489.5753949999998</v>
      </c>
      <c r="T100" s="6">
        <f>[1]Results!W1537</f>
        <v>-2494.7353170000001</v>
      </c>
      <c r="U100" s="6">
        <f>[1]Results!X1537</f>
        <v>-2503.0576209999999</v>
      </c>
      <c r="V100" s="6">
        <f>[1]Results!Y1537</f>
        <v>-2509.2777329999999</v>
      </c>
      <c r="W100" s="6">
        <f>[1]Results!Z1537</f>
        <v>-2485.9915900000001</v>
      </c>
      <c r="X100" s="6">
        <f>[1]Results!AA1537</f>
        <v>-2462.0588120000002</v>
      </c>
      <c r="Y100" s="6">
        <f>[1]Results!AB1537</f>
        <v>-2439.4099980000001</v>
      </c>
      <c r="Z100" s="6">
        <f>[1]Results!AC1537</f>
        <v>-2417.47595</v>
      </c>
      <c r="AA100" s="6">
        <f>[1]Results!AD1537</f>
        <v>-2395.7321179999999</v>
      </c>
      <c r="AB100" s="6">
        <f>[1]Results!AE1537</f>
        <v>-2373.7429529999999</v>
      </c>
      <c r="AC100" s="6">
        <f>[1]Results!AF1537</f>
        <v>-2351.9549619999998</v>
      </c>
      <c r="AD100" s="6">
        <f>[1]Results!AG1537</f>
        <v>-2324.0328020000002</v>
      </c>
      <c r="AE100" s="6">
        <f>[1]Results!AH1537</f>
        <v>-2293.360956</v>
      </c>
      <c r="AF100" s="6">
        <f>[1]Results!AI1537</f>
        <v>-2262.825519</v>
      </c>
      <c r="AG100" s="6">
        <f>[1]Results!AJ1537</f>
        <v>-2233.1797769999998</v>
      </c>
      <c r="AH100" s="6">
        <f>[1]Results!AK1537</f>
        <v>-2204.2032300000001</v>
      </c>
      <c r="AI100" s="6">
        <f>[1]Results!AL1537</f>
        <v>-2176.3473159999999</v>
      </c>
      <c r="AJ100" s="6">
        <f>[1]Results!AM1537</f>
        <v>-2150.1537290000001</v>
      </c>
      <c r="AK100" s="6">
        <f>[1]Results!AN1537</f>
        <v>-2126.2477640000002</v>
      </c>
      <c r="AL100" s="6">
        <f>[1]Results!AO1537</f>
        <v>-2105.2602769999999</v>
      </c>
    </row>
    <row r="101" spans="2:38" x14ac:dyDescent="0.35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3" spans="2:38" x14ac:dyDescent="0.35">
      <c r="B103" t="s">
        <v>16</v>
      </c>
      <c r="C103" s="8" t="s">
        <v>17</v>
      </c>
      <c r="D103" s="8" t="s">
        <v>18</v>
      </c>
      <c r="E103" s="8" t="s">
        <v>19</v>
      </c>
    </row>
    <row r="104" spans="2:38" x14ac:dyDescent="0.35">
      <c r="B104" t="s">
        <v>30</v>
      </c>
      <c r="C104" s="4">
        <f>(R90-R78)/R78</f>
        <v>4.2413533059524949E-3</v>
      </c>
      <c r="D104" s="11">
        <f>(AB90-AB78)/AB78</f>
        <v>7.5016345352260031E-4</v>
      </c>
      <c r="E104" s="11">
        <f>(AL90-AL78)/AL78</f>
        <v>-4.257544307954662E-3</v>
      </c>
    </row>
    <row r="105" spans="2:38" x14ac:dyDescent="0.35">
      <c r="B105" t="s">
        <v>7</v>
      </c>
      <c r="C105" s="4">
        <f t="shared" ref="C105:C111" si="10">(R91-R79)/R79</f>
        <v>-5.9984958064559432E-3</v>
      </c>
      <c r="D105" s="4">
        <f t="shared" ref="D105:D111" si="11">(AB91-AB79)/AB79</f>
        <v>-1.4387409015536269E-2</v>
      </c>
      <c r="E105" s="4">
        <f t="shared" ref="E105:E111" si="12">(AL91-AL79)/AL79</f>
        <v>-2.2495842745330098E-2</v>
      </c>
      <c r="Q105" s="5"/>
      <c r="U105" s="5"/>
      <c r="V105" s="5"/>
      <c r="Y105" s="5"/>
      <c r="Z105" s="5"/>
      <c r="AA105" s="5"/>
    </row>
    <row r="106" spans="2:38" x14ac:dyDescent="0.35">
      <c r="B106" t="s">
        <v>33</v>
      </c>
      <c r="C106" s="4">
        <f t="shared" si="10"/>
        <v>-1.6035042755507495E-3</v>
      </c>
      <c r="D106" s="4">
        <f t="shared" si="11"/>
        <v>-6.7165338538353039E-3</v>
      </c>
      <c r="E106" s="4">
        <f t="shared" si="12"/>
        <v>-5.1478673074955754E-3</v>
      </c>
      <c r="Q106" s="5"/>
      <c r="U106" s="5"/>
      <c r="V106" s="5"/>
      <c r="Y106" s="5"/>
      <c r="Z106" s="5"/>
      <c r="AA106" s="5"/>
    </row>
    <row r="107" spans="2:38" x14ac:dyDescent="0.35">
      <c r="B107" t="s">
        <v>9</v>
      </c>
      <c r="C107" s="4">
        <f t="shared" si="10"/>
        <v>-3.3047135846182539E-2</v>
      </c>
      <c r="D107" s="4">
        <f t="shared" si="11"/>
        <v>-6.7353347296615296E-2</v>
      </c>
      <c r="E107" s="4">
        <f t="shared" si="12"/>
        <v>-6.2350761372512213E-2</v>
      </c>
      <c r="Q107" s="5"/>
      <c r="U107" s="5"/>
      <c r="V107" s="5"/>
      <c r="Y107" s="5"/>
      <c r="Z107" s="5"/>
      <c r="AA107" s="5"/>
    </row>
    <row r="108" spans="2:38" x14ac:dyDescent="0.35">
      <c r="B108" t="s">
        <v>10</v>
      </c>
      <c r="C108" s="4">
        <f t="shared" si="10"/>
        <v>6.5168266844645769E-3</v>
      </c>
      <c r="D108" s="4">
        <f t="shared" si="11"/>
        <v>4.983244297602228E-3</v>
      </c>
      <c r="E108" s="4">
        <f t="shared" si="12"/>
        <v>-1.3109998718509205E-4</v>
      </c>
      <c r="Q108" s="5"/>
      <c r="U108" s="5"/>
      <c r="V108" s="5"/>
      <c r="Y108" s="5"/>
      <c r="Z108" s="5"/>
      <c r="AA108" s="5"/>
    </row>
    <row r="109" spans="2:38" x14ac:dyDescent="0.35">
      <c r="B109" t="s">
        <v>32</v>
      </c>
      <c r="C109" s="4">
        <f t="shared" si="10"/>
        <v>0.24751704521057954</v>
      </c>
      <c r="D109" s="4">
        <f t="shared" si="11"/>
        <v>0.29875774546781997</v>
      </c>
      <c r="E109" s="4">
        <f t="shared" si="12"/>
        <v>-1.6513106180918196</v>
      </c>
      <c r="Q109" s="5"/>
      <c r="U109" s="5"/>
      <c r="V109" s="5"/>
      <c r="Y109" s="5"/>
      <c r="Z109" s="5"/>
      <c r="AA109" s="5"/>
    </row>
    <row r="110" spans="2:38" x14ac:dyDescent="0.35">
      <c r="B110" t="s">
        <v>39</v>
      </c>
      <c r="C110" s="4">
        <f t="shared" si="10"/>
        <v>-1.9991850991906062</v>
      </c>
      <c r="D110" s="4">
        <f t="shared" si="11"/>
        <v>-2.8439774388523866</v>
      </c>
      <c r="E110" s="4">
        <f t="shared" si="12"/>
        <v>7.551604341006942</v>
      </c>
      <c r="Q110" s="5"/>
      <c r="U110" s="5"/>
      <c r="V110" s="5"/>
      <c r="Y110" s="5"/>
      <c r="Z110" s="5"/>
      <c r="AA110" s="5"/>
    </row>
    <row r="111" spans="2:38" x14ac:dyDescent="0.35">
      <c r="B111" t="s">
        <v>36</v>
      </c>
      <c r="C111" s="4">
        <f t="shared" si="10"/>
        <v>2.1985787287957682E-2</v>
      </c>
      <c r="D111" s="4">
        <f t="shared" si="11"/>
        <v>-1.9066823704255321E-2</v>
      </c>
      <c r="E111" s="4">
        <f t="shared" si="12"/>
        <v>-7.4803012092077792E-2</v>
      </c>
      <c r="Q111" s="5"/>
      <c r="U111" s="5"/>
      <c r="V111" s="5"/>
      <c r="Y111" s="5"/>
      <c r="Z111" s="5"/>
      <c r="AA111" s="5"/>
    </row>
    <row r="112" spans="2:38" x14ac:dyDescent="0.35"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</row>
    <row r="113" spans="1:38" x14ac:dyDescent="0.35">
      <c r="B113" t="s">
        <v>16</v>
      </c>
      <c r="C113" s="8" t="s">
        <v>17</v>
      </c>
      <c r="D113" s="8" t="s">
        <v>18</v>
      </c>
      <c r="E113" s="8" t="s">
        <v>19</v>
      </c>
    </row>
    <row r="114" spans="1:38" x14ac:dyDescent="0.35">
      <c r="B114" t="s">
        <v>7</v>
      </c>
      <c r="C114" s="4">
        <f>R91/R79-1</f>
        <v>-5.9984958064559502E-3</v>
      </c>
      <c r="D114" s="4">
        <f>AB91/AB79-1</f>
        <v>-1.4387409015536257E-2</v>
      </c>
      <c r="E114" s="4">
        <f>AL91/AL79-1</f>
        <v>-2.2495842745330119E-2</v>
      </c>
    </row>
    <row r="115" spans="1:38" x14ac:dyDescent="0.35">
      <c r="B115" t="s">
        <v>33</v>
      </c>
      <c r="C115" s="4">
        <f>R92/R80-1</f>
        <v>-1.6035042755507822E-3</v>
      </c>
      <c r="D115" s="4">
        <f>AB92/AB80-1</f>
        <v>-6.7165338538353048E-3</v>
      </c>
      <c r="E115" s="4">
        <f>AL92/AL80-1</f>
        <v>-5.1478673074956127E-3</v>
      </c>
    </row>
    <row r="116" spans="1:38" x14ac:dyDescent="0.35">
      <c r="B116" t="s">
        <v>9</v>
      </c>
      <c r="C116" s="4">
        <f>R93/R81-1</f>
        <v>-3.3047135846182574E-2</v>
      </c>
      <c r="D116" s="4">
        <f>AB93/AB81-1</f>
        <v>-6.735334729661524E-2</v>
      </c>
      <c r="E116" s="4">
        <f>AL93/AL81-1</f>
        <v>-6.2350761372512165E-2</v>
      </c>
    </row>
    <row r="117" spans="1:38" x14ac:dyDescent="0.35">
      <c r="B117" t="s">
        <v>10</v>
      </c>
      <c r="C117" s="4">
        <f>R94/R82-1</f>
        <v>6.5168266844646272E-3</v>
      </c>
      <c r="D117" s="4">
        <f>AB94/AB82-1</f>
        <v>4.9832442976023295E-3</v>
      </c>
      <c r="E117" s="4">
        <f>AL94/AL82-1</f>
        <v>-1.3109998718507931E-4</v>
      </c>
    </row>
    <row r="118" spans="1:38" x14ac:dyDescent="0.35">
      <c r="B118" t="s">
        <v>32</v>
      </c>
      <c r="C118" s="4">
        <f>R95/R83-1</f>
        <v>0.24751704521057949</v>
      </c>
      <c r="D118" s="4">
        <f>AB95/AB83-1</f>
        <v>0.29875774546781986</v>
      </c>
      <c r="E118" s="4">
        <f>AL95/AL83-1</f>
        <v>-1.6513106180918196</v>
      </c>
    </row>
    <row r="119" spans="1:38" x14ac:dyDescent="0.35">
      <c r="B119" t="s">
        <v>36</v>
      </c>
      <c r="C119" s="4">
        <f>R97/R85-1</f>
        <v>2.1985787287957637E-2</v>
      </c>
      <c r="D119" s="4">
        <f>AB97/AB85-1</f>
        <v>-1.9066823704255276E-2</v>
      </c>
      <c r="E119" s="4">
        <f>AL97/AL85-1</f>
        <v>-7.4803012092077847E-2</v>
      </c>
    </row>
    <row r="121" spans="1:38" x14ac:dyDescent="0.35">
      <c r="A121" t="s">
        <v>42</v>
      </c>
      <c r="B121" t="s">
        <v>26</v>
      </c>
      <c r="C121" s="2">
        <v>42005</v>
      </c>
      <c r="D121" s="2">
        <v>42370</v>
      </c>
      <c r="E121" s="2">
        <v>42736</v>
      </c>
      <c r="F121" s="2">
        <v>43101</v>
      </c>
      <c r="G121" s="2">
        <v>43466</v>
      </c>
      <c r="H121" s="2">
        <v>43831</v>
      </c>
      <c r="I121" s="2">
        <v>44197</v>
      </c>
      <c r="J121" s="2">
        <v>44562</v>
      </c>
      <c r="K121" s="2">
        <v>44927</v>
      </c>
      <c r="L121" s="2">
        <v>45292</v>
      </c>
      <c r="M121" s="2">
        <v>45658</v>
      </c>
      <c r="N121" s="2">
        <v>46023</v>
      </c>
      <c r="O121" s="2">
        <v>46388</v>
      </c>
      <c r="P121" s="2">
        <v>46753</v>
      </c>
      <c r="Q121" s="2">
        <v>47119</v>
      </c>
      <c r="R121" s="2">
        <v>47484</v>
      </c>
      <c r="S121" s="2">
        <v>47849</v>
      </c>
      <c r="T121" s="2">
        <v>48214</v>
      </c>
      <c r="U121" s="2">
        <v>48580</v>
      </c>
      <c r="V121" s="2">
        <v>48945</v>
      </c>
      <c r="W121" s="2">
        <v>49310</v>
      </c>
      <c r="X121" s="2">
        <v>49675</v>
      </c>
      <c r="Y121" s="2">
        <v>50041</v>
      </c>
      <c r="Z121" s="2">
        <v>50406</v>
      </c>
      <c r="AA121" s="2">
        <v>50771</v>
      </c>
      <c r="AB121" s="2">
        <v>51136</v>
      </c>
      <c r="AC121" s="2">
        <v>51502</v>
      </c>
      <c r="AD121" s="2">
        <v>51867</v>
      </c>
      <c r="AE121" s="2">
        <v>52232</v>
      </c>
      <c r="AF121" s="2">
        <v>52597</v>
      </c>
      <c r="AG121" s="2">
        <v>52963</v>
      </c>
      <c r="AH121" s="2">
        <v>53328</v>
      </c>
      <c r="AI121" s="2">
        <v>53693</v>
      </c>
      <c r="AJ121" s="2">
        <v>54058</v>
      </c>
      <c r="AK121" s="2">
        <v>54424</v>
      </c>
      <c r="AL121" s="2">
        <v>54789</v>
      </c>
    </row>
    <row r="122" spans="1:38" x14ac:dyDescent="0.35">
      <c r="B122" t="s">
        <v>30</v>
      </c>
      <c r="C122" s="6">
        <f>[1]Production!B3</f>
        <v>3852771.7659999998</v>
      </c>
      <c r="D122" s="6">
        <f>[1]Production!C3</f>
        <v>3923710.0789999999</v>
      </c>
      <c r="E122" s="6">
        <f>[1]Production!D3</f>
        <v>4003796.3679999998</v>
      </c>
      <c r="F122" s="6">
        <f>[1]Production!E3</f>
        <v>4091627.9720000001</v>
      </c>
      <c r="G122" s="6">
        <f>[1]Production!F3</f>
        <v>4185908.7390000001</v>
      </c>
      <c r="H122" s="6">
        <f>[1]Production!G3</f>
        <v>4286134.5360000003</v>
      </c>
      <c r="I122" s="6">
        <f>[1]Production!H3</f>
        <v>4392677.8430000003</v>
      </c>
      <c r="J122" s="6">
        <f>[1]Production!I3</f>
        <v>4502818.5250000004</v>
      </c>
      <c r="K122" s="6">
        <f>[1]Production!J3</f>
        <v>4615659.3329999996</v>
      </c>
      <c r="L122" s="6">
        <f>[1]Production!K3</f>
        <v>4730993.2759999996</v>
      </c>
      <c r="M122" s="6">
        <f>[1]Production!L3</f>
        <v>4845957.7209999999</v>
      </c>
      <c r="N122" s="6">
        <f>[1]Production!M3</f>
        <v>4947208.7609999999</v>
      </c>
      <c r="O122" s="6">
        <f>[1]Production!N3</f>
        <v>5038289.0010000002</v>
      </c>
      <c r="P122" s="6">
        <f>[1]Production!O3</f>
        <v>5121693.51</v>
      </c>
      <c r="Q122" s="6">
        <f>[1]Production!P3</f>
        <v>5200261.7989999996</v>
      </c>
      <c r="R122" s="6">
        <f>[1]Production!Q3</f>
        <v>5276704.2240000004</v>
      </c>
      <c r="S122" s="6">
        <f>[1]Production!R3</f>
        <v>5355074.477</v>
      </c>
      <c r="T122" s="6">
        <f>[1]Production!S3</f>
        <v>5438036.8859999999</v>
      </c>
      <c r="U122" s="6">
        <f>[1]Production!T3</f>
        <v>5527545.2850000001</v>
      </c>
      <c r="V122" s="6">
        <f>[1]Production!U3</f>
        <v>5624749.8420000002</v>
      </c>
      <c r="W122" s="6">
        <f>[1]Production!V3</f>
        <v>5730038.2419999996</v>
      </c>
      <c r="X122" s="6">
        <f>[1]Production!W3</f>
        <v>5845038.517</v>
      </c>
      <c r="Y122" s="6">
        <f>[1]Production!X3</f>
        <v>5970796.6679999996</v>
      </c>
      <c r="Z122" s="6">
        <f>[1]Production!Y3</f>
        <v>6108047.1069999998</v>
      </c>
      <c r="AA122" s="6">
        <f>[1]Production!Z3</f>
        <v>6256953.3839999996</v>
      </c>
      <c r="AB122" s="6">
        <f>[1]Production!AA3</f>
        <v>6415932.8490000004</v>
      </c>
      <c r="AC122" s="6">
        <f>[1]Production!AB3</f>
        <v>6573911.2209999999</v>
      </c>
      <c r="AD122" s="6">
        <f>[1]Production!AC3</f>
        <v>6737774.784</v>
      </c>
      <c r="AE122" s="6">
        <f>[1]Production!AD3</f>
        <v>6910171.023</v>
      </c>
      <c r="AF122" s="6">
        <f>[1]Production!AE3</f>
        <v>7090822.9939999999</v>
      </c>
      <c r="AG122" s="6">
        <f>[1]Production!AF3</f>
        <v>7278176.5199999996</v>
      </c>
      <c r="AH122" s="6">
        <f>[1]Production!AG3</f>
        <v>7470657.2759999996</v>
      </c>
      <c r="AI122" s="6">
        <f>[1]Production!AH3</f>
        <v>7666967.7949999999</v>
      </c>
      <c r="AJ122" s="6">
        <f>[1]Production!AI3</f>
        <v>7865922.818</v>
      </c>
      <c r="AK122" s="6">
        <f>[1]Production!AJ3</f>
        <v>8066385.6799999997</v>
      </c>
      <c r="AL122" s="6">
        <f>[1]Production!AK3</f>
        <v>8267230.9689999996</v>
      </c>
    </row>
    <row r="123" spans="1:38" x14ac:dyDescent="0.35">
      <c r="B123" t="s">
        <v>7</v>
      </c>
      <c r="C123" s="6">
        <f>[1]Production!B5+[1]Production!B7</f>
        <v>88273.518215000004</v>
      </c>
      <c r="D123" s="6">
        <f>[1]Production!C5+[1]Production!C7</f>
        <v>89591.086554000009</v>
      </c>
      <c r="E123" s="6">
        <f>[1]Production!D5+[1]Production!D7</f>
        <v>91166.611688000005</v>
      </c>
      <c r="F123" s="6">
        <f>[1]Production!E5+[1]Production!E7</f>
        <v>92993.774718000001</v>
      </c>
      <c r="G123" s="6">
        <f>[1]Production!F5+[1]Production!F7</f>
        <v>95064.201090000002</v>
      </c>
      <c r="H123" s="6">
        <f>[1]Production!G5+[1]Production!G7</f>
        <v>97350.159140999996</v>
      </c>
      <c r="I123" s="6">
        <f>[1]Production!H5+[1]Production!H7</f>
        <v>99805.590051000006</v>
      </c>
      <c r="J123" s="6">
        <f>[1]Production!I5+[1]Production!I7</f>
        <v>102362.98636699999</v>
      </c>
      <c r="K123" s="6">
        <f>[1]Production!J5+[1]Production!J7</f>
        <v>104990.204245</v>
      </c>
      <c r="L123" s="6">
        <f>[1]Production!K5+[1]Production!K7</f>
        <v>107670.768322</v>
      </c>
      <c r="M123" s="6">
        <f>[1]Production!L5+[1]Production!L7</f>
        <v>110323.495029</v>
      </c>
      <c r="N123" s="6">
        <f>[1]Production!M5+[1]Production!M7</f>
        <v>112609.04979400001</v>
      </c>
      <c r="O123" s="6">
        <f>[1]Production!N5+[1]Production!N7</f>
        <v>114600.354529</v>
      </c>
      <c r="P123" s="6">
        <f>[1]Production!O5+[1]Production!O7</f>
        <v>116355.53713099999</v>
      </c>
      <c r="Q123" s="6">
        <f>[1]Production!P5+[1]Production!P7</f>
        <v>117947.148735</v>
      </c>
      <c r="R123" s="6">
        <f>[1]Production!Q5+[1]Production!Q7</f>
        <v>119447.96702500001</v>
      </c>
      <c r="S123" s="6">
        <f>[1]Production!R5+[1]Production!R7</f>
        <v>120983.294948</v>
      </c>
      <c r="T123" s="6">
        <f>[1]Production!S5+[1]Production!S7</f>
        <v>122617.85019</v>
      </c>
      <c r="U123" s="6">
        <f>[1]Production!T5+[1]Production!T7</f>
        <v>124407.025567</v>
      </c>
      <c r="V123" s="6">
        <f>[1]Production!U5+[1]Production!U7</f>
        <v>126383.233909</v>
      </c>
      <c r="W123" s="6">
        <f>[1]Production!V5+[1]Production!V7</f>
        <v>128553.09894099999</v>
      </c>
      <c r="X123" s="6">
        <f>[1]Production!W5+[1]Production!W7</f>
        <v>130962.12665200001</v>
      </c>
      <c r="Y123" s="6">
        <f>[1]Production!X5+[1]Production!X7</f>
        <v>133632.42013700001</v>
      </c>
      <c r="Z123" s="6">
        <f>[1]Production!Y5+[1]Production!Y7</f>
        <v>136576.63544899999</v>
      </c>
      <c r="AA123" s="6">
        <f>[1]Production!Z5+[1]Production!Z7</f>
        <v>139791.80180700001</v>
      </c>
      <c r="AB123" s="6">
        <f>[1]Production!AA5+[1]Production!AA7</f>
        <v>143219.85879199998</v>
      </c>
      <c r="AC123" s="6">
        <f>[1]Production!AB5+[1]Production!AB7</f>
        <v>146726.52821800002</v>
      </c>
      <c r="AD123" s="6">
        <f>[1]Production!AC5+[1]Production!AC7</f>
        <v>150429.13058299999</v>
      </c>
      <c r="AE123" s="6">
        <f>[1]Production!AD5+[1]Production!AD7</f>
        <v>154367.56155300001</v>
      </c>
      <c r="AF123" s="6">
        <f>[1]Production!AE5+[1]Production!AE7</f>
        <v>158521.34453899998</v>
      </c>
      <c r="AG123" s="6">
        <f>[1]Production!AF5+[1]Production!AF7</f>
        <v>162843.712233</v>
      </c>
      <c r="AH123" s="6">
        <f>[1]Production!AG5+[1]Production!AG7</f>
        <v>167289.86483200002</v>
      </c>
      <c r="AI123" s="6">
        <f>[1]Production!AH5+[1]Production!AH7</f>
        <v>171822.91226000001</v>
      </c>
      <c r="AJ123" s="6">
        <f>[1]Production!AI5+[1]Production!AI7</f>
        <v>176408.87835000001</v>
      </c>
      <c r="AK123" s="6">
        <f>[1]Production!AJ5+[1]Production!AJ7</f>
        <v>181015.09735</v>
      </c>
      <c r="AL123" s="6">
        <f>[1]Production!AK5+[1]Production!AK7</f>
        <v>185609.47077000001</v>
      </c>
    </row>
    <row r="124" spans="1:38" x14ac:dyDescent="0.35">
      <c r="B124" t="s">
        <v>33</v>
      </c>
      <c r="C124" s="6">
        <f>[1]Production!B9+[1]Production!B11+[1]Production!B13+[1]Production!B15+[1]Production!B17+[1]Production!B19+[1]Production!B21+[1]Production!B23+[1]Production!B25+[1]Production!B27+[1]Production!B41</f>
        <v>978814.98901799996</v>
      </c>
      <c r="D124" s="6">
        <f>[1]Production!C9+[1]Production!C11+[1]Production!C13+[1]Production!C15+[1]Production!C17+[1]Production!C19+[1]Production!C21+[1]Production!C23+[1]Production!C25+[1]Production!C27+[1]Production!C41</f>
        <v>1001081.0418209999</v>
      </c>
      <c r="E124" s="6">
        <f>[1]Production!D9+[1]Production!D11+[1]Production!D13+[1]Production!D15+[1]Production!D17+[1]Production!D19+[1]Production!D21+[1]Production!D23+[1]Production!D25+[1]Production!D27+[1]Production!D41</f>
        <v>1025925.0225940001</v>
      </c>
      <c r="F124" s="6">
        <f>[1]Production!E9+[1]Production!E11+[1]Production!E13+[1]Production!E15+[1]Production!E17+[1]Production!E19+[1]Production!E21+[1]Production!E23+[1]Production!E25+[1]Production!E27+[1]Production!E41</f>
        <v>1052554.4340669999</v>
      </c>
      <c r="G124" s="6">
        <f>[1]Production!F9+[1]Production!F11+[1]Production!F13+[1]Production!F15+[1]Production!F17+[1]Production!F19+[1]Production!F21+[1]Production!F23+[1]Production!F25+[1]Production!F27+[1]Production!F41</f>
        <v>1080801.3774609999</v>
      </c>
      <c r="H124" s="6">
        <f>[1]Production!G9+[1]Production!G11+[1]Production!G13+[1]Production!G15+[1]Production!G17+[1]Production!G19+[1]Production!G21+[1]Production!G23+[1]Production!G25+[1]Production!G27+[1]Production!G41</f>
        <v>1110528.0524510001</v>
      </c>
      <c r="I124" s="6">
        <f>[1]Production!H9+[1]Production!H11+[1]Production!H13+[1]Production!H15+[1]Production!H17+[1]Production!H19+[1]Production!H21+[1]Production!H23+[1]Production!H25+[1]Production!H27+[1]Production!H41</f>
        <v>1141315.0076350002</v>
      </c>
      <c r="J124" s="6">
        <f>[1]Production!I9+[1]Production!I11+[1]Production!I13+[1]Production!I15+[1]Production!I17+[1]Production!I19+[1]Production!I21+[1]Production!I23+[1]Production!I25+[1]Production!I27+[1]Production!I41</f>
        <v>1172883.5889740002</v>
      </c>
      <c r="K124" s="6">
        <f>[1]Production!J9+[1]Production!J11+[1]Production!J13+[1]Production!J15+[1]Production!J17+[1]Production!J19+[1]Production!J21+[1]Production!J23+[1]Production!J25+[1]Production!J27+[1]Production!J41</f>
        <v>1205154.2578150001</v>
      </c>
      <c r="L124" s="6">
        <f>[1]Production!K9+[1]Production!K11+[1]Production!K13+[1]Production!K15+[1]Production!K17+[1]Production!K19+[1]Production!K21+[1]Production!K23+[1]Production!K25+[1]Production!K27+[1]Production!K41</f>
        <v>1238152.7413029999</v>
      </c>
      <c r="M124" s="6">
        <f>[1]Production!L9+[1]Production!L11+[1]Production!L13+[1]Production!L15+[1]Production!L17+[1]Production!L19+[1]Production!L21+[1]Production!L23+[1]Production!L25+[1]Production!L27+[1]Production!L41</f>
        <v>1270713.8011439999</v>
      </c>
      <c r="N124" s="6">
        <f>[1]Production!M9+[1]Production!M11+[1]Production!M13+[1]Production!M15+[1]Production!M17+[1]Production!M19+[1]Production!M21+[1]Production!M23+[1]Production!M25+[1]Production!M27+[1]Production!M41</f>
        <v>1298602.760731</v>
      </c>
      <c r="O124" s="6">
        <f>[1]Production!N9+[1]Production!N11+[1]Production!N13+[1]Production!N15+[1]Production!N17+[1]Production!N19+[1]Production!N21+[1]Production!N23+[1]Production!N25+[1]Production!N27+[1]Production!N41</f>
        <v>1323331.6222749997</v>
      </c>
      <c r="P124" s="6">
        <f>[1]Production!O9+[1]Production!O11+[1]Production!O13+[1]Production!O15+[1]Production!O17+[1]Production!O19+[1]Production!O21+[1]Production!O23+[1]Production!O25+[1]Production!O27+[1]Production!O41</f>
        <v>1345953.4799030002</v>
      </c>
      <c r="Q124" s="6">
        <f>[1]Production!P9+[1]Production!P11+[1]Production!P13+[1]Production!P15+[1]Production!P17+[1]Production!P19+[1]Production!P21+[1]Production!P23+[1]Production!P25+[1]Production!P27+[1]Production!P41</f>
        <v>1367566.5010230001</v>
      </c>
      <c r="R124" s="6">
        <f>[1]Production!Q9+[1]Production!Q11+[1]Production!Q13+[1]Production!Q15+[1]Production!Q17+[1]Production!Q19+[1]Production!Q21+[1]Production!Q23+[1]Production!Q25+[1]Production!Q27+[1]Production!Q41</f>
        <v>1389101.7733210002</v>
      </c>
      <c r="S124" s="6">
        <f>[1]Production!R9+[1]Production!R11+[1]Production!R13+[1]Production!R15+[1]Production!R17+[1]Production!R19+[1]Production!R21+[1]Production!R23+[1]Production!R25+[1]Production!R27+[1]Production!R41</f>
        <v>1411755.027519</v>
      </c>
      <c r="T124" s="6">
        <f>[1]Production!S9+[1]Production!S11+[1]Production!S13+[1]Production!S15+[1]Production!S17+[1]Production!S19+[1]Production!S21+[1]Production!S23+[1]Production!S25+[1]Production!S27+[1]Production!S41</f>
        <v>1436382.400163</v>
      </c>
      <c r="U124" s="6">
        <f>[1]Production!T9+[1]Production!T11+[1]Production!T13+[1]Production!T15+[1]Production!T17+[1]Production!T19+[1]Production!T21+[1]Production!T23+[1]Production!T25+[1]Production!T27+[1]Production!T41</f>
        <v>1463523.9072580002</v>
      </c>
      <c r="V124" s="6">
        <f>[1]Production!U9+[1]Production!U11+[1]Production!U13+[1]Production!U15+[1]Production!U17+[1]Production!U19+[1]Production!U21+[1]Production!U23+[1]Production!U25+[1]Production!U27+[1]Production!U41</f>
        <v>1493420.4391749999</v>
      </c>
      <c r="W124" s="6">
        <f>[1]Production!V9+[1]Production!V11+[1]Production!V13+[1]Production!V15+[1]Production!V17+[1]Production!V19+[1]Production!V21+[1]Production!V23+[1]Production!V25+[1]Production!V27+[1]Production!V41</f>
        <v>1526161.257214</v>
      </c>
      <c r="X124" s="6">
        <f>[1]Production!W9+[1]Production!W11+[1]Production!W13+[1]Production!W15+[1]Production!W17+[1]Production!W19+[1]Production!W21+[1]Production!W23+[1]Production!W25+[1]Production!W27+[1]Production!W41</f>
        <v>1562047.818336</v>
      </c>
      <c r="Y124" s="6">
        <f>[1]Production!X9+[1]Production!X11+[1]Production!X13+[1]Production!X15+[1]Production!X17+[1]Production!X19+[1]Production!X21+[1]Production!X23+[1]Production!X25+[1]Production!X27+[1]Production!X41</f>
        <v>1601356.516943</v>
      </c>
      <c r="Z124" s="6">
        <f>[1]Production!Y9+[1]Production!Y11+[1]Production!Y13+[1]Production!Y15+[1]Production!Y17+[1]Production!Y19+[1]Production!Y21+[1]Production!Y23+[1]Production!Y25+[1]Production!Y27+[1]Production!Y41</f>
        <v>1644239.24715</v>
      </c>
      <c r="AA124" s="6">
        <f>[1]Production!Z9+[1]Production!Z11+[1]Production!Z13+[1]Production!Z15+[1]Production!Z17+[1]Production!Z19+[1]Production!Z21+[1]Production!Z23+[1]Production!Z25+[1]Production!Z27+[1]Production!Z41</f>
        <v>1690643.0257369999</v>
      </c>
      <c r="AB124" s="6">
        <f>[1]Production!AA9+[1]Production!AA11+[1]Production!AA13+[1]Production!AA15+[1]Production!AA17+[1]Production!AA19+[1]Production!AA21+[1]Production!AA23+[1]Production!AA25+[1]Production!AA27+[1]Production!AA41</f>
        <v>1740204.3791550002</v>
      </c>
      <c r="AC124" s="6">
        <f>[1]Production!AB9+[1]Production!AB11+[1]Production!AB13+[1]Production!AB15+[1]Production!AB17+[1]Production!AB19+[1]Production!AB21+[1]Production!AB23+[1]Production!AB25+[1]Production!AB27+[1]Production!AB41</f>
        <v>1791968.1541279999</v>
      </c>
      <c r="AD124" s="6">
        <f>[1]Production!AC9+[1]Production!AC11+[1]Production!AC13+[1]Production!AC15+[1]Production!AC17+[1]Production!AC19+[1]Production!AC21+[1]Production!AC23+[1]Production!AC25+[1]Production!AC27+[1]Production!AC41</f>
        <v>1846202.444895</v>
      </c>
      <c r="AE124" s="6">
        <f>[1]Production!AD9+[1]Production!AD11+[1]Production!AD13+[1]Production!AD15+[1]Production!AD17+[1]Production!AD19+[1]Production!AD21+[1]Production!AD23+[1]Production!AD25+[1]Production!AD27+[1]Production!AD41</f>
        <v>1903179.4270570001</v>
      </c>
      <c r="AF124" s="6">
        <f>[1]Production!AE9+[1]Production!AE11+[1]Production!AE13+[1]Production!AE15+[1]Production!AE17+[1]Production!AE19+[1]Production!AE21+[1]Production!AE23+[1]Production!AE25+[1]Production!AE27+[1]Production!AE41</f>
        <v>1962631.8697549999</v>
      </c>
      <c r="AG124" s="6">
        <f>[1]Production!AF9+[1]Production!AF11+[1]Production!AF13+[1]Production!AF15+[1]Production!AF17+[1]Production!AF19+[1]Production!AF21+[1]Production!AF23+[1]Production!AF25+[1]Production!AF27+[1]Production!AF41</f>
        <v>2024017.676127</v>
      </c>
      <c r="AH124" s="6">
        <f>[1]Production!AG9+[1]Production!AG11+[1]Production!AG13+[1]Production!AG15+[1]Production!AG17+[1]Production!AG19+[1]Production!AG21+[1]Production!AG23+[1]Production!AG25+[1]Production!AG27+[1]Production!AG41</f>
        <v>2086871.5757929999</v>
      </c>
      <c r="AI124" s="6">
        <f>[1]Production!AH9+[1]Production!AH11+[1]Production!AH13+[1]Production!AH15+[1]Production!AH17+[1]Production!AH19+[1]Production!AH21+[1]Production!AH23+[1]Production!AH25+[1]Production!AH27+[1]Production!AH41</f>
        <v>2150855.5999270002</v>
      </c>
      <c r="AJ124" s="6">
        <f>[1]Production!AI9+[1]Production!AI11+[1]Production!AI13+[1]Production!AI15+[1]Production!AI17+[1]Production!AI19+[1]Production!AI21+[1]Production!AI23+[1]Production!AI25+[1]Production!AI27+[1]Production!AI41</f>
        <v>2215670.7473380002</v>
      </c>
      <c r="AK124" s="6">
        <f>[1]Production!AJ9+[1]Production!AJ11+[1]Production!AJ13+[1]Production!AJ15+[1]Production!AJ17+[1]Production!AJ19+[1]Production!AJ21+[1]Production!AJ23+[1]Production!AJ25+[1]Production!AJ27+[1]Production!AJ41</f>
        <v>2281027.2202040004</v>
      </c>
      <c r="AL124" s="6">
        <f>[1]Production!AK9+[1]Production!AK11+[1]Production!AK13+[1]Production!AK15+[1]Production!AK17+[1]Production!AK19+[1]Production!AK21+[1]Production!AK23+[1]Production!AK25+[1]Production!AK27+[1]Production!AK41</f>
        <v>2346628.5203359998</v>
      </c>
    </row>
    <row r="125" spans="1:38" x14ac:dyDescent="0.35">
      <c r="B125" t="s">
        <v>9</v>
      </c>
      <c r="C125" s="6">
        <f>[1]Production!B29+[1]Production!B31+[1]Production!B33+[1]Production!B35</f>
        <v>120902.21942200001</v>
      </c>
      <c r="D125" s="6">
        <f>[1]Production!C29+[1]Production!C31+[1]Production!C33+[1]Production!C35</f>
        <v>123463.55611499998</v>
      </c>
      <c r="E125" s="6">
        <f>[1]Production!D29+[1]Production!D31+[1]Production!D33+[1]Production!D35</f>
        <v>126227.45432999999</v>
      </c>
      <c r="F125" s="6">
        <f>[1]Production!E29+[1]Production!E31+[1]Production!E33+[1]Production!E35</f>
        <v>129146.681432</v>
      </c>
      <c r="G125" s="6">
        <f>[1]Production!F29+[1]Production!F31+[1]Production!F33+[1]Production!F35</f>
        <v>132260.29616600001</v>
      </c>
      <c r="H125" s="6">
        <f>[1]Production!G29+[1]Production!G31+[1]Production!G33+[1]Production!G35</f>
        <v>135571.45029499999</v>
      </c>
      <c r="I125" s="6">
        <f>[1]Production!H29+[1]Production!H31+[1]Production!H33+[1]Production!H35</f>
        <v>139009.492401</v>
      </c>
      <c r="J125" s="6">
        <f>[1]Production!I29+[1]Production!I31+[1]Production!I33+[1]Production!I35</f>
        <v>142513.90861499999</v>
      </c>
      <c r="K125" s="6">
        <f>[1]Production!J29+[1]Production!J31+[1]Production!J33+[1]Production!J35</f>
        <v>146058.36731100001</v>
      </c>
      <c r="L125" s="6">
        <f>[1]Production!K29+[1]Production!K31+[1]Production!K33+[1]Production!K35</f>
        <v>149633.23892099998</v>
      </c>
      <c r="M125" s="6">
        <f>[1]Production!L29+[1]Production!L31+[1]Production!L33+[1]Production!L35</f>
        <v>153088.66214299999</v>
      </c>
      <c r="N125" s="6">
        <f>[1]Production!M29+[1]Production!M31+[1]Production!M33+[1]Production!M35</f>
        <v>155907.34962400002</v>
      </c>
      <c r="O125" s="6">
        <f>[1]Production!N29+[1]Production!N31+[1]Production!N33+[1]Production!N35</f>
        <v>158284.757102</v>
      </c>
      <c r="P125" s="6">
        <f>[1]Production!O29+[1]Production!O31+[1]Production!O33+[1]Production!O35</f>
        <v>160349.96402499999</v>
      </c>
      <c r="Q125" s="6">
        <f>[1]Production!P29+[1]Production!P31+[1]Production!P33+[1]Production!P35</f>
        <v>162237.48577900001</v>
      </c>
      <c r="R125" s="6">
        <f>[1]Production!Q29+[1]Production!Q31+[1]Production!Q33+[1]Production!Q35</f>
        <v>164062.98971000002</v>
      </c>
      <c r="S125" s="6">
        <f>[1]Production!R29+[1]Production!R31+[1]Production!R33+[1]Production!R35</f>
        <v>165975.35541699998</v>
      </c>
      <c r="T125" s="6">
        <f>[1]Production!S29+[1]Production!S31+[1]Production!S33+[1]Production!S35</f>
        <v>168083.90149000002</v>
      </c>
      <c r="U125" s="6">
        <f>[1]Production!T29+[1]Production!T31+[1]Production!T33+[1]Production!T35</f>
        <v>170457.187886</v>
      </c>
      <c r="V125" s="6">
        <f>[1]Production!U29+[1]Production!U31+[1]Production!U33+[1]Production!U35</f>
        <v>173124.830005</v>
      </c>
      <c r="W125" s="6">
        <f>[1]Production!V29+[1]Production!V31+[1]Production!V33+[1]Production!V35</f>
        <v>176094.45624699999</v>
      </c>
      <c r="X125" s="6">
        <f>[1]Production!W29+[1]Production!W31+[1]Production!W33+[1]Production!W35</f>
        <v>179403.002136</v>
      </c>
      <c r="Y125" s="6">
        <f>[1]Production!X29+[1]Production!X31+[1]Production!X33+[1]Production!X35</f>
        <v>183076.45687300002</v>
      </c>
      <c r="Z125" s="6">
        <f>[1]Production!Y29+[1]Production!Y31+[1]Production!Y33+[1]Production!Y35</f>
        <v>187123.965222</v>
      </c>
      <c r="AA125" s="6">
        <f>[1]Production!Z29+[1]Production!Z31+[1]Production!Z33+[1]Production!Z35</f>
        <v>191528.74849999999</v>
      </c>
      <c r="AB125" s="6">
        <f>[1]Production!AA29+[1]Production!AA31+[1]Production!AA33+[1]Production!AA35</f>
        <v>196231.44534000001</v>
      </c>
      <c r="AC125" s="6">
        <f>[1]Production!AB29+[1]Production!AB31+[1]Production!AB33+[1]Production!AB35</f>
        <v>201208.12213999999</v>
      </c>
      <c r="AD125" s="6">
        <f>[1]Production!AC29+[1]Production!AC31+[1]Production!AC33+[1]Production!AC35</f>
        <v>206494.45208000002</v>
      </c>
      <c r="AE125" s="6">
        <f>[1]Production!AD29+[1]Production!AD31+[1]Production!AD33+[1]Production!AD35</f>
        <v>212101.38413000002</v>
      </c>
      <c r="AF125" s="6">
        <f>[1]Production!AE29+[1]Production!AE31+[1]Production!AE33+[1]Production!AE35</f>
        <v>217976.97411999997</v>
      </c>
      <c r="AG125" s="6">
        <f>[1]Production!AF29+[1]Production!AF31+[1]Production!AF33+[1]Production!AF35</f>
        <v>224043.49732999998</v>
      </c>
      <c r="AH125" s="6">
        <f>[1]Production!AG29+[1]Production!AG31+[1]Production!AG33+[1]Production!AG35</f>
        <v>230238.05364</v>
      </c>
      <c r="AI125" s="6">
        <f>[1]Production!AH29+[1]Production!AH31+[1]Production!AH33+[1]Production!AH35</f>
        <v>236515.91915999999</v>
      </c>
      <c r="AJ125" s="6">
        <f>[1]Production!AI29+[1]Production!AI31+[1]Production!AI33+[1]Production!AI35</f>
        <v>242838.53004000001</v>
      </c>
      <c r="AK125" s="6">
        <f>[1]Production!AJ29+[1]Production!AJ31+[1]Production!AJ33+[1]Production!AJ35</f>
        <v>249169.72177</v>
      </c>
      <c r="AL125" s="6">
        <f>[1]Production!AK29+[1]Production!AK31+[1]Production!AK33+[1]Production!AK35</f>
        <v>255474.03573999999</v>
      </c>
    </row>
    <row r="126" spans="1:38" x14ac:dyDescent="0.35">
      <c r="B126" t="s">
        <v>10</v>
      </c>
      <c r="C126" s="6">
        <f>[1]Production!B37+[1]Production!B39</f>
        <v>2556653.3348000003</v>
      </c>
      <c r="D126" s="6">
        <f>[1]Production!C37+[1]Production!C39</f>
        <v>2600033.9711000002</v>
      </c>
      <c r="E126" s="6">
        <f>[1]Production!D37+[1]Production!D39</f>
        <v>2649529.0495000002</v>
      </c>
      <c r="F126" s="6">
        <f>[1]Production!E37+[1]Production!E39</f>
        <v>2704450.3225000002</v>
      </c>
      <c r="G126" s="6">
        <f>[1]Production!F37+[1]Production!F39</f>
        <v>2763712.7417000001</v>
      </c>
      <c r="H126" s="6">
        <f>[1]Production!G37+[1]Production!G39</f>
        <v>2826887.9363000002</v>
      </c>
      <c r="I126" s="6">
        <f>[1]Production!H37+[1]Production!H39</f>
        <v>2892722.2012999998</v>
      </c>
      <c r="J126" s="6">
        <f>[1]Production!I37+[1]Production!I39</f>
        <v>2960519.4328999999</v>
      </c>
      <c r="K126" s="6">
        <f>[1]Production!J37+[1]Production!J39</f>
        <v>3029848.9273000001</v>
      </c>
      <c r="L126" s="6">
        <f>[1]Production!K37+[1]Production!K39</f>
        <v>3100555.3951000003</v>
      </c>
      <c r="M126" s="6">
        <f>[1]Production!L37+[1]Production!L39</f>
        <v>3171222.4568999996</v>
      </c>
      <c r="N126" s="6">
        <f>[1]Production!M37+[1]Production!M39</f>
        <v>3234996.0455</v>
      </c>
      <c r="O126" s="6">
        <f>[1]Production!N37+[1]Production!N39</f>
        <v>3292749.7256</v>
      </c>
      <c r="P126" s="6">
        <f>[1]Production!O37+[1]Production!O39</f>
        <v>3345482.1814999999</v>
      </c>
      <c r="Q126" s="6">
        <f>[1]Production!P37+[1]Production!P39</f>
        <v>3394603.7734000003</v>
      </c>
      <c r="R126" s="6">
        <f>[1]Production!Q37+[1]Production!Q39</f>
        <v>3441609.0795</v>
      </c>
      <c r="S126" s="6">
        <f>[1]Production!R37+[1]Production!R39</f>
        <v>3488764.6864999998</v>
      </c>
      <c r="T126" s="6">
        <f>[1]Production!S37+[1]Production!S39</f>
        <v>3537735.4746000003</v>
      </c>
      <c r="U126" s="6">
        <f>[1]Production!T37+[1]Production!T39</f>
        <v>3589713.9640000002</v>
      </c>
      <c r="V126" s="6">
        <f>[1]Production!U37+[1]Production!U39</f>
        <v>3645434.1501000002</v>
      </c>
      <c r="W126" s="6">
        <f>[1]Production!V37+[1]Production!V39</f>
        <v>3705076.1134000001</v>
      </c>
      <c r="X126" s="6">
        <f>[1]Production!W37+[1]Production!W39</f>
        <v>3769715.5274999999</v>
      </c>
      <c r="Y126" s="6">
        <f>[1]Production!X37+[1]Production!X39</f>
        <v>3839909.8657999998</v>
      </c>
      <c r="Z126" s="6">
        <f>[1]Production!Y37+[1]Production!Y39</f>
        <v>3916040.1121999999</v>
      </c>
      <c r="AA126" s="6">
        <f>[1]Production!Z37+[1]Production!Z39</f>
        <v>3998151.9463</v>
      </c>
      <c r="AB126" s="6">
        <f>[1]Production!AA37+[1]Production!AA39</f>
        <v>4084989.6102</v>
      </c>
      <c r="AC126" s="6">
        <f>[1]Production!AB37+[1]Production!AB39</f>
        <v>4175771.1207999997</v>
      </c>
      <c r="AD126" s="6">
        <f>[1]Production!AC37+[1]Production!AC39</f>
        <v>4271238.6244999999</v>
      </c>
      <c r="AE126" s="6">
        <f>[1]Production!AD37+[1]Production!AD39</f>
        <v>4371924.6084000003</v>
      </c>
      <c r="AF126" s="6">
        <f>[1]Production!AE37+[1]Production!AE39</f>
        <v>4477491.6152999997</v>
      </c>
      <c r="AG126" s="6">
        <f>[1]Production!AF37+[1]Production!AF39</f>
        <v>4587074.6661999999</v>
      </c>
      <c r="AH126" s="6">
        <f>[1]Production!AG37+[1]Production!AG39</f>
        <v>4699785.5586999999</v>
      </c>
      <c r="AI126" s="6">
        <f>[1]Production!AH37+[1]Production!AH39</f>
        <v>4814853.5795</v>
      </c>
      <c r="AJ126" s="6">
        <f>[1]Production!AI37+[1]Production!AI39</f>
        <v>4931553.1250999998</v>
      </c>
      <c r="AK126" s="6">
        <f>[1]Production!AJ37+[1]Production!AJ39</f>
        <v>5049175.4029999999</v>
      </c>
      <c r="AL126" s="6">
        <f>[1]Production!AK37+[1]Production!AK39</f>
        <v>5167014.4956999999</v>
      </c>
    </row>
    <row r="127" spans="1:38" x14ac:dyDescent="0.35">
      <c r="B127" t="s">
        <v>32</v>
      </c>
      <c r="C127" s="6">
        <f>[1]Production!B43+[1]Production!B47</f>
        <v>35746.1150079</v>
      </c>
      <c r="D127" s="6">
        <f>[1]Production!C43+[1]Production!C47</f>
        <v>36074.730083399998</v>
      </c>
      <c r="E127" s="6">
        <f>[1]Production!D43+[1]Production!D47</f>
        <v>36417.524708000004</v>
      </c>
      <c r="F127" s="6">
        <f>[1]Production!E43+[1]Production!E47</f>
        <v>36789.086592899999</v>
      </c>
      <c r="G127" s="6">
        <f>[1]Production!F43+[1]Production!F47</f>
        <v>37277.389888999998</v>
      </c>
      <c r="H127" s="6">
        <f>[1]Production!G43+[1]Production!G47</f>
        <v>37869.789872100002</v>
      </c>
      <c r="I127" s="6">
        <f>[1]Production!H43+[1]Production!H47</f>
        <v>38557.695020500003</v>
      </c>
      <c r="J127" s="6">
        <f>[1]Production!I43+[1]Production!I47</f>
        <v>39278.330396099998</v>
      </c>
      <c r="K127" s="6">
        <f>[1]Production!J43+[1]Production!J47</f>
        <v>40019.440739699996</v>
      </c>
      <c r="L127" s="6">
        <f>[1]Production!K43+[1]Production!K47</f>
        <v>40776.138061199999</v>
      </c>
      <c r="M127" s="6">
        <f>[1]Production!L43+[1]Production!L47</f>
        <v>41522.462530799996</v>
      </c>
      <c r="N127" s="6">
        <f>[1]Production!M43+[1]Production!M47</f>
        <v>42152.169290800004</v>
      </c>
      <c r="O127" s="6">
        <f>[1]Production!N43+[1]Production!N47</f>
        <v>42696.134776300001</v>
      </c>
      <c r="P127" s="6">
        <f>[1]Production!O43+[1]Production!O47</f>
        <v>43181.444822099998</v>
      </c>
      <c r="Q127" s="6">
        <f>[1]Production!P43+[1]Production!P47</f>
        <v>43632.767285000002</v>
      </c>
      <c r="R127" s="6">
        <f>[1]Production!Q43+[1]Production!Q47</f>
        <v>44070.996440200004</v>
      </c>
      <c r="S127" s="6">
        <f>[1]Production!R43+[1]Production!R47</f>
        <v>44528.999918400004</v>
      </c>
      <c r="T127" s="6">
        <f>[1]Production!S43+[1]Production!S47</f>
        <v>45044.286980099998</v>
      </c>
      <c r="U127" s="6">
        <f>[1]Production!T43+[1]Production!T47</f>
        <v>45628.718596799998</v>
      </c>
      <c r="V127" s="6">
        <f>[1]Production!U43+[1]Production!U47</f>
        <v>46284.753846400003</v>
      </c>
      <c r="W127" s="6">
        <f>[1]Production!V43+[1]Production!V47</f>
        <v>47011.131496899994</v>
      </c>
      <c r="X127" s="6">
        <f>[1]Production!W43+[1]Production!W47</f>
        <v>47812.911865900001</v>
      </c>
      <c r="Y127" s="6">
        <f>[1]Production!X43+[1]Production!X47</f>
        <v>48694.793111300001</v>
      </c>
      <c r="Z127" s="6">
        <f>[1]Production!Y43+[1]Production!Y47</f>
        <v>49659.867116399997</v>
      </c>
      <c r="AA127" s="6">
        <f>[1]Production!Z43+[1]Production!Z47</f>
        <v>50707.633374600002</v>
      </c>
      <c r="AB127" s="6">
        <f>[1]Production!AA43+[1]Production!AA47</f>
        <v>51831.190962500004</v>
      </c>
      <c r="AC127" s="6">
        <f>[1]Production!AB43+[1]Production!AB47</f>
        <v>52912.546949299998</v>
      </c>
      <c r="AD127" s="6">
        <f>[1]Production!AC43+[1]Production!AC47</f>
        <v>54018.813776299998</v>
      </c>
      <c r="AE127" s="6">
        <f>[1]Production!AD43+[1]Production!AD47</f>
        <v>55182.766963000002</v>
      </c>
      <c r="AF127" s="6">
        <f>[1]Production!AE43+[1]Production!AE47</f>
        <v>56405.203652999997</v>
      </c>
      <c r="AG127" s="6">
        <f>[1]Production!AF43+[1]Production!AF47</f>
        <v>57673.7928932</v>
      </c>
      <c r="AH127" s="6">
        <f>[1]Production!AG43+[1]Production!AG47</f>
        <v>58975.753169399999</v>
      </c>
      <c r="AI127" s="6">
        <f>[1]Production!AH43+[1]Production!AH47</f>
        <v>60300.700713399994</v>
      </c>
      <c r="AJ127" s="6">
        <f>[1]Production!AI43+[1]Production!AI47</f>
        <v>61639.092585399994</v>
      </c>
      <c r="AK127" s="6">
        <f>[1]Production!AJ43+[1]Production!AJ47</f>
        <v>62981.572129199994</v>
      </c>
      <c r="AL127" s="6">
        <f>[1]Production!AK43+[1]Production!AK47</f>
        <v>64318.670190899997</v>
      </c>
    </row>
    <row r="128" spans="1:38" x14ac:dyDescent="0.35">
      <c r="B128" t="s">
        <v>39</v>
      </c>
      <c r="C128" s="6">
        <f>[1]Production!B45+[1]Production!B49</f>
        <v>4477.6834869000004</v>
      </c>
      <c r="D128" s="6">
        <f>[1]Production!C45+[1]Production!C49</f>
        <v>4498.7891156999995</v>
      </c>
      <c r="E128" s="6">
        <f>[1]Production!D45+[1]Production!D49</f>
        <v>4519.7161796</v>
      </c>
      <c r="F128" s="6">
        <f>[1]Production!E45+[1]Production!E49</f>
        <v>4545.2868835999998</v>
      </c>
      <c r="G128" s="6">
        <f>[1]Production!F45+[1]Production!F49</f>
        <v>4586.9133996999999</v>
      </c>
      <c r="H128" s="6">
        <f>[1]Production!G45+[1]Production!G49</f>
        <v>4642.6492011</v>
      </c>
      <c r="I128" s="6">
        <f>[1]Production!H45+[1]Production!H49</f>
        <v>4714.4728687999996</v>
      </c>
      <c r="J128" s="6">
        <f>[1]Production!I45+[1]Production!I49</f>
        <v>4791.8914410000007</v>
      </c>
      <c r="K128" s="6">
        <f>[1]Production!J45+[1]Production!J49</f>
        <v>4872.9034296</v>
      </c>
      <c r="L128" s="6">
        <f>[1]Production!K45+[1]Production!K49</f>
        <v>4956.6357691000003</v>
      </c>
      <c r="M128" s="6">
        <f>[1]Production!L45+[1]Production!L49</f>
        <v>5041.2018606000001</v>
      </c>
      <c r="N128" s="6">
        <f>[1]Production!M45+[1]Production!M49</f>
        <v>5113.3467851999994</v>
      </c>
      <c r="O128" s="6">
        <f>[1]Production!N45+[1]Production!N49</f>
        <v>5177.9304758999997</v>
      </c>
      <c r="P128" s="6">
        <f>[1]Production!O45+[1]Production!O49</f>
        <v>5237.1836675000004</v>
      </c>
      <c r="Q128" s="6">
        <f>[1]Production!P45+[1]Production!P49</f>
        <v>5292.7702841999999</v>
      </c>
      <c r="R128" s="6">
        <f>[1]Production!Q45+[1]Production!Q49</f>
        <v>5346.2195307000002</v>
      </c>
      <c r="S128" s="6">
        <f>[1]Production!R45+[1]Production!R49</f>
        <v>5399.6980883999995</v>
      </c>
      <c r="T128" s="6">
        <f>[1]Production!S45+[1]Production!S49</f>
        <v>5458.2102282000005</v>
      </c>
      <c r="U128" s="6">
        <f>[1]Production!T45+[1]Production!T49</f>
        <v>5522.8230930999998</v>
      </c>
      <c r="V128" s="6">
        <f>[1]Production!U45+[1]Production!U49</f>
        <v>5593.7441669</v>
      </c>
      <c r="W128" s="6">
        <f>[1]Production!V45+[1]Production!V49</f>
        <v>5670.8040527000003</v>
      </c>
      <c r="X128" s="6">
        <f>[1]Production!W45+[1]Production!W49</f>
        <v>5754.568002</v>
      </c>
      <c r="Y128" s="6">
        <f>[1]Production!X45+[1]Production!X49</f>
        <v>5845.5081655000004</v>
      </c>
      <c r="Z128" s="6">
        <f>[1]Production!Y45+[1]Production!Y49</f>
        <v>5944.0410886</v>
      </c>
      <c r="AA128" s="6">
        <f>[1]Production!Z45+[1]Production!Z49</f>
        <v>6050.3603698999996</v>
      </c>
      <c r="AB128" s="6">
        <f>[1]Production!AA45+[1]Production!AA49</f>
        <v>6163.8833650000006</v>
      </c>
      <c r="AC128" s="6">
        <f>[1]Production!AB45+[1]Production!AB49</f>
        <v>6269.1621930000001</v>
      </c>
      <c r="AD128" s="6">
        <f>[1]Production!AC45+[1]Production!AC49</f>
        <v>6374.123439</v>
      </c>
      <c r="AE128" s="6">
        <f>[1]Production!AD45+[1]Production!AD49</f>
        <v>6483.46137</v>
      </c>
      <c r="AF128" s="6">
        <f>[1]Production!AE45+[1]Production!AE49</f>
        <v>6598.0381079999997</v>
      </c>
      <c r="AG128" s="6">
        <f>[1]Production!AF45+[1]Production!AF49</f>
        <v>6717.0682120000001</v>
      </c>
      <c r="AH128" s="6">
        <f>[1]Production!AG45+[1]Production!AG49</f>
        <v>6839.4286340000008</v>
      </c>
      <c r="AI128" s="6">
        <f>[1]Production!AH45+[1]Production!AH49</f>
        <v>6964.0558129999999</v>
      </c>
      <c r="AJ128" s="6">
        <f>[1]Production!AI45+[1]Production!AI49</f>
        <v>7089.9185669999997</v>
      </c>
      <c r="AK128" s="6">
        <f>[1]Production!AJ45+[1]Production!AJ49</f>
        <v>7215.9973140000002</v>
      </c>
      <c r="AL128" s="6">
        <f>[1]Production!AK45+[1]Production!AK49</f>
        <v>7341.2732180000003</v>
      </c>
    </row>
    <row r="129" spans="1:38" x14ac:dyDescent="0.35">
      <c r="B129" t="s">
        <v>36</v>
      </c>
      <c r="C129" s="6">
        <f>[1]Production!B51+[1]Production!B53+[1]Production!B55+[1]Production!B57+[1]Production!B59+[1]Production!B61+[1]Production!B63+[1]Production!B65+[1]Production!B67</f>
        <v>67903.905731099992</v>
      </c>
      <c r="D129" s="6">
        <f>[1]Production!C51+[1]Production!C53+[1]Production!C55+[1]Production!C57+[1]Production!C59+[1]Production!C61+[1]Production!C63+[1]Production!C65+[1]Production!C67</f>
        <v>68966.903790700002</v>
      </c>
      <c r="E129" s="6">
        <f>[1]Production!D51+[1]Production!D53+[1]Production!D55+[1]Production!D57+[1]Production!D59+[1]Production!D61+[1]Production!D63+[1]Production!D65+[1]Production!D67</f>
        <v>70010.988367099999</v>
      </c>
      <c r="F129" s="6">
        <f>[1]Production!E51+[1]Production!E53+[1]Production!E55+[1]Production!E57+[1]Production!E59+[1]Production!E61+[1]Production!E63+[1]Production!E65+[1]Production!E67</f>
        <v>71148.386046400003</v>
      </c>
      <c r="G129" s="6">
        <f>[1]Production!F51+[1]Production!F53+[1]Production!F55+[1]Production!F57+[1]Production!F59+[1]Production!F61+[1]Production!F63+[1]Production!F65+[1]Production!F67</f>
        <v>72205.818772000013</v>
      </c>
      <c r="H129" s="6">
        <f>[1]Production!G51+[1]Production!G53+[1]Production!G55+[1]Production!G57+[1]Production!G59+[1]Production!G61+[1]Production!G63+[1]Production!G65+[1]Production!G67</f>
        <v>73284.498730699997</v>
      </c>
      <c r="I129" s="6">
        <f>[1]Production!H51+[1]Production!H53+[1]Production!H55+[1]Production!H57+[1]Production!H59+[1]Production!H61+[1]Production!H63+[1]Production!H65+[1]Production!H67</f>
        <v>76553.383856400003</v>
      </c>
      <c r="J129" s="6">
        <f>[1]Production!I51+[1]Production!I53+[1]Production!I55+[1]Production!I57+[1]Production!I59+[1]Production!I61+[1]Production!I63+[1]Production!I65+[1]Production!I67</f>
        <v>80468.385393700009</v>
      </c>
      <c r="K129" s="6">
        <f>[1]Production!J51+[1]Production!J53+[1]Production!J55+[1]Production!J57+[1]Production!J59+[1]Production!J61+[1]Production!J63+[1]Production!J65+[1]Production!J67</f>
        <v>84715.232297499984</v>
      </c>
      <c r="L129" s="6">
        <f>[1]Production!K51+[1]Production!K53+[1]Production!K55+[1]Production!K57+[1]Production!K59+[1]Production!K61+[1]Production!K63+[1]Production!K65+[1]Production!K67</f>
        <v>89248.358356099998</v>
      </c>
      <c r="M129" s="6">
        <f>[1]Production!L51+[1]Production!L53+[1]Production!L55+[1]Production!L57+[1]Production!L59+[1]Production!L61+[1]Production!L63+[1]Production!L65+[1]Production!L67</f>
        <v>94045.641496199998</v>
      </c>
      <c r="N129" s="6">
        <f>[1]Production!M51+[1]Production!M53+[1]Production!M55+[1]Production!M57+[1]Production!M59+[1]Production!M61+[1]Production!M63+[1]Production!M65+[1]Production!M67</f>
        <v>97828.038522600007</v>
      </c>
      <c r="O129" s="6">
        <f>[1]Production!N51+[1]Production!N53+[1]Production!N55+[1]Production!N57+[1]Production!N59+[1]Production!N61+[1]Production!N63+[1]Production!N65+[1]Production!N67</f>
        <v>101448.47623849999</v>
      </c>
      <c r="P129" s="6">
        <f>[1]Production!O51+[1]Production!O53+[1]Production!O55+[1]Production!O57+[1]Production!O59+[1]Production!O61+[1]Production!O63+[1]Production!O65+[1]Production!O67</f>
        <v>105133.71932690001</v>
      </c>
      <c r="Q129" s="6">
        <f>[1]Production!P51+[1]Production!P53+[1]Production!P55+[1]Production!P57+[1]Production!P59+[1]Production!P61+[1]Production!P63+[1]Production!P65+[1]Production!P67</f>
        <v>108981.35229900002</v>
      </c>
      <c r="R129" s="6">
        <f>[1]Production!Q51+[1]Production!Q53+[1]Production!Q55+[1]Production!Q57+[1]Production!Q59+[1]Production!Q61+[1]Production!Q63+[1]Production!Q65+[1]Production!Q67</f>
        <v>113065.19844929999</v>
      </c>
      <c r="S129" s="6">
        <f>[1]Production!R51+[1]Production!R53+[1]Production!R55+[1]Production!R57+[1]Production!R59+[1]Production!R61+[1]Production!R63+[1]Production!R65+[1]Production!R67</f>
        <v>117667.41545</v>
      </c>
      <c r="T129" s="6">
        <f>[1]Production!S51+[1]Production!S53+[1]Production!S55+[1]Production!S57+[1]Production!S59+[1]Production!S61+[1]Production!S63+[1]Production!S65+[1]Production!S67</f>
        <v>122714.76305759999</v>
      </c>
      <c r="U129" s="6">
        <f>[1]Production!T51+[1]Production!T53+[1]Production!T55+[1]Production!T57+[1]Production!T59+[1]Production!T61+[1]Production!T63+[1]Production!T65+[1]Production!T67</f>
        <v>128291.65944261999</v>
      </c>
      <c r="V129" s="6">
        <f>[1]Production!U51+[1]Production!U53+[1]Production!U55+[1]Production!U57+[1]Production!U59+[1]Production!U61+[1]Production!U63+[1]Production!U65+[1]Production!U67</f>
        <v>134508.69085667003</v>
      </c>
      <c r="W129" s="6">
        <f>[1]Production!V51+[1]Production!V53+[1]Production!V55+[1]Production!V57+[1]Production!V59+[1]Production!V61+[1]Production!V63+[1]Production!V65+[1]Production!V67</f>
        <v>141471.37979751002</v>
      </c>
      <c r="X129" s="6">
        <f>[1]Production!W51+[1]Production!W53+[1]Production!W55+[1]Production!W57+[1]Production!W59+[1]Production!W61+[1]Production!W63+[1]Production!W65+[1]Production!W67</f>
        <v>149342.56214626</v>
      </c>
      <c r="Y129" s="6">
        <f>[1]Production!X51+[1]Production!X53+[1]Production!X55+[1]Production!X57+[1]Production!X59+[1]Production!X61+[1]Production!X63+[1]Production!X65+[1]Production!X67</f>
        <v>158281.10780723998</v>
      </c>
      <c r="Z129" s="6">
        <f>[1]Production!Y51+[1]Production!Y53+[1]Production!Y55+[1]Production!Y57+[1]Production!Y59+[1]Production!Y61+[1]Production!Y63+[1]Production!Y65+[1]Production!Y67</f>
        <v>168463.239638817</v>
      </c>
      <c r="AA129" s="6">
        <f>[1]Production!Z51+[1]Production!Z53+[1]Production!Z55+[1]Production!Z57+[1]Production!Z59+[1]Production!Z61+[1]Production!Z63+[1]Production!Z65+[1]Production!Z67</f>
        <v>180079.86708182399</v>
      </c>
      <c r="AB129" s="6">
        <f>[1]Production!AA51+[1]Production!AA53+[1]Production!AA55+[1]Production!AA57+[1]Production!AA59+[1]Production!AA61+[1]Production!AA63+[1]Production!AA65+[1]Production!AA67</f>
        <v>193292.48165905802</v>
      </c>
      <c r="AC129" s="6">
        <f>[1]Production!AB51+[1]Production!AB53+[1]Production!AB55+[1]Production!AB57+[1]Production!AB59+[1]Production!AB61+[1]Production!AB63+[1]Production!AB65+[1]Production!AB67</f>
        <v>199055.586263993</v>
      </c>
      <c r="AD129" s="6">
        <f>[1]Production!AC51+[1]Production!AC53+[1]Production!AC55+[1]Production!AC57+[1]Production!AC59+[1]Production!AC61+[1]Production!AC63+[1]Production!AC65+[1]Production!AC67</f>
        <v>203017.19478539799</v>
      </c>
      <c r="AE129" s="6">
        <f>[1]Production!AD51+[1]Production!AD53+[1]Production!AD55+[1]Production!AD57+[1]Production!AD59+[1]Production!AD61+[1]Production!AD63+[1]Production!AD65+[1]Production!AD67</f>
        <v>206931.81299882798</v>
      </c>
      <c r="AF129" s="6">
        <f>[1]Production!AE51+[1]Production!AE53+[1]Production!AE55+[1]Production!AE57+[1]Production!AE59+[1]Production!AE61+[1]Production!AE63+[1]Production!AE65+[1]Production!AE67</f>
        <v>211197.94783147401</v>
      </c>
      <c r="AG129" s="6">
        <f>[1]Production!AF51+[1]Production!AF53+[1]Production!AF55+[1]Production!AF57+[1]Production!AF59+[1]Production!AF61+[1]Production!AF63+[1]Production!AF65+[1]Production!AF67</f>
        <v>215806.10637787002</v>
      </c>
      <c r="AH129" s="6">
        <f>[1]Production!AG51+[1]Production!AG53+[1]Production!AG55+[1]Production!AG57+[1]Production!AG59+[1]Production!AG61+[1]Production!AG63+[1]Production!AG65+[1]Production!AG67</f>
        <v>220657.04066614699</v>
      </c>
      <c r="AI129" s="6">
        <f>[1]Production!AH51+[1]Production!AH53+[1]Production!AH55+[1]Production!AH57+[1]Production!AH59+[1]Production!AH61+[1]Production!AH63+[1]Production!AH65+[1]Production!AH67</f>
        <v>225655.027524014</v>
      </c>
      <c r="AJ129" s="6">
        <f>[1]Production!AI51+[1]Production!AI53+[1]Production!AI55+[1]Production!AI57+[1]Production!AI59+[1]Production!AI61+[1]Production!AI63+[1]Production!AI65+[1]Production!AI67</f>
        <v>230722.52667996299</v>
      </c>
      <c r="AK129" s="6">
        <f>[1]Production!AJ51+[1]Production!AJ53+[1]Production!AJ55+[1]Production!AJ57+[1]Production!AJ59+[1]Production!AJ61+[1]Production!AJ63+[1]Production!AJ65+[1]Production!AJ67</f>
        <v>235800.66857689701</v>
      </c>
      <c r="AL129" s="6">
        <f>[1]Production!AK51+[1]Production!AK53+[1]Production!AK55+[1]Production!AK57+[1]Production!AK59+[1]Production!AK61+[1]Production!AK63+[1]Production!AK65+[1]Production!AK67</f>
        <v>240844.50295123801</v>
      </c>
    </row>
    <row r="130" spans="1:38" x14ac:dyDescent="0.35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</row>
    <row r="131" spans="1:38" x14ac:dyDescent="0.35">
      <c r="C131" s="2"/>
    </row>
    <row r="132" spans="1:38" x14ac:dyDescent="0.35">
      <c r="A132" t="s">
        <v>43</v>
      </c>
      <c r="B132" t="s">
        <v>26</v>
      </c>
      <c r="C132" s="2">
        <v>42005</v>
      </c>
      <c r="D132" s="2">
        <v>42370</v>
      </c>
      <c r="E132" s="2">
        <v>42736</v>
      </c>
      <c r="F132" s="2">
        <v>43101</v>
      </c>
      <c r="G132" s="2">
        <v>43466</v>
      </c>
      <c r="H132" s="2">
        <v>43831</v>
      </c>
      <c r="I132" s="2">
        <v>44197</v>
      </c>
      <c r="J132" s="2">
        <v>44562</v>
      </c>
      <c r="K132" s="2">
        <v>44927</v>
      </c>
      <c r="L132" s="2">
        <v>45292</v>
      </c>
      <c r="M132" s="2">
        <v>45658</v>
      </c>
      <c r="N132" s="2">
        <v>46023</v>
      </c>
      <c r="O132" s="2">
        <v>46388</v>
      </c>
      <c r="P132" s="2">
        <v>46753</v>
      </c>
      <c r="Q132" s="2">
        <v>47119</v>
      </c>
      <c r="R132" s="2">
        <v>47484</v>
      </c>
      <c r="S132" s="2">
        <v>47849</v>
      </c>
      <c r="T132" s="2">
        <v>48214</v>
      </c>
      <c r="U132" s="2">
        <v>48580</v>
      </c>
      <c r="V132" s="2">
        <v>48945</v>
      </c>
      <c r="W132" s="2">
        <v>49310</v>
      </c>
      <c r="X132" s="2">
        <v>49675</v>
      </c>
      <c r="Y132" s="2">
        <v>50041</v>
      </c>
      <c r="Z132" s="2">
        <v>50406</v>
      </c>
      <c r="AA132" s="2">
        <v>50771</v>
      </c>
      <c r="AB132" s="2">
        <v>51136</v>
      </c>
      <c r="AC132" s="2">
        <v>51502</v>
      </c>
      <c r="AD132" s="2">
        <v>51867</v>
      </c>
      <c r="AE132" s="2">
        <v>52232</v>
      </c>
      <c r="AF132" s="2">
        <v>52597</v>
      </c>
      <c r="AG132" s="2">
        <v>52963</v>
      </c>
      <c r="AH132" s="2">
        <v>53328</v>
      </c>
      <c r="AI132" s="2">
        <v>53693</v>
      </c>
      <c r="AJ132" s="2">
        <v>54058</v>
      </c>
      <c r="AK132" s="2">
        <v>54424</v>
      </c>
      <c r="AL132" s="2">
        <v>54789</v>
      </c>
    </row>
    <row r="133" spans="1:38" x14ac:dyDescent="0.35">
      <c r="B133" t="s">
        <v>30</v>
      </c>
      <c r="C133" s="6">
        <f>[1]Production!B2</f>
        <v>3852771.7659999998</v>
      </c>
      <c r="D133" s="6">
        <f>[1]Production!C2</f>
        <v>3923710.0789999999</v>
      </c>
      <c r="E133" s="6">
        <f>[1]Production!D2</f>
        <v>4003796.3679999998</v>
      </c>
      <c r="F133" s="6">
        <f>[1]Production!E2</f>
        <v>4091627.9720000001</v>
      </c>
      <c r="G133" s="6">
        <f>[1]Production!F2</f>
        <v>4185908.7390000001</v>
      </c>
      <c r="H133" s="6">
        <f>[1]Production!G2</f>
        <v>4286134.5360000003</v>
      </c>
      <c r="I133" s="6">
        <f>[1]Production!H2</f>
        <v>4393762.8890000004</v>
      </c>
      <c r="J133" s="6">
        <f>[1]Production!I2</f>
        <v>4491779.085</v>
      </c>
      <c r="K133" s="6">
        <f>[1]Production!J2</f>
        <v>4591710.4139999999</v>
      </c>
      <c r="L133" s="6">
        <f>[1]Production!K2</f>
        <v>4712464.3559999997</v>
      </c>
      <c r="M133" s="6">
        <f>[1]Production!L2</f>
        <v>4835149.0029999996</v>
      </c>
      <c r="N133" s="6">
        <f>[1]Production!M2</f>
        <v>4941210.6619999995</v>
      </c>
      <c r="O133" s="6">
        <f>[1]Production!N2</f>
        <v>5034545.6150000002</v>
      </c>
      <c r="P133" s="6">
        <f>[1]Production!O2</f>
        <v>5119102.8770000003</v>
      </c>
      <c r="Q133" s="6">
        <f>[1]Production!P2</f>
        <v>5199469.3720000004</v>
      </c>
      <c r="R133" s="6">
        <f>[1]Production!Q2</f>
        <v>5278714.4539999999</v>
      </c>
      <c r="S133" s="6">
        <f>[1]Production!R2</f>
        <v>5358174.4850000003</v>
      </c>
      <c r="T133" s="6">
        <f>[1]Production!S2</f>
        <v>5440609.648</v>
      </c>
      <c r="U133" s="6">
        <f>[1]Production!T2</f>
        <v>5528171.0750000002</v>
      </c>
      <c r="V133" s="6">
        <f>[1]Production!U2</f>
        <v>5622453.3339999998</v>
      </c>
      <c r="W133" s="6">
        <f>[1]Production!V2</f>
        <v>5723802.3279999997</v>
      </c>
      <c r="X133" s="6">
        <f>[1]Production!W2</f>
        <v>5833668.2209999999</v>
      </c>
      <c r="Y133" s="6">
        <f>[1]Production!X2</f>
        <v>5953487.7170000002</v>
      </c>
      <c r="Z133" s="6">
        <f>[1]Production!Y2</f>
        <v>6084242.7810000004</v>
      </c>
      <c r="AA133" s="6">
        <f>[1]Production!Z2</f>
        <v>6226331.5750000002</v>
      </c>
      <c r="AB133" s="6">
        <f>[1]Production!AA2</f>
        <v>6378351.6490000002</v>
      </c>
      <c r="AC133" s="6">
        <f>[1]Production!AB2</f>
        <v>6529172.142</v>
      </c>
      <c r="AD133" s="6">
        <f>[1]Production!AC2</f>
        <v>6685841.8540000003</v>
      </c>
      <c r="AE133" s="6">
        <f>[1]Production!AD2</f>
        <v>6851210.4960000003</v>
      </c>
      <c r="AF133" s="6">
        <f>[1]Production!AE2</f>
        <v>7025208.7479999997</v>
      </c>
      <c r="AG133" s="6">
        <f>[1]Production!AF2</f>
        <v>7206458.8119999999</v>
      </c>
      <c r="AH133" s="6">
        <f>[1]Production!AG2</f>
        <v>7393288.4610000001</v>
      </c>
      <c r="AI133" s="6">
        <f>[1]Production!AH2</f>
        <v>7584612.216</v>
      </c>
      <c r="AJ133" s="6">
        <f>[1]Production!AI2</f>
        <v>7779315.8130000001</v>
      </c>
      <c r="AK133" s="6">
        <f>[1]Production!AJ2</f>
        <v>7976255.3210000005</v>
      </c>
      <c r="AL133" s="6">
        <f>[1]Production!AK2</f>
        <v>8174255.4910000004</v>
      </c>
    </row>
    <row r="134" spans="1:38" x14ac:dyDescent="0.35">
      <c r="B134" t="s">
        <v>7</v>
      </c>
      <c r="C134" s="6">
        <f>[1]Production!B4+[1]Production!B6</f>
        <v>88273.518215000004</v>
      </c>
      <c r="D134" s="6">
        <f>[1]Production!C4+[1]Production!C6</f>
        <v>89591.086554000009</v>
      </c>
      <c r="E134" s="6">
        <f>[1]Production!D4+[1]Production!D6</f>
        <v>91166.611688000005</v>
      </c>
      <c r="F134" s="6">
        <f>[1]Production!E4+[1]Production!E6</f>
        <v>92993.774719000008</v>
      </c>
      <c r="G134" s="6">
        <f>[1]Production!F4+[1]Production!F6</f>
        <v>95064.201090000002</v>
      </c>
      <c r="H134" s="6">
        <f>[1]Production!G4+[1]Production!G6</f>
        <v>97350.15914199999</v>
      </c>
      <c r="I134" s="6">
        <f>[1]Production!H4+[1]Production!H6</f>
        <v>99835.849044000002</v>
      </c>
      <c r="J134" s="6">
        <f>[1]Production!I4+[1]Production!I6</f>
        <v>102000.845495</v>
      </c>
      <c r="K134" s="6">
        <f>[1]Production!J4+[1]Production!J6</f>
        <v>104178.537691</v>
      </c>
      <c r="L134" s="6">
        <f>[1]Production!K4+[1]Production!K6</f>
        <v>106834.66048199999</v>
      </c>
      <c r="M134" s="6">
        <f>[1]Production!L4+[1]Production!L6</f>
        <v>109462.54617700001</v>
      </c>
      <c r="N134" s="6">
        <f>[1]Production!M4+[1]Production!M6</f>
        <v>111654.37826900001</v>
      </c>
      <c r="O134" s="6">
        <f>[1]Production!N4+[1]Production!N6</f>
        <v>113503.88130399999</v>
      </c>
      <c r="P134" s="6">
        <f>[1]Production!O4+[1]Production!O6</f>
        <v>115116.09114799999</v>
      </c>
      <c r="Q134" s="6">
        <f>[1]Production!P4+[1]Production!P6</f>
        <v>116605.528464</v>
      </c>
      <c r="R134" s="6">
        <f>[1]Production!Q4+[1]Production!Q6</f>
        <v>118046.955873</v>
      </c>
      <c r="S134" s="6">
        <f>[1]Production!R4+[1]Production!R6</f>
        <v>119509.217007</v>
      </c>
      <c r="T134" s="6">
        <f>[1]Production!S4+[1]Production!S6</f>
        <v>121027.437848</v>
      </c>
      <c r="U134" s="6">
        <f>[1]Production!T4+[1]Production!T6</f>
        <v>122649.46158</v>
      </c>
      <c r="V134" s="6">
        <f>[1]Production!U4+[1]Production!U6</f>
        <v>124409.996184</v>
      </c>
      <c r="W134" s="6">
        <f>[1]Production!V4+[1]Production!V6</f>
        <v>126324.03414800001</v>
      </c>
      <c r="X134" s="6">
        <f>[1]Production!W4+[1]Production!W6</f>
        <v>128436.256297</v>
      </c>
      <c r="Y134" s="6">
        <f>[1]Production!X4+[1]Production!X6</f>
        <v>130786.03378900001</v>
      </c>
      <c r="Z134" s="6">
        <f>[1]Production!Y4+[1]Production!Y6</f>
        <v>133396.96631799999</v>
      </c>
      <c r="AA134" s="6">
        <f>[1]Production!Z4+[1]Production!Z6</f>
        <v>136274.842003</v>
      </c>
      <c r="AB134" s="6">
        <f>[1]Production!AA4+[1]Production!AA6</f>
        <v>139369.94192800001</v>
      </c>
      <c r="AC134" s="6">
        <f>[1]Production!AB4+[1]Production!AB6</f>
        <v>142499.24597599998</v>
      </c>
      <c r="AD134" s="6">
        <f>[1]Production!AC4+[1]Production!AC6</f>
        <v>145821.20818999998</v>
      </c>
      <c r="AE134" s="6">
        <f>[1]Production!AD4+[1]Production!AD6</f>
        <v>149390.78758199999</v>
      </c>
      <c r="AF134" s="6">
        <f>[1]Production!AE4+[1]Production!AE6</f>
        <v>153197.88115399997</v>
      </c>
      <c r="AG134" s="6">
        <f>[1]Production!AF4+[1]Production!AF6</f>
        <v>157203.37629799999</v>
      </c>
      <c r="AH134" s="6">
        <f>[1]Production!AG4+[1]Production!AG6</f>
        <v>161361.62872000001</v>
      </c>
      <c r="AI134" s="6">
        <f>[1]Production!AH4+[1]Production!AH6</f>
        <v>165643.95966700002</v>
      </c>
      <c r="AJ134" s="6">
        <f>[1]Production!AI4+[1]Production!AI6</f>
        <v>170019.76920100002</v>
      </c>
      <c r="AK134" s="6">
        <f>[1]Production!AJ4+[1]Production!AJ6</f>
        <v>174456.72980299999</v>
      </c>
      <c r="AL134" s="6">
        <f>[1]Production!AK4+[1]Production!AK6</f>
        <v>178921.47797599999</v>
      </c>
    </row>
    <row r="135" spans="1:38" x14ac:dyDescent="0.35">
      <c r="B135" t="s">
        <v>33</v>
      </c>
      <c r="C135" s="6">
        <f>[1]Production!B8+[1]Production!B10+[1]Production!B12+[1]Production!B14+[1]Production!B16+[1]Production!B18+[1]Production!B20+[1]Production!B22+[1]Production!B24+[1]Production!B26+[1]Production!B40</f>
        <v>978814.98901899997</v>
      </c>
      <c r="D135" s="6">
        <f>[1]Production!C8+[1]Production!C10+[1]Production!C12+[1]Production!C14+[1]Production!C16+[1]Production!C18+[1]Production!C20+[1]Production!C22+[1]Production!C24+[1]Production!C26+[1]Production!C40</f>
        <v>1001081.0418219999</v>
      </c>
      <c r="E135" s="6">
        <f>[1]Production!D8+[1]Production!D10+[1]Production!D12+[1]Production!D14+[1]Production!D16+[1]Production!D18+[1]Production!D20+[1]Production!D22+[1]Production!D24+[1]Production!D26+[1]Production!D40</f>
        <v>1025925.0226650002</v>
      </c>
      <c r="F135" s="6">
        <f>[1]Production!E8+[1]Production!E10+[1]Production!E12+[1]Production!E14+[1]Production!E16+[1]Production!E18+[1]Production!E20+[1]Production!E22+[1]Production!E24+[1]Production!E26+[1]Production!E40</f>
        <v>1052554.4339279998</v>
      </c>
      <c r="G135" s="6">
        <f>[1]Production!F8+[1]Production!F10+[1]Production!F12+[1]Production!F14+[1]Production!F16+[1]Production!F18+[1]Production!F20+[1]Production!F22+[1]Production!F24+[1]Production!F26+[1]Production!F40</f>
        <v>1080801.377381</v>
      </c>
      <c r="H135" s="6">
        <f>[1]Production!G8+[1]Production!G10+[1]Production!G12+[1]Production!G14+[1]Production!G16+[1]Production!G18+[1]Production!G20+[1]Production!G22+[1]Production!G24+[1]Production!G26+[1]Production!G40</f>
        <v>1110528.052471</v>
      </c>
      <c r="I135" s="6">
        <f>[1]Production!H8+[1]Production!H10+[1]Production!H12+[1]Production!H14+[1]Production!H16+[1]Production!H18+[1]Production!H20+[1]Production!H22+[1]Production!H24+[1]Production!H26+[1]Production!H40</f>
        <v>1141652.8995439999</v>
      </c>
      <c r="J135" s="6">
        <f>[1]Production!I8+[1]Production!I10+[1]Production!I12+[1]Production!I14+[1]Production!I16+[1]Production!I18+[1]Production!I20+[1]Production!I22+[1]Production!I24+[1]Production!I26+[1]Production!I40</f>
        <v>1167912.242297</v>
      </c>
      <c r="K135" s="6">
        <f>[1]Production!J8+[1]Production!J10+[1]Production!J12+[1]Production!J14+[1]Production!J16+[1]Production!J18+[1]Production!J20+[1]Production!J22+[1]Production!J24+[1]Production!J26+[1]Production!J40</f>
        <v>1194615.3257619999</v>
      </c>
      <c r="L135" s="6">
        <f>[1]Production!K8+[1]Production!K10+[1]Production!K12+[1]Production!K14+[1]Production!K16+[1]Production!K18+[1]Production!K20+[1]Production!K22+[1]Production!K24+[1]Production!K26+[1]Production!K40</f>
        <v>1228661.5633119999</v>
      </c>
      <c r="M135" s="6">
        <f>[1]Production!L8+[1]Production!L10+[1]Production!L12+[1]Production!L14+[1]Production!L16+[1]Production!L18+[1]Production!L20+[1]Production!L22+[1]Production!L24+[1]Production!L26+[1]Production!L40</f>
        <v>1261889.1279219999</v>
      </c>
      <c r="N135" s="6">
        <f>[1]Production!M8+[1]Production!M10+[1]Production!M12+[1]Production!M14+[1]Production!M16+[1]Production!M18+[1]Production!M20+[1]Production!M22+[1]Production!M24+[1]Production!M26+[1]Production!M40</f>
        <v>1289805.4181929999</v>
      </c>
      <c r="O135" s="6">
        <f>[1]Production!N8+[1]Production!N10+[1]Production!N12+[1]Production!N14+[1]Production!N16+[1]Production!N18+[1]Production!N20+[1]Production!N22+[1]Production!N24+[1]Production!N26+[1]Production!N40</f>
        <v>1313817.833259</v>
      </c>
      <c r="P135" s="6">
        <f>[1]Production!O8+[1]Production!O10+[1]Production!O12+[1]Production!O14+[1]Production!O16+[1]Production!O18+[1]Production!O20+[1]Production!O22+[1]Production!O24+[1]Production!O26+[1]Production!O40</f>
        <v>1335481.5025859999</v>
      </c>
      <c r="Q135" s="6">
        <f>[1]Production!P8+[1]Production!P10+[1]Production!P12+[1]Production!P14+[1]Production!P16+[1]Production!P18+[1]Production!P20+[1]Production!P22+[1]Production!P24+[1]Production!P26+[1]Production!P40</f>
        <v>1356541.2582980001</v>
      </c>
      <c r="R135" s="6">
        <f>[1]Production!Q8+[1]Production!Q10+[1]Production!Q12+[1]Production!Q14+[1]Production!Q16+[1]Production!Q18+[1]Production!Q20+[1]Production!Q22+[1]Production!Q24+[1]Production!Q26+[1]Production!Q40</f>
        <v>1378004.5686009999</v>
      </c>
      <c r="S135" s="6">
        <f>[1]Production!R8+[1]Production!R10+[1]Production!R12+[1]Production!R14+[1]Production!R16+[1]Production!R18+[1]Production!R20+[1]Production!R22+[1]Production!R24+[1]Production!R26+[1]Production!R40</f>
        <v>1400028.9881790001</v>
      </c>
      <c r="T135" s="6">
        <f>[1]Production!S8+[1]Production!S10+[1]Production!S12+[1]Production!S14+[1]Production!S16+[1]Production!S18+[1]Production!S20+[1]Production!S22+[1]Production!S24+[1]Production!S26+[1]Production!S40</f>
        <v>1423500.0150740002</v>
      </c>
      <c r="U135" s="6">
        <f>[1]Production!T8+[1]Production!T10+[1]Production!T12+[1]Production!T14+[1]Production!T16+[1]Production!T18+[1]Production!T20+[1]Production!T22+[1]Production!T24+[1]Production!T26+[1]Production!T40</f>
        <v>1449000.424327</v>
      </c>
      <c r="V135" s="6">
        <f>[1]Production!U8+[1]Production!U10+[1]Production!U12+[1]Production!U14+[1]Production!U16+[1]Production!U18+[1]Production!U20+[1]Production!U22+[1]Production!U24+[1]Production!U26+[1]Production!U40</f>
        <v>1476886.6279779996</v>
      </c>
      <c r="W135" s="6">
        <f>[1]Production!V8+[1]Production!V10+[1]Production!V12+[1]Production!V14+[1]Production!V16+[1]Production!V18+[1]Production!V20+[1]Production!V22+[1]Production!V24+[1]Production!V26+[1]Production!V40</f>
        <v>1507279.9026480003</v>
      </c>
      <c r="X135" s="6">
        <f>[1]Production!W8+[1]Production!W10+[1]Production!W12+[1]Production!W14+[1]Production!W16+[1]Production!W18+[1]Production!W20+[1]Production!W22+[1]Production!W24+[1]Production!W26+[1]Production!W40</f>
        <v>1540633.1220959998</v>
      </c>
      <c r="Y135" s="6">
        <f>[1]Production!X8+[1]Production!X10+[1]Production!X12+[1]Production!X14+[1]Production!X16+[1]Production!X18+[1]Production!X20+[1]Production!X22+[1]Production!X24+[1]Production!X26+[1]Production!X40</f>
        <v>1577286.6781649997</v>
      </c>
      <c r="Z135" s="6">
        <f>[1]Production!Y8+[1]Production!Y10+[1]Production!Y12+[1]Production!Y14+[1]Production!Y16+[1]Production!Y18+[1]Production!Y20+[1]Production!Y22+[1]Production!Y24+[1]Production!Y26+[1]Production!Y40</f>
        <v>1617439.034307</v>
      </c>
      <c r="AA135" s="6">
        <f>[1]Production!Z8+[1]Production!Z10+[1]Production!Z12+[1]Production!Z14+[1]Production!Z16+[1]Production!Z18+[1]Production!Z20+[1]Production!Z22+[1]Production!Z24+[1]Production!Z26+[1]Production!Z40</f>
        <v>1661097.733525</v>
      </c>
      <c r="AB135" s="6">
        <f>[1]Production!AA8+[1]Production!AA10+[1]Production!AA12+[1]Production!AA14+[1]Production!AA16+[1]Production!AA18+[1]Production!AA20+[1]Production!AA22+[1]Production!AA24+[1]Production!AA26+[1]Production!AA40</f>
        <v>1707950.103346</v>
      </c>
      <c r="AC135" s="6">
        <f>[1]Production!AB8+[1]Production!AB10+[1]Production!AB12+[1]Production!AB14+[1]Production!AB16+[1]Production!AB18+[1]Production!AB20+[1]Production!AB22+[1]Production!AB24+[1]Production!AB26+[1]Production!AB40</f>
        <v>1757153.661136</v>
      </c>
      <c r="AD135" s="6">
        <f>[1]Production!AC8+[1]Production!AC10+[1]Production!AC12+[1]Production!AC14+[1]Production!AC16+[1]Production!AC18+[1]Production!AC20+[1]Production!AC22+[1]Production!AC24+[1]Production!AC26+[1]Production!AC40</f>
        <v>1808933.2510829999</v>
      </c>
      <c r="AE135" s="6">
        <f>[1]Production!AD8+[1]Production!AD10+[1]Production!AD12+[1]Production!AD14+[1]Production!AD16+[1]Production!AD18+[1]Production!AD20+[1]Production!AD22+[1]Production!AD24+[1]Production!AD26+[1]Production!AD40</f>
        <v>1863561.3521489999</v>
      </c>
      <c r="AF135" s="6">
        <f>[1]Production!AE8+[1]Production!AE10+[1]Production!AE12+[1]Production!AE14+[1]Production!AE16+[1]Production!AE18+[1]Production!AE20+[1]Production!AE22+[1]Production!AE24+[1]Production!AE26+[1]Production!AE40</f>
        <v>1920798.435792</v>
      </c>
      <c r="AG135" s="6">
        <f>[1]Production!AF8+[1]Production!AF10+[1]Production!AF12+[1]Production!AF14+[1]Production!AF16+[1]Production!AF18+[1]Production!AF20+[1]Production!AF22+[1]Production!AF24+[1]Production!AF26+[1]Production!AF40</f>
        <v>1980127.376282</v>
      </c>
      <c r="AH135" s="6">
        <f>[1]Production!AG8+[1]Production!AG10+[1]Production!AG12+[1]Production!AG14+[1]Production!AG16+[1]Production!AG18+[1]Production!AG20+[1]Production!AG22+[1]Production!AG24+[1]Production!AG26+[1]Production!AG40</f>
        <v>2041109.4265329998</v>
      </c>
      <c r="AI135" s="6">
        <f>[1]Production!AH8+[1]Production!AH10+[1]Production!AH12+[1]Production!AH14+[1]Production!AH16+[1]Production!AH18+[1]Production!AH20+[1]Production!AH22+[1]Production!AH24+[1]Production!AH26+[1]Production!AH40</f>
        <v>2103404.6760100001</v>
      </c>
      <c r="AJ135" s="6">
        <f>[1]Production!AI8+[1]Production!AI10+[1]Production!AI12+[1]Production!AI14+[1]Production!AI16+[1]Production!AI18+[1]Production!AI20+[1]Production!AI22+[1]Production!AI24+[1]Production!AI26+[1]Production!AI40</f>
        <v>2166679.5580190001</v>
      </c>
      <c r="AK135" s="6">
        <f>[1]Production!AJ8+[1]Production!AJ10+[1]Production!AJ12+[1]Production!AJ14+[1]Production!AJ16+[1]Production!AJ18+[1]Production!AJ20+[1]Production!AJ22+[1]Production!AJ24+[1]Production!AJ26+[1]Production!AJ40</f>
        <v>2230595.5717430003</v>
      </c>
      <c r="AL135" s="6">
        <f>[1]Production!AK8+[1]Production!AK10+[1]Production!AK12+[1]Production!AK14+[1]Production!AK16+[1]Production!AK18+[1]Production!AK20+[1]Production!AK22+[1]Production!AK24+[1]Production!AK26+[1]Production!AK40</f>
        <v>2294800.7897219998</v>
      </c>
    </row>
    <row r="136" spans="1:38" x14ac:dyDescent="0.35">
      <c r="B136" t="s">
        <v>9</v>
      </c>
      <c r="C136" s="6">
        <f>[1]Production!B28+[1]Production!B30+[1]Production!B32+[1]Production!B34</f>
        <v>120902.21942200001</v>
      </c>
      <c r="D136" s="6">
        <f>[1]Production!C28+[1]Production!C30+[1]Production!C32+[1]Production!C34</f>
        <v>123463.556125</v>
      </c>
      <c r="E136" s="6">
        <f>[1]Production!D28+[1]Production!D30+[1]Production!D32+[1]Production!D34</f>
        <v>126227.45432999999</v>
      </c>
      <c r="F136" s="6">
        <f>[1]Production!E28+[1]Production!E30+[1]Production!E32+[1]Production!E34</f>
        <v>129146.681432</v>
      </c>
      <c r="G136" s="6">
        <f>[1]Production!F28+[1]Production!F30+[1]Production!F32+[1]Production!F34</f>
        <v>132260.296176</v>
      </c>
      <c r="H136" s="6">
        <f>[1]Production!G28+[1]Production!G30+[1]Production!G32+[1]Production!G34</f>
        <v>135571.45029499999</v>
      </c>
      <c r="I136" s="6">
        <f>[1]Production!H28+[1]Production!H30+[1]Production!H32+[1]Production!H34</f>
        <v>139047.981783</v>
      </c>
      <c r="J136" s="6">
        <f>[1]Production!I28+[1]Production!I30+[1]Production!I32+[1]Production!I34</f>
        <v>141783.57124799999</v>
      </c>
      <c r="K136" s="6">
        <f>[1]Production!J28+[1]Production!J30+[1]Production!J32+[1]Production!J34</f>
        <v>144399.655879</v>
      </c>
      <c r="L136" s="6">
        <f>[1]Production!K28+[1]Production!K30+[1]Production!K32+[1]Production!K34</f>
        <v>147634.02692999999</v>
      </c>
      <c r="M136" s="6">
        <f>[1]Production!L28+[1]Production!L30+[1]Production!L32+[1]Production!L34</f>
        <v>150416.101758</v>
      </c>
      <c r="N136" s="6">
        <f>[1]Production!M28+[1]Production!M30+[1]Production!M32+[1]Production!M34</f>
        <v>152431.39564500001</v>
      </c>
      <c r="O136" s="6">
        <f>[1]Production!N28+[1]Production!N30+[1]Production!N32+[1]Production!N34</f>
        <v>153982.203889</v>
      </c>
      <c r="P136" s="6">
        <f>[1]Production!O28+[1]Production!O30+[1]Production!O32+[1]Production!O34</f>
        <v>155278.27157799999</v>
      </c>
      <c r="Q136" s="6">
        <f>[1]Production!P28+[1]Production!P30+[1]Production!P32+[1]Production!P34</f>
        <v>156508.137281</v>
      </c>
      <c r="R136" s="6">
        <f>[1]Production!Q28+[1]Production!Q30+[1]Production!Q32+[1]Production!Q34</f>
        <v>157764.975072</v>
      </c>
      <c r="S136" s="6">
        <f>[1]Production!R28+[1]Production!R30+[1]Production!R32+[1]Production!R34</f>
        <v>159066.90781600002</v>
      </c>
      <c r="T136" s="6">
        <f>[1]Production!S28+[1]Production!S30+[1]Production!S32+[1]Production!S34</f>
        <v>160456.833453</v>
      </c>
      <c r="U136" s="6">
        <f>[1]Production!T28+[1]Production!T30+[1]Production!T32+[1]Production!T34</f>
        <v>162000.794608</v>
      </c>
      <c r="V136" s="6">
        <f>[1]Production!U28+[1]Production!U30+[1]Production!U32+[1]Production!U34</f>
        <v>163765.274282</v>
      </c>
      <c r="W136" s="6">
        <f>[1]Production!V28+[1]Production!V30+[1]Production!V32+[1]Production!V34</f>
        <v>165769.55746700001</v>
      </c>
      <c r="X136" s="6">
        <f>[1]Production!W28+[1]Production!W30+[1]Production!W32+[1]Production!W34</f>
        <v>168097.610846</v>
      </c>
      <c r="Y136" s="6">
        <f>[1]Production!X28+[1]Production!X30+[1]Production!X32+[1]Production!X34</f>
        <v>170796.54459800001</v>
      </c>
      <c r="Z136" s="6">
        <f>[1]Production!Y28+[1]Production!Y30+[1]Production!Y32+[1]Production!Y34</f>
        <v>173883.71973800001</v>
      </c>
      <c r="AA136" s="6">
        <f>[1]Production!Z28+[1]Production!Z30+[1]Production!Z32+[1]Production!Z34</f>
        <v>177351.87205500001</v>
      </c>
      <c r="AB136" s="6">
        <f>[1]Production!AA28+[1]Production!AA30+[1]Production!AA32+[1]Production!AA34</f>
        <v>181155.38488999999</v>
      </c>
      <c r="AC136" s="6">
        <f>[1]Production!AB28+[1]Production!AB30+[1]Production!AB32+[1]Production!AB34</f>
        <v>185299.87138</v>
      </c>
      <c r="AD136" s="6">
        <f>[1]Production!AC28+[1]Production!AC30+[1]Production!AC32+[1]Production!AC34</f>
        <v>189834.84441999998</v>
      </c>
      <c r="AE136" s="6">
        <f>[1]Production!AD28+[1]Production!AD30+[1]Production!AD32+[1]Production!AD34</f>
        <v>194781.86937</v>
      </c>
      <c r="AF136" s="6">
        <f>[1]Production!AE28+[1]Production!AE30+[1]Production!AE32+[1]Production!AE34</f>
        <v>200103.43371999997</v>
      </c>
      <c r="AG136" s="6">
        <f>[1]Production!AF28+[1]Production!AF30+[1]Production!AF32+[1]Production!AF34</f>
        <v>205735.66563999996</v>
      </c>
      <c r="AH136" s="6">
        <f>[1]Production!AG28+[1]Production!AG30+[1]Production!AG32+[1]Production!AG34</f>
        <v>211636.73394999999</v>
      </c>
      <c r="AI136" s="6">
        <f>[1]Production!AH28+[1]Production!AH30+[1]Production!AH32+[1]Production!AH34</f>
        <v>217769.65497</v>
      </c>
      <c r="AJ136" s="6">
        <f>[1]Production!AI28+[1]Production!AI30+[1]Production!AI32+[1]Production!AI34</f>
        <v>224091.07790999999</v>
      </c>
      <c r="AK136" s="6">
        <f>[1]Production!AJ28+[1]Production!AJ30+[1]Production!AJ32+[1]Production!AJ34</f>
        <v>230553.55407999997</v>
      </c>
      <c r="AL136" s="6">
        <f>[1]Production!AK28+[1]Production!AK30+[1]Production!AK32+[1]Production!AK34</f>
        <v>237106.54428</v>
      </c>
    </row>
    <row r="137" spans="1:38" x14ac:dyDescent="0.35">
      <c r="B137" t="s">
        <v>10</v>
      </c>
      <c r="C137" s="6">
        <f>[1]Production!B36+[1]Production!B38</f>
        <v>2556653.3349000001</v>
      </c>
      <c r="D137" s="6">
        <f>[1]Production!C36+[1]Production!C38</f>
        <v>2600033.9711000002</v>
      </c>
      <c r="E137" s="6">
        <f>[1]Production!D36+[1]Production!D38</f>
        <v>2649529.0495000002</v>
      </c>
      <c r="F137" s="6">
        <f>[1]Production!E36+[1]Production!E38</f>
        <v>2704450.3225000002</v>
      </c>
      <c r="G137" s="6">
        <f>[1]Production!F36+[1]Production!F38</f>
        <v>2763712.7428000001</v>
      </c>
      <c r="H137" s="6">
        <f>[1]Production!G36+[1]Production!G38</f>
        <v>2826887.9363000002</v>
      </c>
      <c r="I137" s="6">
        <f>[1]Production!H36+[1]Production!H38</f>
        <v>2893385.9358999999</v>
      </c>
      <c r="J137" s="6">
        <f>[1]Production!I36+[1]Production!I38</f>
        <v>2955623.1907000002</v>
      </c>
      <c r="K137" s="6">
        <f>[1]Production!J36+[1]Production!J38</f>
        <v>3019055.0422</v>
      </c>
      <c r="L137" s="6">
        <f>[1]Production!K36+[1]Production!K38</f>
        <v>3094009.4617000003</v>
      </c>
      <c r="M137" s="6">
        <f>[1]Production!L36+[1]Production!L38</f>
        <v>3171788.9531999999</v>
      </c>
      <c r="N137" s="6">
        <f>[1]Production!M36+[1]Production!M38</f>
        <v>3241158.017</v>
      </c>
      <c r="O137" s="6">
        <f>[1]Production!N36+[1]Production!N38</f>
        <v>3303014.6546</v>
      </c>
      <c r="P137" s="6">
        <f>[1]Production!O36+[1]Production!O38</f>
        <v>3358974.0235000001</v>
      </c>
      <c r="Q137" s="6">
        <f>[1]Production!P36+[1]Production!P38</f>
        <v>3411331.9553999999</v>
      </c>
      <c r="R137" s="6">
        <f>[1]Production!Q36+[1]Production!Q38</f>
        <v>3461861.3649000004</v>
      </c>
      <c r="S137" s="6">
        <f>[1]Production!R36+[1]Production!R38</f>
        <v>3511483.8479999998</v>
      </c>
      <c r="T137" s="6">
        <f>[1]Production!S36+[1]Production!S38</f>
        <v>3562023.7804</v>
      </c>
      <c r="U137" s="6">
        <f>[1]Production!T36+[1]Production!T38</f>
        <v>3614793.9556</v>
      </c>
      <c r="V137" s="6">
        <f>[1]Production!U36+[1]Production!U38</f>
        <v>3670668.6196999997</v>
      </c>
      <c r="W137" s="6">
        <f>[1]Production!V36+[1]Production!V38</f>
        <v>3729916.9098999999</v>
      </c>
      <c r="X137" s="6">
        <f>[1]Production!W36+[1]Production!W38</f>
        <v>3793314.1924999999</v>
      </c>
      <c r="Y137" s="6">
        <f>[1]Production!X36+[1]Production!X38</f>
        <v>3861637.9103999999</v>
      </c>
      <c r="Z137" s="6">
        <f>[1]Production!Y36+[1]Production!Y38</f>
        <v>3935414.0597000001</v>
      </c>
      <c r="AA137" s="6">
        <f>[1]Production!Z36+[1]Production!Z38</f>
        <v>4014840.6741000004</v>
      </c>
      <c r="AB137" s="6">
        <f>[1]Production!AA36+[1]Production!AA38</f>
        <v>4098799.0216000001</v>
      </c>
      <c r="AC137" s="6">
        <f>[1]Production!AB36+[1]Production!AB38</f>
        <v>4186257.5608000001</v>
      </c>
      <c r="AD137" s="6">
        <f>[1]Production!AC36+[1]Production!AC38</f>
        <v>4278058.5788000003</v>
      </c>
      <c r="AE137" s="6">
        <f>[1]Production!AD36+[1]Production!AD38</f>
        <v>4374955.8982999995</v>
      </c>
      <c r="AF137" s="6">
        <f>[1]Production!AE36+[1]Production!AE38</f>
        <v>4476839.7106999997</v>
      </c>
      <c r="AG137" s="6">
        <f>[1]Production!AF36+[1]Production!AF38</f>
        <v>4583041.3075000001</v>
      </c>
      <c r="AH137" s="6">
        <f>[1]Production!AG36+[1]Production!AG38</f>
        <v>4692600.5373</v>
      </c>
      <c r="AI137" s="6">
        <f>[1]Production!AH36+[1]Production!AH38</f>
        <v>4804934.4478000002</v>
      </c>
      <c r="AJ137" s="6">
        <f>[1]Production!AI36+[1]Production!AI38</f>
        <v>4919418.0093</v>
      </c>
      <c r="AK137" s="6">
        <f>[1]Production!AJ36+[1]Production!AJ38</f>
        <v>5035395.0640000002</v>
      </c>
      <c r="AL137" s="6">
        <f>[1]Production!AK36+[1]Production!AK38</f>
        <v>5152183.8832999999</v>
      </c>
    </row>
    <row r="138" spans="1:38" x14ac:dyDescent="0.35">
      <c r="B138" t="s">
        <v>32</v>
      </c>
      <c r="C138" s="6">
        <f>[1]Production!B42+[1]Production!B46</f>
        <v>35746.115130600003</v>
      </c>
      <c r="D138" s="6">
        <f>[1]Production!C42+[1]Production!C46</f>
        <v>36074.730205100001</v>
      </c>
      <c r="E138" s="6">
        <f>[1]Production!D42+[1]Production!D46</f>
        <v>36417.524839000005</v>
      </c>
      <c r="F138" s="6">
        <f>[1]Production!E42+[1]Production!E46</f>
        <v>36789.086713099998</v>
      </c>
      <c r="G138" s="6">
        <f>[1]Production!F42+[1]Production!F46</f>
        <v>37277.390008800001</v>
      </c>
      <c r="H138" s="6">
        <f>[1]Production!G42+[1]Production!G46</f>
        <v>37869.789991800004</v>
      </c>
      <c r="I138" s="6">
        <f>[1]Production!H42+[1]Production!H46</f>
        <v>38580.533932000006</v>
      </c>
      <c r="J138" s="6">
        <f>[1]Production!I42+[1]Production!I46</f>
        <v>39148.386649199994</v>
      </c>
      <c r="K138" s="6">
        <f>[1]Production!J42+[1]Production!J46</f>
        <v>39618.951018</v>
      </c>
      <c r="L138" s="6">
        <f>[1]Production!K42+[1]Production!K46</f>
        <v>40138.145400699999</v>
      </c>
      <c r="M138" s="6">
        <f>[1]Production!L42+[1]Production!L46</f>
        <v>40470.056240400001</v>
      </c>
      <c r="N138" s="6">
        <f>[1]Production!M42+[1]Production!M46</f>
        <v>40738.561415700002</v>
      </c>
      <c r="O138" s="6">
        <f>[1]Production!N42+[1]Production!N46</f>
        <v>40968.647981000002</v>
      </c>
      <c r="P138" s="6">
        <f>[1]Production!O42+[1]Production!O46</f>
        <v>41183.0648631</v>
      </c>
      <c r="Q138" s="6">
        <f>[1]Production!P42+[1]Production!P46</f>
        <v>41405.396276200001</v>
      </c>
      <c r="R138" s="6">
        <f>[1]Production!Q42+[1]Production!Q46</f>
        <v>41644.727442900003</v>
      </c>
      <c r="S138" s="6">
        <f>[1]Production!R42+[1]Production!R46</f>
        <v>41754.248423199999</v>
      </c>
      <c r="T138" s="6">
        <f>[1]Production!S42+[1]Production!S46</f>
        <v>41866.747035600005</v>
      </c>
      <c r="U138" s="6">
        <f>[1]Production!T42+[1]Production!T46</f>
        <v>41874.631897599997</v>
      </c>
      <c r="V138" s="6">
        <f>[1]Production!U42+[1]Production!U46</f>
        <v>41580.521621200001</v>
      </c>
      <c r="W138" s="6">
        <f>[1]Production!V42+[1]Production!V46</f>
        <v>41275.965128899996</v>
      </c>
      <c r="X138" s="6">
        <f>[1]Production!W42+[1]Production!W46</f>
        <v>40958.067458200007</v>
      </c>
      <c r="Y138" s="6">
        <f>[1]Production!X42+[1]Production!X46</f>
        <v>40626.581369699998</v>
      </c>
      <c r="Z138" s="6">
        <f>[1]Production!Y42+[1]Production!Y46</f>
        <v>40282.315830500003</v>
      </c>
      <c r="AA138" s="6">
        <f>[1]Production!Z42+[1]Production!Z46</f>
        <v>39924.915342</v>
      </c>
      <c r="AB138" s="6">
        <f>[1]Production!AA42+[1]Production!AA46</f>
        <v>39551.104718999995</v>
      </c>
      <c r="AC138" s="6">
        <f>[1]Production!AB42+[1]Production!AB46</f>
        <v>39106.893619399998</v>
      </c>
      <c r="AD138" s="6">
        <f>[1]Production!AC42+[1]Production!AC46</f>
        <v>38638.622913699997</v>
      </c>
      <c r="AE138" s="6">
        <f>[1]Production!AD42+[1]Production!AD46</f>
        <v>38174.6601572</v>
      </c>
      <c r="AF138" s="6">
        <f>[1]Production!AE42+[1]Production!AE46</f>
        <v>37721.968535100001</v>
      </c>
      <c r="AG138" s="6">
        <f>[1]Production!AF42+[1]Production!AF46</f>
        <v>37281.1143648</v>
      </c>
      <c r="AH138" s="6">
        <f>[1]Production!AG42+[1]Production!AG46</f>
        <v>36859.279444699998</v>
      </c>
      <c r="AI138" s="6">
        <f>[1]Production!AH42+[1]Production!AH46</f>
        <v>36463.574606800001</v>
      </c>
      <c r="AJ138" s="6">
        <f>[1]Production!AI42+[1]Production!AI46</f>
        <v>36101.716422000005</v>
      </c>
      <c r="AK138" s="6">
        <f>[1]Production!AJ42+[1]Production!AJ46</f>
        <v>35781.212672999995</v>
      </c>
      <c r="AL138" s="6">
        <f>[1]Production!AK42+[1]Production!AK46</f>
        <v>35508.479996199996</v>
      </c>
    </row>
    <row r="139" spans="1:38" x14ac:dyDescent="0.35">
      <c r="B139" t="s">
        <v>39</v>
      </c>
      <c r="C139" s="6">
        <f>+[1]Production!B44+[1]Production!B48</f>
        <v>4477.6833633000006</v>
      </c>
      <c r="D139" s="6">
        <f>+[1]Production!C44+[1]Production!C48</f>
        <v>4498.7889887000001</v>
      </c>
      <c r="E139" s="6">
        <f>+[1]Production!D44+[1]Production!D48</f>
        <v>4519.7160501999997</v>
      </c>
      <c r="F139" s="6">
        <f>+[1]Production!E44+[1]Production!E48</f>
        <v>4545.2867526999999</v>
      </c>
      <c r="G139" s="6">
        <f>+[1]Production!F44+[1]Production!F48</f>
        <v>4586.9132663</v>
      </c>
      <c r="H139" s="6">
        <f>+[1]Production!G44+[1]Production!G48</f>
        <v>4642.6490648999998</v>
      </c>
      <c r="I139" s="6">
        <f>+[1]Production!H44+[1]Production!H48</f>
        <v>4718.3596655999991</v>
      </c>
      <c r="J139" s="6">
        <f>+[1]Production!I44+[1]Production!I48</f>
        <v>4780.8139133999994</v>
      </c>
      <c r="K139" s="6">
        <f>+[1]Production!J44+[1]Production!J48</f>
        <v>4831.9967573000004</v>
      </c>
      <c r="L139" s="6">
        <f>+[1]Production!K44+[1]Production!K48</f>
        <v>4879.9441779000008</v>
      </c>
      <c r="M139" s="6">
        <f>+[1]Production!L44+[1]Production!L48</f>
        <v>4951.9327052000008</v>
      </c>
      <c r="N139" s="6">
        <f>+[1]Production!M44+[1]Production!M48</f>
        <v>5023.3951635000003</v>
      </c>
      <c r="O139" s="6">
        <f>+[1]Production!N44+[1]Production!N48</f>
        <v>5097.6642803000004</v>
      </c>
      <c r="P139" s="6">
        <f>+[1]Production!O44+[1]Production!O48</f>
        <v>5175.1258257999998</v>
      </c>
      <c r="Q139" s="6">
        <f>+[1]Production!P44+[1]Production!P48</f>
        <v>5255.9461959</v>
      </c>
      <c r="R139" s="6">
        <f>+[1]Production!Q44+[1]Production!Q48</f>
        <v>5339.8585780000003</v>
      </c>
      <c r="S139" s="6">
        <f>+[1]Production!R44+[1]Production!R48</f>
        <v>5511.1342089999998</v>
      </c>
      <c r="T139" s="6">
        <f>+[1]Production!S44+[1]Production!S48</f>
        <v>5698.4655579999999</v>
      </c>
      <c r="U139" s="6">
        <f>+[1]Production!T44+[1]Production!T48</f>
        <v>6112.1838160000007</v>
      </c>
      <c r="V139" s="6">
        <f>+[1]Production!U44+[1]Production!U48</f>
        <v>7144.6285930000004</v>
      </c>
      <c r="W139" s="6">
        <f>+[1]Production!V44+[1]Production!V48</f>
        <v>8327.6882160000005</v>
      </c>
      <c r="X139" s="6">
        <f>+[1]Production!W44+[1]Production!W48</f>
        <v>9672.0903580000013</v>
      </c>
      <c r="Y139" s="6">
        <f>+[1]Production!X44+[1]Production!X48</f>
        <v>11188.445572000001</v>
      </c>
      <c r="Z139" s="6">
        <f>+[1]Production!Y44+[1]Production!Y48</f>
        <v>12885.356926</v>
      </c>
      <c r="AA139" s="6">
        <f>+[1]Production!Z44+[1]Production!Z48</f>
        <v>14767.974807000001</v>
      </c>
      <c r="AB139" s="6">
        <f>+[1]Production!AA44+[1]Production!AA48</f>
        <v>16835.468743000001</v>
      </c>
      <c r="AC139" s="6">
        <f>+[1]Production!AB44+[1]Production!AB48</f>
        <v>19037.444253000001</v>
      </c>
      <c r="AD139" s="6">
        <f>+[1]Production!AC44+[1]Production!AC48</f>
        <v>21389.328913000001</v>
      </c>
      <c r="AE139" s="6">
        <f>+[1]Production!AD44+[1]Production!AD48</f>
        <v>23893.893098</v>
      </c>
      <c r="AF139" s="6">
        <f>+[1]Production!AE44+[1]Production!AE48</f>
        <v>26537.707310000002</v>
      </c>
      <c r="AG139" s="6">
        <f>+[1]Production!AF44+[1]Production!AF48</f>
        <v>29297.282809</v>
      </c>
      <c r="AH139" s="6">
        <f>+[1]Production!AG44+[1]Production!AG48</f>
        <v>32147.232591</v>
      </c>
      <c r="AI139" s="6">
        <f>+[1]Production!AH44+[1]Production!AH48</f>
        <v>35056.716289999997</v>
      </c>
      <c r="AJ139" s="6">
        <f>+[1]Production!AI44+[1]Production!AI48</f>
        <v>37992.629204000004</v>
      </c>
      <c r="AK139" s="6">
        <f>+[1]Production!AJ44+[1]Production!AJ48</f>
        <v>40921.397520999999</v>
      </c>
      <c r="AL139" s="6">
        <f>+[1]Production!AK44+[1]Production!AK48</f>
        <v>43810.710907000001</v>
      </c>
    </row>
    <row r="140" spans="1:38" x14ac:dyDescent="0.35">
      <c r="B140" t="s">
        <v>36</v>
      </c>
      <c r="C140" s="6">
        <f>[1]Production!B50+[1]Production!B52+[1]Production!B54+[1]Production!B56+[1]Production!B58+[1]Production!B60+[1]Production!B62+[1]Production!B64+[1]Production!B66</f>
        <v>67903.905743299998</v>
      </c>
      <c r="D140" s="6">
        <f>[1]Production!C50+[1]Production!C52+[1]Production!C54+[1]Production!C56+[1]Production!C58+[1]Production!C60+[1]Production!C62+[1]Production!C64+[1]Production!C66</f>
        <v>68966.903798999992</v>
      </c>
      <c r="E140" s="6">
        <f>[1]Production!D50+[1]Production!D52+[1]Production!D54+[1]Production!D56+[1]Production!D58+[1]Production!D60+[1]Production!D62+[1]Production!D64+[1]Production!D66</f>
        <v>70010.988372699998</v>
      </c>
      <c r="F140" s="6">
        <f>[1]Production!E50+[1]Production!E52+[1]Production!E54+[1]Production!E56+[1]Production!E58+[1]Production!E60+[1]Production!E62+[1]Production!E64+[1]Production!E66</f>
        <v>71148.386048999993</v>
      </c>
      <c r="G140" s="6">
        <f>[1]Production!F50+[1]Production!F52+[1]Production!F54+[1]Production!F56+[1]Production!F58+[1]Production!F60+[1]Production!F62+[1]Production!F64+[1]Production!F66</f>
        <v>72205.818781400012</v>
      </c>
      <c r="H140" s="6">
        <f>[1]Production!G50+[1]Production!G52+[1]Production!G54+[1]Production!G56+[1]Production!G58+[1]Production!G60+[1]Production!G62+[1]Production!G64+[1]Production!G66</f>
        <v>73284.498726100006</v>
      </c>
      <c r="I140" s="6">
        <f>[1]Production!H50+[1]Production!H52+[1]Production!H54+[1]Production!H56+[1]Production!H58+[1]Production!H60+[1]Production!H62+[1]Production!H64+[1]Production!H66</f>
        <v>76541.329371500018</v>
      </c>
      <c r="J140" s="6">
        <f>[1]Production!I50+[1]Production!I52+[1]Production!I54+[1]Production!I56+[1]Production!I58+[1]Production!I60+[1]Production!I62+[1]Production!I64+[1]Production!I66</f>
        <v>80530.035205199994</v>
      </c>
      <c r="K140" s="6">
        <f>[1]Production!J50+[1]Production!J52+[1]Production!J54+[1]Production!J56+[1]Production!J58+[1]Production!J60+[1]Production!J62+[1]Production!J64+[1]Production!J66</f>
        <v>85010.904783499995</v>
      </c>
      <c r="L140" s="6">
        <f>[1]Production!K50+[1]Production!K52+[1]Production!K54+[1]Production!K56+[1]Production!K58+[1]Production!K60+[1]Production!K62+[1]Production!K64+[1]Production!K66</f>
        <v>90306.554246500004</v>
      </c>
      <c r="M140" s="6">
        <f>[1]Production!L50+[1]Production!L52+[1]Production!L54+[1]Production!L56+[1]Production!L58+[1]Production!L60+[1]Production!L62+[1]Production!L64+[1]Production!L66</f>
        <v>96170.285058599984</v>
      </c>
      <c r="N140" s="6">
        <f>[1]Production!M50+[1]Production!M52+[1]Production!M54+[1]Production!M56+[1]Production!M58+[1]Production!M60+[1]Production!M62+[1]Production!M64+[1]Production!M66</f>
        <v>100399.4969345</v>
      </c>
      <c r="O140" s="6">
        <f>[1]Production!N50+[1]Production!N52+[1]Production!N54+[1]Production!N56+[1]Production!N58+[1]Production!N60+[1]Production!N62+[1]Production!N64+[1]Production!N66</f>
        <v>104160.72926430001</v>
      </c>
      <c r="P140" s="6">
        <f>[1]Production!O50+[1]Production!O52+[1]Production!O54+[1]Production!O56+[1]Production!O58+[1]Production!O60+[1]Production!O62+[1]Production!O64+[1]Production!O66</f>
        <v>107894.7979429</v>
      </c>
      <c r="Q140" s="6">
        <f>[1]Production!P50+[1]Production!P52+[1]Production!P54+[1]Production!P56+[1]Production!P58+[1]Production!P60+[1]Production!P62+[1]Production!P64+[1]Production!P66</f>
        <v>111821.15029660001</v>
      </c>
      <c r="R140" s="6">
        <f>[1]Production!Q50+[1]Production!Q52+[1]Production!Q54+[1]Production!Q56+[1]Production!Q58+[1]Production!Q60+[1]Production!Q62+[1]Production!Q64+[1]Production!Q66</f>
        <v>116052.0038968</v>
      </c>
      <c r="S140" s="6">
        <f>[1]Production!R50+[1]Production!R52+[1]Production!R54+[1]Production!R56+[1]Production!R58+[1]Production!R60+[1]Production!R62+[1]Production!R64+[1]Production!R66</f>
        <v>120820.14087609999</v>
      </c>
      <c r="T140" s="6">
        <f>[1]Production!S50+[1]Production!S52+[1]Production!S54+[1]Production!S56+[1]Production!S58+[1]Production!S60+[1]Production!S62+[1]Production!S64+[1]Production!S66</f>
        <v>126036.3685753</v>
      </c>
      <c r="U140" s="6">
        <f>[1]Production!T50+[1]Production!T52+[1]Production!T54+[1]Production!T56+[1]Production!T58+[1]Production!T60+[1]Production!T62+[1]Production!T64+[1]Production!T66</f>
        <v>131739.62321834997</v>
      </c>
      <c r="V140" s="6">
        <f>[1]Production!U50+[1]Production!U52+[1]Production!U54+[1]Production!U56+[1]Production!U58+[1]Production!U60+[1]Production!U62+[1]Production!U64+[1]Production!U66</f>
        <v>137997.66594574999</v>
      </c>
      <c r="W140" s="6">
        <f>[1]Production!V50+[1]Production!V52+[1]Production!V54+[1]Production!V56+[1]Production!V58+[1]Production!V60+[1]Production!V62+[1]Production!V64+[1]Production!V66</f>
        <v>144908.26993894001</v>
      </c>
      <c r="X140" s="6">
        <f>[1]Production!W50+[1]Production!W52+[1]Production!W54+[1]Production!W56+[1]Production!W58+[1]Production!W60+[1]Production!W62+[1]Production!W64+[1]Production!W66</f>
        <v>152556.88106409</v>
      </c>
      <c r="Y140" s="6">
        <f>[1]Production!X50+[1]Production!X52+[1]Production!X54+[1]Production!X56+[1]Production!X58+[1]Production!X60+[1]Production!X62+[1]Production!X64+[1]Production!X66</f>
        <v>161165.52347083</v>
      </c>
      <c r="Z140" s="6">
        <f>[1]Production!Y50+[1]Production!Y52+[1]Production!Y54+[1]Production!Y56+[1]Production!Y58+[1]Production!Y60+[1]Production!Y62+[1]Production!Y64+[1]Production!Y66</f>
        <v>170941.329306787</v>
      </c>
      <c r="AA140" s="6">
        <f>[1]Production!Z50+[1]Production!Z52+[1]Production!Z54+[1]Production!Z56+[1]Production!Z58+[1]Production!Z60+[1]Production!Z62+[1]Production!Z64+[1]Production!Z66</f>
        <v>182073.563487501</v>
      </c>
      <c r="AB140" s="6">
        <f>[1]Production!AA50+[1]Production!AA52+[1]Production!AA54+[1]Production!AA56+[1]Production!AA58+[1]Production!AA60+[1]Production!AA62+[1]Production!AA64+[1]Production!AA66</f>
        <v>194690.62408778601</v>
      </c>
      <c r="AC140" s="6">
        <f>[1]Production!AB50+[1]Production!AB52+[1]Production!AB54+[1]Production!AB56+[1]Production!AB58+[1]Production!AB60+[1]Production!AB62+[1]Production!AB64+[1]Production!AB66</f>
        <v>199817.464281525</v>
      </c>
      <c r="AD140" s="6">
        <f>[1]Production!AC50+[1]Production!AC52+[1]Production!AC54+[1]Production!AC56+[1]Production!AC58+[1]Production!AC60+[1]Production!AC62+[1]Production!AC64+[1]Production!AC66</f>
        <v>203166.01964933798</v>
      </c>
      <c r="AE140" s="6">
        <f>[1]Production!AD50+[1]Production!AD52+[1]Production!AD54+[1]Production!AD56+[1]Production!AD58+[1]Production!AD60+[1]Production!AD62+[1]Production!AD64+[1]Production!AD66</f>
        <v>206452.03597953901</v>
      </c>
      <c r="AF140" s="6">
        <f>[1]Production!AE50+[1]Production!AE52+[1]Production!AE54+[1]Production!AE56+[1]Production!AE58+[1]Production!AE60+[1]Production!AE62+[1]Production!AE64+[1]Production!AE66</f>
        <v>210009.61113353897</v>
      </c>
      <c r="AG140" s="6">
        <f>[1]Production!AF50+[1]Production!AF52+[1]Production!AF54+[1]Production!AF56+[1]Production!AF58+[1]Production!AF60+[1]Production!AF62+[1]Production!AF64+[1]Production!AF66</f>
        <v>213772.689845213</v>
      </c>
      <c r="AH140" s="6">
        <f>[1]Production!AG50+[1]Production!AG52+[1]Production!AG54+[1]Production!AG56+[1]Production!AG58+[1]Production!AG60+[1]Production!AG62+[1]Production!AG64+[1]Production!AG66</f>
        <v>217573.62324518399</v>
      </c>
      <c r="AI140" s="6">
        <f>[1]Production!AH50+[1]Production!AH52+[1]Production!AH54+[1]Production!AH56+[1]Production!AH58+[1]Production!AH60+[1]Production!AH62+[1]Production!AH64+[1]Production!AH66</f>
        <v>221339.18746166202</v>
      </c>
      <c r="AJ140" s="6">
        <f>[1]Production!AI50+[1]Production!AI52+[1]Production!AI54+[1]Production!AI56+[1]Production!AI58+[1]Production!AI60+[1]Production!AI62+[1]Production!AI64+[1]Production!AI66</f>
        <v>225013.05296663902</v>
      </c>
      <c r="AK140" s="6">
        <f>[1]Production!AJ50+[1]Production!AJ52+[1]Production!AJ54+[1]Production!AJ56+[1]Production!AJ58+[1]Production!AJ60+[1]Production!AJ62+[1]Production!AJ64+[1]Production!AJ66</f>
        <v>228551.791411746</v>
      </c>
      <c r="AL140" s="6">
        <f>[1]Production!AK50+[1]Production!AK52+[1]Production!AK54+[1]Production!AK56+[1]Production!AK58+[1]Production!AK60+[1]Production!AK62+[1]Production!AK64+[1]Production!AK66</f>
        <v>231923.60480836901</v>
      </c>
    </row>
    <row r="141" spans="1:38" x14ac:dyDescent="0.35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</row>
    <row r="142" spans="1:38" x14ac:dyDescent="0.35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</row>
    <row r="143" spans="1:38" x14ac:dyDescent="0.35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</row>
    <row r="145" spans="2:5" x14ac:dyDescent="0.35">
      <c r="B145" t="s">
        <v>16</v>
      </c>
      <c r="C145" s="8" t="s">
        <v>17</v>
      </c>
      <c r="D145" s="8" t="s">
        <v>18</v>
      </c>
      <c r="E145" s="8" t="s">
        <v>19</v>
      </c>
    </row>
    <row r="146" spans="2:5" x14ac:dyDescent="0.35">
      <c r="B146" t="s">
        <v>44</v>
      </c>
      <c r="C146" s="4">
        <f t="shared" ref="C146" si="13">(R133-R122)/R122</f>
        <v>3.8096317600224767E-4</v>
      </c>
      <c r="D146" s="4">
        <f>(S132-S121)/S121</f>
        <v>0</v>
      </c>
      <c r="E146" s="4">
        <f>(AL133-AL122)/AL122</f>
        <v>-1.1246265932164401E-2</v>
      </c>
    </row>
    <row r="147" spans="2:5" x14ac:dyDescent="0.35">
      <c r="B147" t="s">
        <v>7</v>
      </c>
      <c r="C147" s="4">
        <f>(R134-R123)/R123</f>
        <v>-1.1729049785391325E-2</v>
      </c>
      <c r="D147" s="4">
        <f t="shared" ref="D147:D153" si="14">(S133-S122)/S122</f>
        <v>5.788916686994529E-4</v>
      </c>
      <c r="E147" s="4">
        <f t="shared" ref="E147:E153" si="15">(AL134-AL123)/AL123</f>
        <v>-3.6032605266611201E-2</v>
      </c>
    </row>
    <row r="148" spans="2:5" x14ac:dyDescent="0.35">
      <c r="B148" t="s">
        <v>33</v>
      </c>
      <c r="C148" s="4">
        <f t="shared" ref="C148:C153" si="16">(R135-R124)/R124</f>
        <v>-7.9887629064568731E-3</v>
      </c>
      <c r="D148" s="4">
        <f t="shared" si="14"/>
        <v>-1.2184144444351359E-2</v>
      </c>
      <c r="E148" s="4">
        <f t="shared" si="15"/>
        <v>-2.2086039679846341E-2</v>
      </c>
    </row>
    <row r="149" spans="2:5" x14ac:dyDescent="0.35">
      <c r="B149" t="s">
        <v>9</v>
      </c>
      <c r="C149" s="4">
        <f t="shared" si="16"/>
        <v>-3.8387784162244504E-2</v>
      </c>
      <c r="D149" s="4">
        <f t="shared" si="14"/>
        <v>-8.306001474354294E-3</v>
      </c>
      <c r="E149" s="4">
        <f t="shared" si="15"/>
        <v>-7.1895726729321638E-2</v>
      </c>
    </row>
    <row r="150" spans="2:5" x14ac:dyDescent="0.35">
      <c r="B150" t="s">
        <v>10</v>
      </c>
      <c r="C150" s="4">
        <f t="shared" si="16"/>
        <v>5.8845397406211723E-3</v>
      </c>
      <c r="D150" s="4">
        <f t="shared" si="14"/>
        <v>-4.1623333678925005E-2</v>
      </c>
      <c r="E150" s="4">
        <f t="shared" si="15"/>
        <v>-2.8702478795718592E-3</v>
      </c>
    </row>
    <row r="151" spans="2:5" x14ac:dyDescent="0.35">
      <c r="B151" t="s">
        <v>32</v>
      </c>
      <c r="C151" s="4">
        <f t="shared" si="16"/>
        <v>-5.5053645101766857E-2</v>
      </c>
      <c r="D151" s="4">
        <f t="shared" si="14"/>
        <v>6.5120934031215093E-3</v>
      </c>
      <c r="E151" s="4">
        <f t="shared" si="15"/>
        <v>-0.44792888455545454</v>
      </c>
    </row>
    <row r="152" spans="2:5" x14ac:dyDescent="0.35">
      <c r="B152" t="s">
        <v>39</v>
      </c>
      <c r="C152" s="4">
        <f t="shared" si="16"/>
        <v>-1.1898038723387417E-3</v>
      </c>
      <c r="D152" s="4">
        <f t="shared" si="14"/>
        <v>-6.2313357593585646E-2</v>
      </c>
      <c r="E152" s="4">
        <f t="shared" si="15"/>
        <v>4.9677265245463031</v>
      </c>
    </row>
    <row r="153" spans="2:5" x14ac:dyDescent="0.35">
      <c r="B153" t="s">
        <v>36</v>
      </c>
      <c r="C153" s="4">
        <f t="shared" si="16"/>
        <v>2.6416664795749108E-2</v>
      </c>
      <c r="D153" s="4">
        <f t="shared" si="14"/>
        <v>2.0637472461542804E-2</v>
      </c>
      <c r="E153" s="4">
        <f t="shared" si="15"/>
        <v>-3.7040073713765227E-2</v>
      </c>
    </row>
    <row r="154" spans="2:5" x14ac:dyDescent="0.35">
      <c r="C154" s="6"/>
      <c r="D154" s="6"/>
      <c r="E154" s="6"/>
    </row>
    <row r="155" spans="2:5" x14ac:dyDescent="0.35">
      <c r="C155" s="6"/>
      <c r="D155" s="6"/>
      <c r="E155" s="6"/>
    </row>
    <row r="156" spans="2:5" x14ac:dyDescent="0.35">
      <c r="C156" s="6"/>
      <c r="D156" s="6"/>
      <c r="E156" s="6"/>
    </row>
    <row r="157" spans="2:5" x14ac:dyDescent="0.35">
      <c r="C157" s="5"/>
      <c r="D157" s="5"/>
      <c r="E157" s="5"/>
    </row>
    <row r="158" spans="2:5" x14ac:dyDescent="0.35">
      <c r="B158" t="s">
        <v>16</v>
      </c>
      <c r="C158" s="8" t="s">
        <v>17</v>
      </c>
      <c r="D158" s="8" t="s">
        <v>18</v>
      </c>
      <c r="E158" s="8" t="s">
        <v>19</v>
      </c>
    </row>
    <row r="159" spans="2:5" x14ac:dyDescent="0.35">
      <c r="B159" t="s">
        <v>7</v>
      </c>
      <c r="C159" s="4">
        <f>R134/R123-1</f>
        <v>-1.1729049785391354E-2</v>
      </c>
      <c r="D159" s="4">
        <f>AB134/AB123-1</f>
        <v>-2.6881166456051653E-2</v>
      </c>
      <c r="E159" s="4">
        <f>AL134/AL123-1</f>
        <v>-3.6032605266611228E-2</v>
      </c>
    </row>
    <row r="160" spans="2:5" x14ac:dyDescent="0.35">
      <c r="B160" t="s">
        <v>8</v>
      </c>
      <c r="C160" s="4">
        <f>R135/R124-1</f>
        <v>-7.9887629064568921E-3</v>
      </c>
      <c r="D160" s="4">
        <f>AB135/AB124-1</f>
        <v>-1.8534763040110369E-2</v>
      </c>
      <c r="E160" s="4">
        <f>AL135/AL124-1</f>
        <v>-2.2086039679846348E-2</v>
      </c>
    </row>
    <row r="161" spans="1:38" x14ac:dyDescent="0.35">
      <c r="B161" t="s">
        <v>9</v>
      </c>
      <c r="C161" s="4">
        <f>R136/R125-1</f>
        <v>-3.8387784162244531E-2</v>
      </c>
      <c r="D161" s="4">
        <f>AB136/AB125-1</f>
        <v>-7.6827953969755058E-2</v>
      </c>
      <c r="E161" s="4">
        <f>AL136/AL125-1</f>
        <v>-7.1895726729321652E-2</v>
      </c>
    </row>
    <row r="162" spans="1:38" x14ac:dyDescent="0.35">
      <c r="B162" t="s">
        <v>10</v>
      </c>
      <c r="C162" s="4">
        <f>R137/R126-1</f>
        <v>5.8845397406210864E-3</v>
      </c>
      <c r="D162" s="4">
        <f>AB137/AB126-1</f>
        <v>3.3805254646226413E-3</v>
      </c>
      <c r="E162" s="4">
        <f>AL137/AL126-1</f>
        <v>-2.8702478795719077E-3</v>
      </c>
    </row>
    <row r="163" spans="1:38" x14ac:dyDescent="0.35">
      <c r="B163" t="s">
        <v>12</v>
      </c>
      <c r="C163" s="4">
        <f>R138/R127-1</f>
        <v>-5.5053645101766802E-2</v>
      </c>
      <c r="D163" s="4">
        <f>AB138/AB127-1</f>
        <v>-0.2369246396901179</v>
      </c>
      <c r="E163" s="4">
        <f>AL138/AL127-1</f>
        <v>-0.44792888455545454</v>
      </c>
    </row>
    <row r="164" spans="1:38" x14ac:dyDescent="0.35">
      <c r="B164" t="s">
        <v>11</v>
      </c>
      <c r="C164" s="4">
        <f>R140/R129-1</f>
        <v>2.6416664795749112E-2</v>
      </c>
      <c r="D164" s="4">
        <f>AB140/AB129-1</f>
        <v>7.233299592035447E-3</v>
      </c>
      <c r="E164" s="4">
        <f>AL140/AL129-1</f>
        <v>-3.7040073713765276E-2</v>
      </c>
    </row>
    <row r="165" spans="1:38" x14ac:dyDescent="0.35">
      <c r="C165" s="4"/>
      <c r="D165" s="4"/>
      <c r="E165" s="4"/>
    </row>
    <row r="166" spans="1:38" x14ac:dyDescent="0.35">
      <c r="A166" t="s">
        <v>42</v>
      </c>
      <c r="B166" t="s">
        <v>45</v>
      </c>
      <c r="C166" s="4"/>
      <c r="D166" s="4"/>
      <c r="E166" s="4"/>
    </row>
    <row r="167" spans="1:38" x14ac:dyDescent="0.35">
      <c r="B167" t="s">
        <v>44</v>
      </c>
      <c r="C167" s="6">
        <f>[1]Capital!B3</f>
        <v>5223771.5789999999</v>
      </c>
      <c r="D167" s="6">
        <f>[1]Capital!C3</f>
        <v>5286303.6339999996</v>
      </c>
      <c r="E167" s="6">
        <f>[1]Capital!D3</f>
        <v>5353313.9970000004</v>
      </c>
      <c r="F167" s="6">
        <f>[1]Capital!E3</f>
        <v>5425722.7390000001</v>
      </c>
      <c r="G167" s="6">
        <f>[1]Capital!F3</f>
        <v>5504253.0010000002</v>
      </c>
      <c r="H167" s="6">
        <f>[1]Capital!G3</f>
        <v>5589449.6509999996</v>
      </c>
      <c r="I167" s="6">
        <f>[1]Capital!H3</f>
        <v>5681718.852</v>
      </c>
      <c r="J167" s="6">
        <f>[1]Capital!I3</f>
        <v>5781298.682</v>
      </c>
      <c r="K167" s="6">
        <f>[1]Capital!J3</f>
        <v>5888368.3830000004</v>
      </c>
      <c r="L167" s="6">
        <f>[1]Capital!K3</f>
        <v>6003107.2939999998</v>
      </c>
      <c r="M167" s="6">
        <f>[1]Capital!L3</f>
        <v>6125491.301</v>
      </c>
      <c r="N167" s="6">
        <f>[1]Capital!M3</f>
        <v>6254401.9960000003</v>
      </c>
      <c r="O167" s="6">
        <f>[1]Capital!N3</f>
        <v>6388626.091</v>
      </c>
      <c r="P167" s="6">
        <f>[1]Capital!O3</f>
        <v>6527151.5899999999</v>
      </c>
      <c r="Q167" s="6">
        <f>[1]Capital!P3</f>
        <v>6669274.0769999996</v>
      </c>
      <c r="R167" s="6">
        <f>[1]Capital!Q3</f>
        <v>6814605.2170000002</v>
      </c>
      <c r="S167" s="6">
        <f>[1]Capital!R3</f>
        <v>6963205.0609999998</v>
      </c>
      <c r="T167" s="6">
        <f>[1]Capital!S3</f>
        <v>7115472.3300000001</v>
      </c>
      <c r="U167" s="6">
        <f>[1]Capital!T3</f>
        <v>7272027.0970000001</v>
      </c>
      <c r="V167" s="6">
        <f>[1]Capital!U3</f>
        <v>7433605.1969999997</v>
      </c>
      <c r="W167" s="6">
        <f>[1]Capital!V3</f>
        <v>7600965.1390000004</v>
      </c>
      <c r="X167" s="6">
        <f>[1]Capital!W3</f>
        <v>7774968.5389999999</v>
      </c>
      <c r="Y167" s="6">
        <f>[1]Capital!X3</f>
        <v>7956576.3600000003</v>
      </c>
      <c r="Z167" s="6">
        <f>[1]Capital!Y3</f>
        <v>8146824.2920000004</v>
      </c>
      <c r="AA167" s="6">
        <f>[1]Capital!Z3</f>
        <v>8346769.9380000001</v>
      </c>
      <c r="AB167" s="6">
        <f>[1]Capital!AA3</f>
        <v>8557323.9609999992</v>
      </c>
      <c r="AC167" s="6">
        <f>[1]Capital!AB3</f>
        <v>8778352.8100000005</v>
      </c>
      <c r="AD167" s="6">
        <f>[1]Capital!AC3</f>
        <v>9009844.148</v>
      </c>
      <c r="AE167" s="6">
        <f>[1]Capital!AD3</f>
        <v>9252073.0889999997</v>
      </c>
      <c r="AF167" s="6">
        <f>[1]Capital!AE3</f>
        <v>9505418.3770000003</v>
      </c>
      <c r="AG167" s="6">
        <f>[1]Capital!AF3</f>
        <v>9770184.2559999991</v>
      </c>
      <c r="AH167" s="6">
        <f>[1]Capital!AG3</f>
        <v>10046534.880000001</v>
      </c>
      <c r="AI167" s="6">
        <f>[1]Capital!AH3</f>
        <v>10334493.800000001</v>
      </c>
      <c r="AJ167" s="6">
        <f>[1]Capital!AI3</f>
        <v>10633950.58</v>
      </c>
      <c r="AK167" s="6">
        <f>[1]Capital!AJ3</f>
        <v>10944663.6</v>
      </c>
      <c r="AL167" s="6">
        <f>[1]Capital!AK3</f>
        <v>11266258.1</v>
      </c>
    </row>
    <row r="168" spans="1:38" x14ac:dyDescent="0.35">
      <c r="B168" t="s">
        <v>7</v>
      </c>
      <c r="C168" s="5">
        <f>[1]Capital!B5+[1]Capital!B7</f>
        <v>49061.966597999999</v>
      </c>
      <c r="D168" s="5">
        <f>[1]Capital!C5+[1]Capital!C7</f>
        <v>49652.382835000004</v>
      </c>
      <c r="E168" s="5">
        <f>[1]Capital!D5+[1]Capital!D7</f>
        <v>50282.76988</v>
      </c>
      <c r="F168" s="5">
        <f>[1]Capital!E5+[1]Capital!E7</f>
        <v>50966.994126999998</v>
      </c>
      <c r="G168" s="5">
        <f>[1]Capital!F5+[1]Capital!F7</f>
        <v>51712.660219999998</v>
      </c>
      <c r="H168" s="5">
        <f>[1]Capital!G5+[1]Capital!G7</f>
        <v>52525.927909999999</v>
      </c>
      <c r="I168" s="5">
        <f>[1]Capital!H5+[1]Capital!H7</f>
        <v>53411.428734000001</v>
      </c>
      <c r="J168" s="5">
        <f>[1]Capital!I5+[1]Capital!I7</f>
        <v>54372.482177999998</v>
      </c>
      <c r="K168" s="5">
        <f>[1]Capital!J5+[1]Capital!J7</f>
        <v>55410.674816999999</v>
      </c>
      <c r="L168" s="5">
        <f>[1]Capital!K5+[1]Capital!K7</f>
        <v>56526.781548999999</v>
      </c>
      <c r="M168" s="5">
        <f>[1]Capital!L5+[1]Capital!L7</f>
        <v>57718.603232000001</v>
      </c>
      <c r="N168" s="5">
        <f>[1]Capital!M5+[1]Capital!M7</f>
        <v>58971.095047999996</v>
      </c>
      <c r="O168" s="5">
        <f>[1]Capital!N5+[1]Capital!N7</f>
        <v>60268.213402999994</v>
      </c>
      <c r="P168" s="5">
        <f>[1]Capital!O5+[1]Capital!O7</f>
        <v>61596.150316000007</v>
      </c>
      <c r="Q168" s="5">
        <f>[1]Capital!P5+[1]Capital!P7</f>
        <v>62944.677379999994</v>
      </c>
      <c r="R168" s="5">
        <f>[1]Capital!Q5+[1]Capital!Q7</f>
        <v>64307.411074999996</v>
      </c>
      <c r="S168" s="5">
        <f>[1]Capital!R5+[1]Capital!R7</f>
        <v>65682.166612999994</v>
      </c>
      <c r="T168" s="5">
        <f>[1]Capital!S5+[1]Capital!S7</f>
        <v>67070.536491999999</v>
      </c>
      <c r="U168" s="5">
        <f>[1]Capital!T5+[1]Capital!T7</f>
        <v>68476.986210000003</v>
      </c>
      <c r="V168" s="5">
        <f>[1]Capital!U5+[1]Capital!U7</f>
        <v>69907.70565399999</v>
      </c>
      <c r="W168" s="5">
        <f>[1]Capital!V5+[1]Capital!V7</f>
        <v>71369.223102000004</v>
      </c>
      <c r="X168" s="5">
        <f>[1]Capital!W5+[1]Capital!W7</f>
        <v>72869.607921000003</v>
      </c>
      <c r="Y168" s="5">
        <f>[1]Capital!X5+[1]Capital!X7</f>
        <v>74417.956791000004</v>
      </c>
      <c r="Z168" s="5">
        <f>[1]Capital!Y5+[1]Capital!Y7</f>
        <v>76023.801114000002</v>
      </c>
      <c r="AA168" s="5">
        <f>[1]Capital!Z5+[1]Capital!Z7</f>
        <v>77696.304871999993</v>
      </c>
      <c r="AB168" s="5">
        <f>[1]Capital!AA5+[1]Capital!AA7</f>
        <v>79441.628721000001</v>
      </c>
      <c r="AC168" s="5">
        <f>[1]Capital!AB5+[1]Capital!AB7</f>
        <v>81262.883335000006</v>
      </c>
      <c r="AD168" s="5">
        <f>[1]Capital!AC5+[1]Capital!AC7</f>
        <v>83164.748731999993</v>
      </c>
      <c r="AE168" s="5">
        <f>[1]Capital!AD5+[1]Capital!AD7</f>
        <v>85153.291578999997</v>
      </c>
      <c r="AF168" s="5">
        <f>[1]Capital!AE5+[1]Capital!AE7</f>
        <v>87234.013082000005</v>
      </c>
      <c r="AG168" s="5">
        <f>[1]Capital!AF5+[1]Capital!AF7</f>
        <v>89410.418002999999</v>
      </c>
      <c r="AH168" s="5">
        <f>[1]Capital!AG5+[1]Capital!AG7</f>
        <v>91683.783264000012</v>
      </c>
      <c r="AI168" s="5">
        <f>[1]Capital!AH5+[1]Capital!AH7</f>
        <v>94053.473325999992</v>
      </c>
      <c r="AJ168" s="5">
        <f>[1]Capital!AI5+[1]Capital!AI7</f>
        <v>96517.192512999987</v>
      </c>
      <c r="AK168" s="5">
        <f>[1]Capital!AJ5+[1]Capital!AJ7</f>
        <v>99071.136534000005</v>
      </c>
      <c r="AL168" s="5">
        <f>[1]Capital!AK5+[1]Capital!AK7</f>
        <v>101710.0793</v>
      </c>
    </row>
    <row r="169" spans="1:38" x14ac:dyDescent="0.35">
      <c r="B169" t="s">
        <v>33</v>
      </c>
      <c r="C169" s="5">
        <f>[1]Capital!B9+[1]Capital!B11+[1]Capital!B13+[1]Capital!B15+[1]Capital!B17+[1]Capital!B19+[1]Capital!B21+[1]Capital!B23+[1]Capital!B25+[1]Capital!B27+[1]Capital!B41</f>
        <v>2595483.7306829998</v>
      </c>
      <c r="D169" s="5">
        <f>[1]Capital!C9+[1]Capital!C11+[1]Capital!C13+[1]Capital!C15+[1]Capital!C17+[1]Capital!C19+[1]Capital!C21+[1]Capital!C23+[1]Capital!C25+[1]Capital!C27+[1]Capital!C41</f>
        <v>2626816.43316</v>
      </c>
      <c r="E169" s="5">
        <f>[1]Capital!D9+[1]Capital!D11+[1]Capital!D13+[1]Capital!D15+[1]Capital!D17+[1]Capital!D19+[1]Capital!D21+[1]Capital!D23+[1]Capital!D25+[1]Capital!D27+[1]Capital!D41</f>
        <v>2660733.5854130001</v>
      </c>
      <c r="F169" s="5">
        <f>[1]Capital!E9+[1]Capital!E11+[1]Capital!E13+[1]Capital!E15+[1]Capital!E17+[1]Capital!E19+[1]Capital!E21+[1]Capital!E23+[1]Capital!E25+[1]Capital!E27+[1]Capital!E41</f>
        <v>2697714.606803</v>
      </c>
      <c r="G169" s="5">
        <f>[1]Capital!F9+[1]Capital!F11+[1]Capital!F13+[1]Capital!F15+[1]Capital!F17+[1]Capital!F19+[1]Capital!F21+[1]Capital!F23+[1]Capital!F25+[1]Capital!F27+[1]Capital!F41</f>
        <v>2738110.5604599998</v>
      </c>
      <c r="H169" s="5">
        <f>[1]Capital!G9+[1]Capital!G11+[1]Capital!G13+[1]Capital!G15+[1]Capital!G17+[1]Capital!G19+[1]Capital!G21+[1]Capital!G23+[1]Capital!G25+[1]Capital!G27+[1]Capital!G41</f>
        <v>2782188.9388239998</v>
      </c>
      <c r="I169" s="5">
        <f>[1]Capital!H9+[1]Capital!H11+[1]Capital!H13+[1]Capital!H15+[1]Capital!H17+[1]Capital!H19+[1]Capital!H21+[1]Capital!H23+[1]Capital!H25+[1]Capital!H27+[1]Capital!H41</f>
        <v>2830150.0239209998</v>
      </c>
      <c r="J169" s="5">
        <f>[1]Capital!I9+[1]Capital!I11+[1]Capital!I13+[1]Capital!I15+[1]Capital!I17+[1]Capital!I19+[1]Capital!I21+[1]Capital!I23+[1]Capital!I25+[1]Capital!I27+[1]Capital!I41</f>
        <v>2882137.3436310003</v>
      </c>
      <c r="K169" s="5">
        <f>[1]Capital!J9+[1]Capital!J11+[1]Capital!J13+[1]Capital!J15+[1]Capital!J17+[1]Capital!J19+[1]Capital!J21+[1]Capital!J23+[1]Capital!J25+[1]Capital!J27+[1]Capital!J41</f>
        <v>2938282.0768229999</v>
      </c>
      <c r="L169" s="5">
        <f>[1]Capital!K9+[1]Capital!K11+[1]Capital!K13+[1]Capital!K15+[1]Capital!K17+[1]Capital!K19+[1]Capital!K21+[1]Capital!K23+[1]Capital!K25+[1]Capital!K27+[1]Capital!K41</f>
        <v>2998728.5841350001</v>
      </c>
      <c r="M169" s="5">
        <f>[1]Capital!L9+[1]Capital!L11+[1]Capital!L13+[1]Capital!L15+[1]Capital!L17+[1]Capital!L19+[1]Capital!L21+[1]Capital!L23+[1]Capital!L25+[1]Capital!L27+[1]Capital!L41</f>
        <v>3063507.132863</v>
      </c>
      <c r="N169" s="5">
        <f>[1]Capital!M9+[1]Capital!M11+[1]Capital!M13+[1]Capital!M15+[1]Capital!M17+[1]Capital!M19+[1]Capital!M21+[1]Capital!M23+[1]Capital!M25+[1]Capital!M27+[1]Capital!M41</f>
        <v>3132082.3422989999</v>
      </c>
      <c r="O169" s="5">
        <f>[1]Capital!N9+[1]Capital!N11+[1]Capital!N13+[1]Capital!N15+[1]Capital!N17+[1]Capital!N19+[1]Capital!N21+[1]Capital!N23+[1]Capital!N25+[1]Capital!N27+[1]Capital!N41</f>
        <v>3203876.9321070001</v>
      </c>
      <c r="P169" s="5">
        <f>[1]Capital!O9+[1]Capital!O11+[1]Capital!O13+[1]Capital!O15+[1]Capital!O17+[1]Capital!O19+[1]Capital!O21+[1]Capital!O23+[1]Capital!O25+[1]Capital!O27+[1]Capital!O41</f>
        <v>3278423.509393</v>
      </c>
      <c r="Q169" s="5">
        <f>[1]Capital!P9+[1]Capital!P11+[1]Capital!P13+[1]Capital!P15+[1]Capital!P17+[1]Capital!P19+[1]Capital!P21+[1]Capital!P23+[1]Capital!P25+[1]Capital!P27+[1]Capital!P41</f>
        <v>3355421.9809429999</v>
      </c>
      <c r="R169" s="5">
        <f>[1]Capital!Q9+[1]Capital!Q11+[1]Capital!Q13+[1]Capital!Q15+[1]Capital!Q17+[1]Capital!Q19+[1]Capital!Q21+[1]Capital!Q23+[1]Capital!Q25+[1]Capital!Q27+[1]Capital!Q41</f>
        <v>3434739.2353960001</v>
      </c>
      <c r="S169" s="5">
        <f>[1]Capital!R9+[1]Capital!R11+[1]Capital!R13+[1]Capital!R15+[1]Capital!R17+[1]Capital!R19+[1]Capital!R21+[1]Capital!R23+[1]Capital!R25+[1]Capital!R27+[1]Capital!R41</f>
        <v>3516460.310213001</v>
      </c>
      <c r="T169" s="5">
        <f>[1]Capital!S9+[1]Capital!S11+[1]Capital!S13+[1]Capital!S15+[1]Capital!S17+[1]Capital!S19+[1]Capital!S21+[1]Capital!S23+[1]Capital!S25+[1]Capital!S27+[1]Capital!S41</f>
        <v>3600848.1305780001</v>
      </c>
      <c r="U169" s="5">
        <f>[1]Capital!T9+[1]Capital!T11+[1]Capital!T13+[1]Capital!T15+[1]Capital!T17+[1]Capital!T19+[1]Capital!T21+[1]Capital!T23+[1]Capital!T25+[1]Capital!T27+[1]Capital!T41</f>
        <v>3688280.8387140003</v>
      </c>
      <c r="V169" s="5">
        <f>[1]Capital!U9+[1]Capital!U11+[1]Capital!U13+[1]Capital!U15+[1]Capital!U17+[1]Capital!U19+[1]Capital!U21+[1]Capital!U23+[1]Capital!U25+[1]Capital!U27+[1]Capital!U41</f>
        <v>3779193.7295179996</v>
      </c>
      <c r="W169" s="5">
        <f>[1]Capital!V9+[1]Capital!V11+[1]Capital!V13+[1]Capital!V15+[1]Capital!V17+[1]Capital!V19+[1]Capital!V21+[1]Capital!V23+[1]Capital!V25+[1]Capital!V27+[1]Capital!V41</f>
        <v>3874036.9795110002</v>
      </c>
      <c r="X169" s="5">
        <f>[1]Capital!W9+[1]Capital!W11+[1]Capital!W13+[1]Capital!W15+[1]Capital!W17+[1]Capital!W19+[1]Capital!W21+[1]Capital!W23+[1]Capital!W25+[1]Capital!W27+[1]Capital!W41</f>
        <v>3973301.6606139997</v>
      </c>
      <c r="Y169" s="5">
        <f>[1]Capital!X9+[1]Capital!X11+[1]Capital!X13+[1]Capital!X15+[1]Capital!X17+[1]Capital!X19+[1]Capital!X21+[1]Capital!X23+[1]Capital!X25+[1]Capital!X27+[1]Capital!X41</f>
        <v>4077529.8209800003</v>
      </c>
      <c r="Z169" s="5">
        <f>[1]Capital!Y9+[1]Capital!Y11+[1]Capital!Y13+[1]Capital!Y15+[1]Capital!Y17+[1]Capital!Y19+[1]Capital!Y21+[1]Capital!Y23+[1]Capital!Y25+[1]Capital!Y27+[1]Capital!Y41</f>
        <v>4187305.5554030002</v>
      </c>
      <c r="AA169" s="5">
        <f>[1]Capital!Z9+[1]Capital!Z11+[1]Capital!Z13+[1]Capital!Z15+[1]Capital!Z17+[1]Capital!Z19+[1]Capital!Z21+[1]Capital!Z23+[1]Capital!Z25+[1]Capital!Z27+[1]Capital!Z41</f>
        <v>4303228.4426849997</v>
      </c>
      <c r="AB169" s="5">
        <f>[1]Capital!AA9+[1]Capital!AA11+[1]Capital!AA13+[1]Capital!AA15+[1]Capital!AA17+[1]Capital!AA19+[1]Capital!AA21+[1]Capital!AA23+[1]Capital!AA25+[1]Capital!AA27+[1]Capital!AA41</f>
        <v>4425846.9004229996</v>
      </c>
      <c r="AC169" s="5">
        <f>[1]Capital!AB9+[1]Capital!AB11+[1]Capital!AB13+[1]Capital!AB15+[1]Capital!AB17+[1]Capital!AB19+[1]Capital!AB21+[1]Capital!AB23+[1]Capital!AB25+[1]Capital!AB27+[1]Capital!AB41</f>
        <v>4555323.4131540004</v>
      </c>
      <c r="AD169" s="5">
        <f>[1]Capital!AC9+[1]Capital!AC11+[1]Capital!AC13+[1]Capital!AC15+[1]Capital!AC17+[1]Capital!AC19+[1]Capital!AC21+[1]Capital!AC23+[1]Capital!AC25+[1]Capital!AC27+[1]Capital!AC41</f>
        <v>4691737.8730270006</v>
      </c>
      <c r="AE169" s="5">
        <f>[1]Capital!AD9+[1]Capital!AD11+[1]Capital!AD13+[1]Capital!AD15+[1]Capital!AD17+[1]Capital!AD19+[1]Capital!AD21+[1]Capital!AD23+[1]Capital!AD25+[1]Capital!AD27+[1]Capital!AD41</f>
        <v>4835237.0953670004</v>
      </c>
      <c r="AF169" s="5">
        <f>[1]Capital!AE9+[1]Capital!AE11+[1]Capital!AE13+[1]Capital!AE15+[1]Capital!AE17+[1]Capital!AE19+[1]Capital!AE21+[1]Capital!AE23+[1]Capital!AE25+[1]Capital!AE27+[1]Capital!AE41</f>
        <v>4986000.1911730003</v>
      </c>
      <c r="AG169" s="5">
        <f>[1]Capital!AF9+[1]Capital!AF11+[1]Capital!AF13+[1]Capital!AF15+[1]Capital!AF17+[1]Capital!AF19+[1]Capital!AF21+[1]Capital!AF23+[1]Capital!AF25+[1]Capital!AF27+[1]Capital!AF41</f>
        <v>5144169.0653240001</v>
      </c>
      <c r="AH169" s="5">
        <f>[1]Capital!AG9+[1]Capital!AG11+[1]Capital!AG13+[1]Capital!AG15+[1]Capital!AG17+[1]Capital!AG19+[1]Capital!AG21+[1]Capital!AG23+[1]Capital!AG25+[1]Capital!AG27+[1]Capital!AG41</f>
        <v>5309819.6814040001</v>
      </c>
      <c r="AI169" s="5">
        <f>[1]Capital!AH9+[1]Capital!AH11+[1]Capital!AH13+[1]Capital!AH15+[1]Capital!AH17+[1]Capital!AH19+[1]Capital!AH21+[1]Capital!AH23+[1]Capital!AH25+[1]Capital!AH27+[1]Capital!AH41</f>
        <v>5482961.2735900003</v>
      </c>
      <c r="AJ169" s="5">
        <f>[1]Capital!AI9+[1]Capital!AI11+[1]Capital!AI13+[1]Capital!AI15+[1]Capital!AI17+[1]Capital!AI19+[1]Capital!AI21+[1]Capital!AI23+[1]Capital!AI25+[1]Capital!AI27+[1]Capital!AI41</f>
        <v>5663537.2353099994</v>
      </c>
      <c r="AK169" s="5">
        <f>[1]Capital!AJ9+[1]Capital!AJ11+[1]Capital!AJ13+[1]Capital!AJ15+[1]Capital!AJ17+[1]Capital!AJ19+[1]Capital!AJ21+[1]Capital!AJ23+[1]Capital!AJ25+[1]Capital!AJ27+[1]Capital!AJ41</f>
        <v>5851423.6510000005</v>
      </c>
      <c r="AL169" s="5">
        <f>[1]Capital!AK9+[1]Capital!AK11+[1]Capital!AK13+[1]Capital!AK15+[1]Capital!AK17+[1]Capital!AK19+[1]Capital!AK21+[1]Capital!AK23+[1]Capital!AK25+[1]Capital!AK27+[1]Capital!AK41</f>
        <v>6046425.0337500004</v>
      </c>
    </row>
    <row r="170" spans="1:38" x14ac:dyDescent="0.35">
      <c r="B170" t="s">
        <v>9</v>
      </c>
      <c r="C170" s="5">
        <f>[1]Capital!B29+[1]Capital!B31+[1]Capital!B33+[1]Capital!B35</f>
        <v>88548.948887000006</v>
      </c>
      <c r="D170" s="5">
        <f>[1]Capital!C29+[1]Capital!C31+[1]Capital!C33+[1]Capital!C35</f>
        <v>89644.787011000008</v>
      </c>
      <c r="E170" s="5">
        <f>[1]Capital!D29+[1]Capital!D31+[1]Capital!D33+[1]Capital!D35</f>
        <v>90857.607990000004</v>
      </c>
      <c r="F170" s="5">
        <f>[1]Capital!E29+[1]Capital!E31+[1]Capital!E33+[1]Capital!E35</f>
        <v>92199.118052999984</v>
      </c>
      <c r="G170" s="5">
        <f>[1]Capital!F29+[1]Capital!F31+[1]Capital!F33+[1]Capital!F35</f>
        <v>93675.617602999992</v>
      </c>
      <c r="H170" s="5">
        <f>[1]Capital!G29+[1]Capital!G31+[1]Capital!G33+[1]Capital!G35</f>
        <v>95292.224107999995</v>
      </c>
      <c r="I170" s="5">
        <f>[1]Capital!H29+[1]Capital!H31+[1]Capital!H33+[1]Capital!H35</f>
        <v>97050.524470000004</v>
      </c>
      <c r="J170" s="5">
        <f>[1]Capital!I29+[1]Capital!I31+[1]Capital!I33+[1]Capital!I35</f>
        <v>98949.396913999983</v>
      </c>
      <c r="K170" s="5">
        <f>[1]Capital!J29+[1]Capital!J31+[1]Capital!J33+[1]Capital!J35</f>
        <v>100986.071473</v>
      </c>
      <c r="L170" s="5">
        <f>[1]Capital!K29+[1]Capital!K31+[1]Capital!K33+[1]Capital!K35</f>
        <v>103157.38342700001</v>
      </c>
      <c r="M170" s="5">
        <f>[1]Capital!L29+[1]Capital!L31+[1]Capital!L33+[1]Capital!L35</f>
        <v>105451.413308</v>
      </c>
      <c r="N170" s="5">
        <f>[1]Capital!M29+[1]Capital!M31+[1]Capital!M33+[1]Capital!M35</f>
        <v>107824.878582</v>
      </c>
      <c r="O170" s="5">
        <f>[1]Capital!N29+[1]Capital!N31+[1]Capital!N33+[1]Capital!N35</f>
        <v>110238.90806900001</v>
      </c>
      <c r="P170" s="5">
        <f>[1]Capital!O29+[1]Capital!O31+[1]Capital!O33+[1]Capital!O35</f>
        <v>112665.37125500001</v>
      </c>
      <c r="Q170" s="5">
        <f>[1]Capital!P29+[1]Capital!P31+[1]Capital!P33+[1]Capital!P35</f>
        <v>115088.10893100001</v>
      </c>
      <c r="R170" s="5">
        <f>[1]Capital!Q29+[1]Capital!Q31+[1]Capital!Q33+[1]Capital!Q35</f>
        <v>117501.37095000001</v>
      </c>
      <c r="S170" s="5">
        <f>[1]Capital!R29+[1]Capital!R31+[1]Capital!R33+[1]Capital!R35</f>
        <v>119909.97701800001</v>
      </c>
      <c r="T170" s="5">
        <f>[1]Capital!S29+[1]Capital!S31+[1]Capital!S33+[1]Capital!S35</f>
        <v>122326.86655100001</v>
      </c>
      <c r="U170" s="5">
        <f>[1]Capital!T29+[1]Capital!T31+[1]Capital!T33+[1]Capital!T35</f>
        <v>124770.09002999999</v>
      </c>
      <c r="V170" s="5">
        <f>[1]Capital!U29+[1]Capital!U31+[1]Capital!U33+[1]Capital!U35</f>
        <v>127259.58195699999</v>
      </c>
      <c r="W170" s="5">
        <f>[1]Capital!V29+[1]Capital!V31+[1]Capital!V33+[1]Capital!V35</f>
        <v>129815.22144799998</v>
      </c>
      <c r="X170" s="5">
        <f>[1]Capital!W29+[1]Capital!W31+[1]Capital!W33+[1]Capital!W35</f>
        <v>132457.54867300001</v>
      </c>
      <c r="Y170" s="5">
        <f>[1]Capital!X29+[1]Capital!X31+[1]Capital!X33+[1]Capital!X35</f>
        <v>135207.92303100001</v>
      </c>
      <c r="Z170" s="5">
        <f>[1]Capital!Y29+[1]Capital!Y31+[1]Capital!Y33+[1]Capital!Y35</f>
        <v>138087.49906999999</v>
      </c>
      <c r="AA170" s="5">
        <f>[1]Capital!Z29+[1]Capital!Z31+[1]Capital!Z33+[1]Capital!Z35</f>
        <v>141115.385244</v>
      </c>
      <c r="AB170" s="5">
        <f>[1]Capital!AA29+[1]Capital!AA31+[1]Capital!AA33+[1]Capital!AA35</f>
        <v>144306.28522300001</v>
      </c>
      <c r="AC170" s="5">
        <f>[1]Capital!AB29+[1]Capital!AB31+[1]Capital!AB33+[1]Capital!AB35</f>
        <v>147672.687924</v>
      </c>
      <c r="AD170" s="5">
        <f>[1]Capital!AC29+[1]Capital!AC31+[1]Capital!AC33+[1]Capital!AC35</f>
        <v>151228.13095700002</v>
      </c>
      <c r="AE170" s="5">
        <f>[1]Capital!AD29+[1]Capital!AD31+[1]Capital!AD33+[1]Capital!AD35</f>
        <v>154986.552799</v>
      </c>
      <c r="AF170" s="5">
        <f>[1]Capital!AE29+[1]Capital!AE31+[1]Capital!AE33+[1]Capital!AE35</f>
        <v>158958.235652</v>
      </c>
      <c r="AG170" s="5">
        <f>[1]Capital!AF29+[1]Capital!AF31+[1]Capital!AF33+[1]Capital!AF35</f>
        <v>163147.31573600002</v>
      </c>
      <c r="AH170" s="5">
        <f>[1]Capital!AG29+[1]Capital!AG31+[1]Capital!AG33+[1]Capital!AG35</f>
        <v>167552.41163399999</v>
      </c>
      <c r="AI170" s="5">
        <f>[1]Capital!AH29+[1]Capital!AH31+[1]Capital!AH33+[1]Capital!AH35</f>
        <v>172168.27162200003</v>
      </c>
      <c r="AJ170" s="5">
        <f>[1]Capital!AI29+[1]Capital!AI31+[1]Capital!AI33+[1]Capital!AI35</f>
        <v>176986.80172699998</v>
      </c>
      <c r="AK170" s="5">
        <f>[1]Capital!AJ29+[1]Capital!AJ31+[1]Capital!AJ33+[1]Capital!AJ35</f>
        <v>181997.57926000003</v>
      </c>
      <c r="AL170" s="5">
        <f>[1]Capital!AK29+[1]Capital!AK31+[1]Capital!AK33+[1]Capital!AK35</f>
        <v>187188.06235600001</v>
      </c>
    </row>
    <row r="171" spans="1:38" x14ac:dyDescent="0.35">
      <c r="B171" t="s">
        <v>10</v>
      </c>
      <c r="C171" s="5">
        <f>[1]Capital!B37+[1]Capital!B39</f>
        <v>2425506.8032999998</v>
      </c>
      <c r="D171" s="5">
        <f>[1]Capital!C37+[1]Capital!C39</f>
        <v>2454263.1033999999</v>
      </c>
      <c r="E171" s="5">
        <f>[1]Capital!D37+[1]Capital!D39</f>
        <v>2484740.2290000003</v>
      </c>
      <c r="F171" s="5">
        <f>[1]Capital!E37+[1]Capital!E39</f>
        <v>2517348.8097000001</v>
      </c>
      <c r="G171" s="5">
        <f>[1]Capital!F37+[1]Capital!F39</f>
        <v>2552444.1748000002</v>
      </c>
      <c r="H171" s="5">
        <f>[1]Capital!G37+[1]Capital!G39</f>
        <v>2590287.0452000001</v>
      </c>
      <c r="I171" s="5">
        <f>[1]Capital!H37+[1]Capital!H39</f>
        <v>2630994.7977</v>
      </c>
      <c r="J171" s="5">
        <f>[1]Capital!I37+[1]Capital!I39</f>
        <v>2674605.4646999999</v>
      </c>
      <c r="K171" s="5">
        <f>[1]Capital!J37+[1]Capital!J39</f>
        <v>2721133.5672999998</v>
      </c>
      <c r="L171" s="5">
        <f>[1]Capital!K37+[1]Capital!K39</f>
        <v>2770589.6299000001</v>
      </c>
      <c r="M171" s="5">
        <f>[1]Capital!L37+[1]Capital!L39</f>
        <v>2822910.1221000003</v>
      </c>
      <c r="N171" s="5">
        <f>[1]Capital!M37+[1]Capital!M39</f>
        <v>2877605.1814999999</v>
      </c>
      <c r="O171" s="5">
        <f>[1]Capital!N37+[1]Capital!N39</f>
        <v>2934124.0750000002</v>
      </c>
      <c r="P171" s="5">
        <f>[1]Capital!O37+[1]Capital!O39</f>
        <v>2991975.6302999998</v>
      </c>
      <c r="Q171" s="5">
        <f>[1]Capital!P37+[1]Capital!P39</f>
        <v>3050781.1315000001</v>
      </c>
      <c r="R171" s="5">
        <f>[1]Capital!Q37+[1]Capital!Q39</f>
        <v>3110288.5658999998</v>
      </c>
      <c r="S171" s="5">
        <f>[1]Capital!R37+[1]Capital!R39</f>
        <v>3170444.1058</v>
      </c>
      <c r="T171" s="5">
        <f>[1]Capital!S37+[1]Capital!S39</f>
        <v>3231339.1844000001</v>
      </c>
      <c r="U171" s="5">
        <f>[1]Capital!T37+[1]Capital!T39</f>
        <v>3293158.5312999999</v>
      </c>
      <c r="V171" s="5">
        <f>[1]Capital!U37+[1]Capital!U39</f>
        <v>3356135.6388999997</v>
      </c>
      <c r="W171" s="5">
        <f>[1]Capital!V37+[1]Capital!V39</f>
        <v>3420505.0511999996</v>
      </c>
      <c r="X171" s="5">
        <f>[1]Capital!W37+[1]Capital!W39</f>
        <v>3486551.7470999998</v>
      </c>
      <c r="Y171" s="5">
        <f>[1]Capital!X37+[1]Capital!X39</f>
        <v>3554596.6602999996</v>
      </c>
      <c r="Z171" s="5">
        <f>[1]Capital!Y37+[1]Capital!Y39</f>
        <v>3624981.3889000001</v>
      </c>
      <c r="AA171" s="5">
        <f>[1]Capital!Z37+[1]Capital!Z39</f>
        <v>3698043.4463999998</v>
      </c>
      <c r="AB171" s="5">
        <f>[1]Capital!AA37+[1]Capital!AA39</f>
        <v>3774020.2894000001</v>
      </c>
      <c r="AC171" s="5">
        <f>[1]Capital!AB37+[1]Capital!AB39</f>
        <v>3853065.4401000002</v>
      </c>
      <c r="AD171" s="5">
        <f>[1]Capital!AC37+[1]Capital!AC39</f>
        <v>3935356.3725000001</v>
      </c>
      <c r="AE171" s="5">
        <f>[1]Capital!AD37+[1]Capital!AD39</f>
        <v>4021113.9459000002</v>
      </c>
      <c r="AF171" s="5">
        <f>[1]Capital!AE37+[1]Capital!AE39</f>
        <v>4110550.7757000001</v>
      </c>
      <c r="AG171" s="5">
        <f>[1]Capital!AF37+[1]Capital!AF39</f>
        <v>4203822.2331999997</v>
      </c>
      <c r="AH171" s="5">
        <f>[1]Capital!AG37+[1]Capital!AG39</f>
        <v>4301012.5544999996</v>
      </c>
      <c r="AI171" s="5">
        <f>[1]Capital!AH37+[1]Capital!AH39</f>
        <v>4402140.4264000002</v>
      </c>
      <c r="AJ171" s="5">
        <f>[1]Capital!AI37+[1]Capital!AI39</f>
        <v>4507164.6612</v>
      </c>
      <c r="AK171" s="5">
        <f>[1]Capital!AJ37+[1]Capital!AJ39</f>
        <v>4615987.2808999997</v>
      </c>
      <c r="AL171" s="5">
        <f>[1]Capital!AK37+[1]Capital!AK39</f>
        <v>4728454.5747999996</v>
      </c>
    </row>
    <row r="172" spans="1:38" x14ac:dyDescent="0.35">
      <c r="B172" t="s">
        <v>32</v>
      </c>
      <c r="C172" s="5">
        <f>[1]Capital!B43+[1]Capital!B47</f>
        <v>22925.200485199999</v>
      </c>
      <c r="D172" s="5">
        <f>[1]Capital!C43+[1]Capital!C47</f>
        <v>23181.447247399999</v>
      </c>
      <c r="E172" s="5">
        <f>[1]Capital!D43+[1]Capital!D47</f>
        <v>23436.461157499998</v>
      </c>
      <c r="F172" s="5">
        <f>[1]Capital!E43+[1]Capital!E47</f>
        <v>23691.399584700001</v>
      </c>
      <c r="G172" s="5">
        <f>[1]Capital!F43+[1]Capital!F47</f>
        <v>23951.324227200002</v>
      </c>
      <c r="H172" s="5">
        <f>[1]Capital!G43+[1]Capital!G47</f>
        <v>24221.8419612</v>
      </c>
      <c r="I172" s="5">
        <f>[1]Capital!H43+[1]Capital!H47</f>
        <v>24508.485430500001</v>
      </c>
      <c r="J172" s="5">
        <f>[1]Capital!I43+[1]Capital!I47</f>
        <v>24813.842529000001</v>
      </c>
      <c r="K172" s="5">
        <f>[1]Capital!J43+[1]Capital!J47</f>
        <v>25138.998360499998</v>
      </c>
      <c r="L172" s="5">
        <f>[1]Capital!K43+[1]Capital!K47</f>
        <v>25484.3529036</v>
      </c>
      <c r="M172" s="5">
        <f>[1]Capital!L43+[1]Capital!L47</f>
        <v>25849.035161900003</v>
      </c>
      <c r="N172" s="5">
        <f>[1]Capital!M43+[1]Capital!M47</f>
        <v>26227.102736000001</v>
      </c>
      <c r="O172" s="5">
        <f>[1]Capital!N43+[1]Capital!N47</f>
        <v>26612.6325115</v>
      </c>
      <c r="P172" s="5">
        <f>[1]Capital!O43+[1]Capital!O47</f>
        <v>27001.016310699997</v>
      </c>
      <c r="Q172" s="5">
        <f>[1]Capital!P43+[1]Capital!P47</f>
        <v>27389.180953999999</v>
      </c>
      <c r="R172" s="5">
        <f>[1]Capital!Q43+[1]Capital!Q47</f>
        <v>27775.462410300002</v>
      </c>
      <c r="S172" s="5">
        <f>[1]Capital!R43+[1]Capital!R47</f>
        <v>28160.078369900002</v>
      </c>
      <c r="T172" s="5">
        <f>[1]Capital!S43+[1]Capital!S47</f>
        <v>28545.349431900002</v>
      </c>
      <c r="U172" s="5">
        <f>[1]Capital!T43+[1]Capital!T47</f>
        <v>28934.673136599999</v>
      </c>
      <c r="V172" s="5">
        <f>[1]Capital!U43+[1]Capital!U47</f>
        <v>29331.790867299998</v>
      </c>
      <c r="W172" s="5">
        <f>[1]Capital!V43+[1]Capital!V47</f>
        <v>29740.400358400002</v>
      </c>
      <c r="X172" s="5">
        <f>[1]Capital!W43+[1]Capital!W47</f>
        <v>30164.302281300003</v>
      </c>
      <c r="Y172" s="5">
        <f>[1]Capital!X43+[1]Capital!X47</f>
        <v>30607.428250299999</v>
      </c>
      <c r="Z172" s="5">
        <f>[1]Capital!Y43+[1]Capital!Y47</f>
        <v>31073.7794383</v>
      </c>
      <c r="AA172" s="5">
        <f>[1]Capital!Z43+[1]Capital!Z47</f>
        <v>31567.257990599999</v>
      </c>
      <c r="AB172" s="5">
        <f>[1]Capital!AA43+[1]Capital!AA47</f>
        <v>32091.346554299998</v>
      </c>
      <c r="AC172" s="5">
        <f>[1]Capital!AB43+[1]Capital!AB47</f>
        <v>32644.022937600002</v>
      </c>
      <c r="AD172" s="5">
        <f>[1]Capital!AC43+[1]Capital!AC47</f>
        <v>33224.481154699999</v>
      </c>
      <c r="AE172" s="5">
        <f>[1]Capital!AD43+[1]Capital!AD47</f>
        <v>33833.822640899998</v>
      </c>
      <c r="AF172" s="5">
        <f>[1]Capital!AE43+[1]Capital!AE47</f>
        <v>34473.7795185</v>
      </c>
      <c r="AG172" s="5">
        <f>[1]Capital!AF43+[1]Capital!AF47</f>
        <v>35145.708028000001</v>
      </c>
      <c r="AH172" s="5">
        <f>[1]Capital!AG43+[1]Capital!AG47</f>
        <v>35850.251131999998</v>
      </c>
      <c r="AI172" s="5">
        <f>[1]Capital!AH43+[1]Capital!AH47</f>
        <v>36587.346884999999</v>
      </c>
      <c r="AJ172" s="5">
        <f>[1]Capital!AI43+[1]Capital!AI47</f>
        <v>37356.280784999995</v>
      </c>
      <c r="AK172" s="5">
        <f>[1]Capital!AJ43+[1]Capital!AJ47</f>
        <v>38155.722535000001</v>
      </c>
      <c r="AL172" s="5">
        <f>[1]Capital!AK43+[1]Capital!AK47</f>
        <v>38983.744717000001</v>
      </c>
    </row>
    <row r="173" spans="1:38" x14ac:dyDescent="0.35">
      <c r="B173" t="s">
        <v>39</v>
      </c>
      <c r="C173" s="5">
        <f>[1]Capital!B45+[1]Capital!B49</f>
        <v>1941.7176373</v>
      </c>
      <c r="D173" s="5">
        <f>[1]Capital!C45+[1]Capital!C49</f>
        <v>1962.8550402000001</v>
      </c>
      <c r="E173" s="5">
        <f>[1]Capital!D45+[1]Capital!D49</f>
        <v>1983.1378379</v>
      </c>
      <c r="F173" s="5">
        <f>[1]Capital!E45+[1]Capital!E49</f>
        <v>2002.6380678</v>
      </c>
      <c r="G173" s="5">
        <f>[1]Capital!F45+[1]Capital!F49</f>
        <v>2021.8528774000001</v>
      </c>
      <c r="H173" s="5">
        <f>[1]Capital!G45+[1]Capital!G49</f>
        <v>2041.329295</v>
      </c>
      <c r="I173" s="5">
        <f>[1]Capital!H45+[1]Capital!H49</f>
        <v>2061.7596414</v>
      </c>
      <c r="J173" s="5">
        <f>[1]Capital!I45+[1]Capital!I49</f>
        <v>2083.4943079</v>
      </c>
      <c r="K173" s="5">
        <f>[1]Capital!J45+[1]Capital!J49</f>
        <v>2106.7132038999998</v>
      </c>
      <c r="L173" s="5">
        <f>[1]Capital!K45+[1]Capital!K49</f>
        <v>2131.5209002000001</v>
      </c>
      <c r="M173" s="5">
        <f>[1]Capital!L45+[1]Capital!L49</f>
        <v>2157.9489801</v>
      </c>
      <c r="N173" s="5">
        <f>[1]Capital!M45+[1]Capital!M49</f>
        <v>2185.5116597000001</v>
      </c>
      <c r="O173" s="5">
        <f>[1]Capital!N45+[1]Capital!N49</f>
        <v>2213.7974466999999</v>
      </c>
      <c r="P173" s="5">
        <f>[1]Capital!O45+[1]Capital!O49</f>
        <v>2242.5134736</v>
      </c>
      <c r="Q173" s="5">
        <f>[1]Capital!P45+[1]Capital!P49</f>
        <v>2271.4616424000001</v>
      </c>
      <c r="R173" s="5">
        <f>[1]Capital!Q45+[1]Capital!Q49</f>
        <v>2300.5214163999999</v>
      </c>
      <c r="S173" s="5">
        <f>[1]Capital!R45+[1]Capital!R49</f>
        <v>2329.6828340000002</v>
      </c>
      <c r="T173" s="5">
        <f>[1]Capital!S45+[1]Capital!S49</f>
        <v>2359.0969743000001</v>
      </c>
      <c r="U173" s="5">
        <f>[1]Capital!T45+[1]Capital!T49</f>
        <v>2388.9848956999999</v>
      </c>
      <c r="V173" s="5">
        <f>[1]Capital!U45+[1]Capital!U49</f>
        <v>2419.5854902999999</v>
      </c>
      <c r="W173" s="5">
        <f>[1]Capital!V45+[1]Capital!V49</f>
        <v>2451.129426</v>
      </c>
      <c r="X173" s="5">
        <f>[1]Capital!W45+[1]Capital!W49</f>
        <v>2483.8549794999999</v>
      </c>
      <c r="Y173" s="5">
        <f>[1]Capital!X45+[1]Capital!X49</f>
        <v>2518.0103598000001</v>
      </c>
      <c r="Z173" s="5">
        <f>[1]Capital!Y45+[1]Capital!Y49</f>
        <v>2553.8530287000003</v>
      </c>
      <c r="AA173" s="5">
        <f>[1]Capital!Z45+[1]Capital!Z49</f>
        <v>2591.6433471</v>
      </c>
      <c r="AB173" s="5">
        <f>[1]Capital!AA45+[1]Capital!AA49</f>
        <v>2631.6187484000002</v>
      </c>
      <c r="AC173" s="5">
        <f>[1]Capital!AB45+[1]Capital!AB49</f>
        <v>2673.4079262000005</v>
      </c>
      <c r="AD173" s="5">
        <f>[1]Capital!AC45+[1]Capital!AC49</f>
        <v>2716.7486148000003</v>
      </c>
      <c r="AE173" s="5">
        <f>[1]Capital!AD45+[1]Capital!AD49</f>
        <v>2761.6052056999997</v>
      </c>
      <c r="AF173" s="5">
        <f>[1]Capital!AE45+[1]Capital!AE49</f>
        <v>2808.0536923</v>
      </c>
      <c r="AG173" s="5">
        <f>[1]Capital!AF45+[1]Capital!AF49</f>
        <v>2856.1814829</v>
      </c>
      <c r="AH173" s="5">
        <f>[1]Capital!AG45+[1]Capital!AG49</f>
        <v>2906.0431534999998</v>
      </c>
      <c r="AI173" s="5">
        <f>[1]Capital!AH45+[1]Capital!AH49</f>
        <v>2957.6493556999999</v>
      </c>
      <c r="AJ173" s="5">
        <f>[1]Capital!AI45+[1]Capital!AI49</f>
        <v>3010.9658718000001</v>
      </c>
      <c r="AK173" s="5">
        <f>[1]Capital!AJ45+[1]Capital!AJ49</f>
        <v>3065.9151167</v>
      </c>
      <c r="AL173" s="5">
        <f>[1]Capital!AK45+[1]Capital!AK49</f>
        <v>3122.3778664000001</v>
      </c>
    </row>
    <row r="174" spans="1:38" x14ac:dyDescent="0.35">
      <c r="B174" t="s">
        <v>36</v>
      </c>
      <c r="C174" s="5">
        <f>[1]Capital!B51+[1]Capital!B53+[1]Capital!B55+[1]Capital!B57+[1]Capital!B59+[1]Capital!B61+[1]Capital!B63+[1]Capital!B65+[1]Capital!B67</f>
        <v>40303.212424309997</v>
      </c>
      <c r="D174" s="5">
        <f>[1]Capital!C51+[1]Capital!C53+[1]Capital!C55+[1]Capital!C57+[1]Capital!C59+[1]Capital!C61+[1]Capital!C63+[1]Capital!C65+[1]Capital!C67</f>
        <v>40782.625509370002</v>
      </c>
      <c r="E174" s="5">
        <f>[1]Capital!D51+[1]Capital!D53+[1]Capital!D55+[1]Capital!D57+[1]Capital!D59+[1]Capital!D61+[1]Capital!D63+[1]Capital!D65+[1]Capital!D67</f>
        <v>41280.204887240005</v>
      </c>
      <c r="F174" s="5">
        <f>[1]Capital!E51+[1]Capital!E53+[1]Capital!E55+[1]Capital!E57+[1]Capital!E59+[1]Capital!E61+[1]Capital!E63+[1]Capital!E65+[1]Capital!E67</f>
        <v>41799.173327819997</v>
      </c>
      <c r="G174" s="5">
        <f>[1]Capital!F51+[1]Capital!F53+[1]Capital!F55+[1]Capital!F57+[1]Capital!F59+[1]Capital!F61+[1]Capital!F63+[1]Capital!F65+[1]Capital!F67</f>
        <v>42336.810603639999</v>
      </c>
      <c r="H174" s="5">
        <f>[1]Capital!G51+[1]Capital!G53+[1]Capital!G55+[1]Capital!G57+[1]Capital!G59+[1]Capital!G61+[1]Capital!G63+[1]Capital!G65+[1]Capital!G67</f>
        <v>42892.343380239996</v>
      </c>
      <c r="I174" s="5">
        <f>[1]Capital!H51+[1]Capital!H53+[1]Capital!H55+[1]Capital!H57+[1]Capital!H59+[1]Capital!H61+[1]Capital!H63+[1]Capital!H65+[1]Capital!H67</f>
        <v>43541.832018519999</v>
      </c>
      <c r="J174" s="5">
        <f>[1]Capital!I51+[1]Capital!I53+[1]Capital!I55+[1]Capital!I57+[1]Capital!I59+[1]Capital!I61+[1]Capital!I63+[1]Capital!I65+[1]Capital!I67</f>
        <v>44336.65684756</v>
      </c>
      <c r="K174" s="5">
        <f>[1]Capital!J51+[1]Capital!J53+[1]Capital!J55+[1]Capital!J57+[1]Capital!J59+[1]Capital!J61+[1]Capital!J63+[1]Capital!J65+[1]Capital!J67</f>
        <v>45310.280739580005</v>
      </c>
      <c r="L174" s="5">
        <f>[1]Capital!K51+[1]Capital!K53+[1]Capital!K55+[1]Capital!K57+[1]Capital!K59+[1]Capital!K61+[1]Capital!K63+[1]Capital!K65+[1]Capital!K67</f>
        <v>46489.041581060002</v>
      </c>
      <c r="M174" s="5">
        <f>[1]Capital!L51+[1]Capital!L53+[1]Capital!L55+[1]Capital!L57+[1]Capital!L59+[1]Capital!L61+[1]Capital!L63+[1]Capital!L65+[1]Capital!L67</f>
        <v>47897.046467760003</v>
      </c>
      <c r="N174" s="5">
        <f>[1]Capital!M51+[1]Capital!M53+[1]Capital!M55+[1]Capital!M57+[1]Capital!M59+[1]Capital!M61+[1]Capital!M63+[1]Capital!M65+[1]Capital!M67</f>
        <v>49505.884378229995</v>
      </c>
      <c r="O174" s="5">
        <f>[1]Capital!N51+[1]Capital!N53+[1]Capital!N55+[1]Capital!N57+[1]Capital!N59+[1]Capital!N61+[1]Capital!N63+[1]Capital!N65+[1]Capital!N67</f>
        <v>51291.532043599997</v>
      </c>
      <c r="P174" s="5">
        <f>[1]Capital!O51+[1]Capital!O53+[1]Capital!O55+[1]Capital!O57+[1]Capital!O59+[1]Capital!O61+[1]Capital!O63+[1]Capital!O65+[1]Capital!O67</f>
        <v>53247.398824390002</v>
      </c>
      <c r="Q174" s="5">
        <f>[1]Capital!P51+[1]Capital!P53+[1]Capital!P55+[1]Capital!P57+[1]Capital!P59+[1]Capital!P61+[1]Capital!P63+[1]Capital!P65+[1]Capital!P67</f>
        <v>55377.536125760002</v>
      </c>
      <c r="R174" s="5">
        <f>[1]Capital!Q51+[1]Capital!Q53+[1]Capital!Q55+[1]Capital!Q57+[1]Capital!Q59+[1]Capital!Q61+[1]Capital!Q63+[1]Capital!Q65+[1]Capital!Q67</f>
        <v>57692.649569690009</v>
      </c>
      <c r="S174" s="5">
        <f>[1]Capital!R51+[1]Capital!R53+[1]Capital!R55+[1]Capital!R57+[1]Capital!R59+[1]Capital!R61+[1]Capital!R63+[1]Capital!R65+[1]Capital!R67</f>
        <v>60218.740018849996</v>
      </c>
      <c r="T174" s="5">
        <f>[1]Capital!S51+[1]Capital!S53+[1]Capital!S55+[1]Capital!S57+[1]Capital!S59+[1]Capital!S61+[1]Capital!S63+[1]Capital!S65+[1]Capital!S67</f>
        <v>62983.165853019993</v>
      </c>
      <c r="U174" s="5">
        <f>[1]Capital!T51+[1]Capital!T53+[1]Capital!T55+[1]Capital!T57+[1]Capital!T59+[1]Capital!T61+[1]Capital!T63+[1]Capital!T65+[1]Capital!T67</f>
        <v>66016.993833569999</v>
      </c>
      <c r="V174" s="5">
        <f>[1]Capital!U51+[1]Capital!U53+[1]Capital!U55+[1]Capital!U57+[1]Capital!U59+[1]Capital!U61+[1]Capital!U63+[1]Capital!U65+[1]Capital!U67</f>
        <v>69357.163871739991</v>
      </c>
      <c r="W174" s="5">
        <f>[1]Capital!V51+[1]Capital!V53+[1]Capital!V55+[1]Capital!V57+[1]Capital!V59+[1]Capital!V61+[1]Capital!V63+[1]Capital!V65+[1]Capital!V67</f>
        <v>73047.133645120004</v>
      </c>
      <c r="X174" s="5">
        <f>[1]Capital!W51+[1]Capital!W53+[1]Capital!W55+[1]Capital!W57+[1]Capital!W59+[1]Capital!W61+[1]Capital!W63+[1]Capital!W65+[1]Capital!W67</f>
        <v>77139.817807400002</v>
      </c>
      <c r="Y174" s="5">
        <f>[1]Capital!X51+[1]Capital!X53+[1]Capital!X55+[1]Capital!X57+[1]Capital!X59+[1]Capital!X61+[1]Capital!X63+[1]Capital!X65+[1]Capital!X67</f>
        <v>81698.560388000013</v>
      </c>
      <c r="Z174" s="5">
        <f>[1]Capital!Y51+[1]Capital!Y53+[1]Capital!Y55+[1]Capital!Y57+[1]Capital!Y59+[1]Capital!Y61+[1]Capital!Y63+[1]Capital!Y65+[1]Capital!Y67</f>
        <v>86798.415491399996</v>
      </c>
      <c r="AA174" s="5">
        <f>[1]Capital!Z51+[1]Capital!Z53+[1]Capital!Z55+[1]Capital!Z57+[1]Capital!Z59+[1]Capital!Z61+[1]Capital!Z63+[1]Capital!Z65+[1]Capital!Z67</f>
        <v>92527.457072299992</v>
      </c>
      <c r="AB174" s="5">
        <f>[1]Capital!AA51+[1]Capital!AA53+[1]Capital!AA55+[1]Capital!AA57+[1]Capital!AA59+[1]Capital!AA61+[1]Capital!AA63+[1]Capital!AA65+[1]Capital!AA67</f>
        <v>98985.891348500008</v>
      </c>
      <c r="AC174" s="5">
        <f>[1]Capital!AB51+[1]Capital!AB53+[1]Capital!AB55+[1]Capital!AB57+[1]Capital!AB59+[1]Capital!AB61+[1]Capital!AB63+[1]Capital!AB65+[1]Capital!AB67</f>
        <v>105710.95328840002</v>
      </c>
      <c r="AD174" s="5">
        <f>[1]Capital!AC51+[1]Capital!AC53+[1]Capital!AC55+[1]Capital!AC57+[1]Capital!AC59+[1]Capital!AC61+[1]Capital!AC63+[1]Capital!AC65+[1]Capital!AC67</f>
        <v>112415.79281509999</v>
      </c>
      <c r="AE174" s="5">
        <f>[1]Capital!AD51+[1]Capital!AD53+[1]Capital!AD55+[1]Capital!AD57+[1]Capital!AD59+[1]Capital!AD61+[1]Capital!AD63+[1]Capital!AD65+[1]Capital!AD67</f>
        <v>118986.77517600001</v>
      </c>
      <c r="AF174" s="5">
        <f>[1]Capital!AE51+[1]Capital!AE53+[1]Capital!AE55+[1]Capital!AE57+[1]Capital!AE59+[1]Capital!AE61+[1]Capital!AE63+[1]Capital!AE65+[1]Capital!AE67</f>
        <v>125393.3276659</v>
      </c>
      <c r="AG174" s="5">
        <f>[1]Capital!AF51+[1]Capital!AF53+[1]Capital!AF55+[1]Capital!AF57+[1]Capital!AF59+[1]Capital!AF61+[1]Capital!AF63+[1]Capital!AF65+[1]Capital!AF67</f>
        <v>131633.3337816</v>
      </c>
      <c r="AH174" s="5">
        <f>[1]Capital!AG51+[1]Capital!AG53+[1]Capital!AG55+[1]Capital!AG57+[1]Capital!AG59+[1]Capital!AG61+[1]Capital!AG63+[1]Capital!AG65+[1]Capital!AG67</f>
        <v>137710.1494776</v>
      </c>
      <c r="AI174" s="5">
        <f>[1]Capital!AH51+[1]Capital!AH53+[1]Capital!AH55+[1]Capital!AH57+[1]Capital!AH59+[1]Capital!AH61+[1]Capital!AH63+[1]Capital!AH65+[1]Capital!AH67</f>
        <v>143625.36208574998</v>
      </c>
      <c r="AJ174" s="5">
        <f>[1]Capital!AI51+[1]Capital!AI53+[1]Capital!AI55+[1]Capital!AI57+[1]Capital!AI59+[1]Capital!AI61+[1]Capital!AI63+[1]Capital!AI65+[1]Capital!AI67</f>
        <v>149377.44631558002</v>
      </c>
      <c r="AK174" s="5">
        <f>[1]Capital!AJ51+[1]Capital!AJ53+[1]Capital!AJ55+[1]Capital!AJ57+[1]Capital!AJ59+[1]Capital!AJ61+[1]Capital!AJ63+[1]Capital!AJ65+[1]Capital!AJ67</f>
        <v>154962.3188568</v>
      </c>
      <c r="AL174" s="5">
        <f>[1]Capital!AK51+[1]Capital!AK53+[1]Capital!AK55+[1]Capital!AK57+[1]Capital!AK59+[1]Capital!AK61+[1]Capital!AK63+[1]Capital!AK65+[1]Capital!AK67</f>
        <v>160374.22847839</v>
      </c>
    </row>
    <row r="175" spans="1:38" x14ac:dyDescent="0.35"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</row>
    <row r="176" spans="1:38" x14ac:dyDescent="0.35">
      <c r="A176" t="s">
        <v>43</v>
      </c>
      <c r="B176" t="s">
        <v>45</v>
      </c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</row>
    <row r="177" spans="1:38" x14ac:dyDescent="0.35">
      <c r="B177" t="s">
        <v>44</v>
      </c>
      <c r="C177" s="5">
        <f>[1]Capital!B2</f>
        <v>5223771.5789999999</v>
      </c>
      <c r="D177" s="5">
        <f>[1]Capital!C2</f>
        <v>5286303.6339999996</v>
      </c>
      <c r="E177" s="5">
        <f>[1]Capital!D2</f>
        <v>5353313.9970000004</v>
      </c>
      <c r="F177" s="5">
        <f>[1]Capital!E2</f>
        <v>5425722.7390000001</v>
      </c>
      <c r="G177" s="5">
        <f>[1]Capital!F2</f>
        <v>5504253.0010000002</v>
      </c>
      <c r="H177" s="5">
        <f>[1]Capital!G2</f>
        <v>5589449.6519999998</v>
      </c>
      <c r="I177" s="5">
        <f>[1]Capital!H2</f>
        <v>5681833.523</v>
      </c>
      <c r="J177" s="5">
        <f>[1]Capital!I2</f>
        <v>5780593.4560000002</v>
      </c>
      <c r="K177" s="5">
        <f>[1]Capital!J2</f>
        <v>5885537.591</v>
      </c>
      <c r="L177" s="5">
        <f>[1]Capital!K2</f>
        <v>5998278.5149999997</v>
      </c>
      <c r="M177" s="5">
        <f>[1]Capital!L2</f>
        <v>6119471.8959999997</v>
      </c>
      <c r="N177" s="5">
        <f>[1]Capital!M2</f>
        <v>6248367.5779999997</v>
      </c>
      <c r="O177" s="5">
        <f>[1]Capital!N2</f>
        <v>6383756.6310000001</v>
      </c>
      <c r="P177" s="5">
        <f>[1]Capital!O2</f>
        <v>6524552.557</v>
      </c>
      <c r="Q177" s="5">
        <f>[1]Capital!P2</f>
        <v>6670073.8430000003</v>
      </c>
      <c r="R177" s="5">
        <f>[1]Capital!Q2</f>
        <v>6820016.3150000004</v>
      </c>
      <c r="S177" s="5">
        <f>[1]Capital!R2</f>
        <v>6974247.6200000001</v>
      </c>
      <c r="T177" s="5">
        <f>[1]Capital!S2</f>
        <v>7132961.3899999997</v>
      </c>
      <c r="U177" s="5">
        <f>[1]Capital!T2</f>
        <v>7296622.9539999999</v>
      </c>
      <c r="V177" s="5">
        <f>[1]Capital!U2</f>
        <v>7465901.2999999998</v>
      </c>
      <c r="W177" s="5">
        <f>[1]Capital!V2</f>
        <v>7641527.6780000003</v>
      </c>
      <c r="X177" s="5">
        <f>[1]Capital!W2</f>
        <v>7824412.4450000003</v>
      </c>
      <c r="Y177" s="5">
        <f>[1]Capital!X2</f>
        <v>8015569.9649999999</v>
      </c>
      <c r="Z177" s="5">
        <f>[1]Capital!Y2</f>
        <v>8216098.3229999999</v>
      </c>
      <c r="AA177" s="5">
        <f>[1]Capital!Z2</f>
        <v>8427135.8939999994</v>
      </c>
      <c r="AB177" s="5">
        <f>[1]Capital!AA2</f>
        <v>8649690.8849999998</v>
      </c>
      <c r="AC177" s="5">
        <f>[1]Capital!AB2</f>
        <v>8883778.2750000004</v>
      </c>
      <c r="AD177" s="5">
        <f>[1]Capital!AC2</f>
        <v>9129486.7850000001</v>
      </c>
      <c r="AE177" s="5">
        <f>[1]Capital!AD2</f>
        <v>9387173.6840000004</v>
      </c>
      <c r="AF177" s="5">
        <f>[1]Capital!AE2</f>
        <v>9657296.2760000005</v>
      </c>
      <c r="AG177" s="5">
        <f>[1]Capital!AF2</f>
        <v>9940235.4069999997</v>
      </c>
      <c r="AH177" s="5">
        <f>[1]Capital!AG2</f>
        <v>10236228.35</v>
      </c>
      <c r="AI177" s="5">
        <f>[1]Capital!AH2</f>
        <v>10545346.75</v>
      </c>
      <c r="AJ177" s="5">
        <f>[1]Capital!AI2</f>
        <v>10867501.48</v>
      </c>
      <c r="AK177" s="5">
        <f>[1]Capital!AJ2</f>
        <v>11202443.42</v>
      </c>
      <c r="AL177" s="5">
        <f>[1]Capital!AK2</f>
        <v>11549760.26</v>
      </c>
    </row>
    <row r="178" spans="1:38" x14ac:dyDescent="0.35">
      <c r="B178" t="s">
        <v>7</v>
      </c>
      <c r="C178" s="5">
        <f>[1]Capital!B4+[1]Capital!B6</f>
        <v>49061.966597999999</v>
      </c>
      <c r="D178" s="5">
        <f>[1]Capital!C4+[1]Capital!C6</f>
        <v>49652.382835000004</v>
      </c>
      <c r="E178" s="5">
        <f>[1]Capital!D4+[1]Capital!D6</f>
        <v>50282.76988</v>
      </c>
      <c r="F178" s="5">
        <f>[1]Capital!E4+[1]Capital!E6</f>
        <v>50966.994136999994</v>
      </c>
      <c r="G178" s="5">
        <f>[1]Capital!F4+[1]Capital!F6</f>
        <v>51712.660219999998</v>
      </c>
      <c r="H178" s="5">
        <f>[1]Capital!G4+[1]Capital!G6</f>
        <v>52525.927909999999</v>
      </c>
      <c r="I178" s="5">
        <f>[1]Capital!H4+[1]Capital!H6</f>
        <v>53411.656023999996</v>
      </c>
      <c r="J178" s="5">
        <f>[1]Capital!I4+[1]Capital!I6</f>
        <v>54365.410607999998</v>
      </c>
      <c r="K178" s="5">
        <f>[1]Capital!J4+[1]Capital!J6</f>
        <v>55392.732957</v>
      </c>
      <c r="L178" s="5">
        <f>[1]Capital!K4+[1]Capital!K6</f>
        <v>56522.427319000002</v>
      </c>
      <c r="M178" s="5">
        <f>[1]Capital!L4+[1]Capital!L6</f>
        <v>57776.682019</v>
      </c>
      <c r="N178" s="5">
        <f>[1]Capital!M4+[1]Capital!M6</f>
        <v>59137.007102000003</v>
      </c>
      <c r="O178" s="5">
        <f>[1]Capital!N4+[1]Capital!N6</f>
        <v>60581.357345000004</v>
      </c>
      <c r="P178" s="5">
        <f>[1]Capital!O4+[1]Capital!O6</f>
        <v>62091.496076999996</v>
      </c>
      <c r="Q178" s="5">
        <f>[1]Capital!P4+[1]Capital!P6</f>
        <v>63655.607990000004</v>
      </c>
      <c r="R178" s="5">
        <f>[1]Capital!Q4+[1]Capital!Q6</f>
        <v>65267.447330000003</v>
      </c>
      <c r="S178" s="5">
        <f>[1]Capital!R4+[1]Capital!R6</f>
        <v>66927.300896000001</v>
      </c>
      <c r="T178" s="5">
        <f>[1]Capital!S4+[1]Capital!S6</f>
        <v>68638.761493999991</v>
      </c>
      <c r="U178" s="5">
        <f>[1]Capital!T4+[1]Capital!T6</f>
        <v>70407.964897999991</v>
      </c>
      <c r="V178" s="5">
        <f>[1]Capital!U4+[1]Capital!U6</f>
        <v>72241.188443999999</v>
      </c>
      <c r="W178" s="5">
        <f>[1]Capital!V4+[1]Capital!V6</f>
        <v>74145.159004999994</v>
      </c>
      <c r="X178" s="5">
        <f>[1]Capital!W4+[1]Capital!W6</f>
        <v>76124.848719999995</v>
      </c>
      <c r="Y178" s="5">
        <f>[1]Capital!X4+[1]Capital!X6</f>
        <v>78186.449653000003</v>
      </c>
      <c r="Z178" s="5">
        <f>[1]Capital!Y4+[1]Capital!Y6</f>
        <v>80336.909042999992</v>
      </c>
      <c r="AA178" s="5">
        <f>[1]Capital!Z4+[1]Capital!Z6</f>
        <v>82583.016388999997</v>
      </c>
      <c r="AB178" s="5">
        <f>[1]Capital!AA4+[1]Capital!AA6</f>
        <v>84928.239340999993</v>
      </c>
      <c r="AC178" s="5">
        <f>[1]Capital!AB4+[1]Capital!AB6</f>
        <v>87368.062044000006</v>
      </c>
      <c r="AD178" s="5">
        <f>[1]Capital!AC4+[1]Capital!AC6</f>
        <v>89900.330263999989</v>
      </c>
      <c r="AE178" s="5">
        <f>[1]Capital!AD4+[1]Capital!AD6</f>
        <v>92525.393377</v>
      </c>
      <c r="AF178" s="5">
        <f>[1]Capital!AE4+[1]Capital!AE6</f>
        <v>95243.885628000004</v>
      </c>
      <c r="AG178" s="5">
        <f>[1]Capital!AF4+[1]Capital!AF6</f>
        <v>98054.981679000004</v>
      </c>
      <c r="AH178" s="5">
        <f>[1]Capital!AG4+[1]Capital!AG6</f>
        <v>100954.32196799999</v>
      </c>
      <c r="AI178" s="5">
        <f>[1]Capital!AH4+[1]Capital!AH6</f>
        <v>103936.12398400001</v>
      </c>
      <c r="AJ178" s="5">
        <f>[1]Capital!AI4+[1]Capital!AI6</f>
        <v>106993.52308499999</v>
      </c>
      <c r="AK178" s="5">
        <f>[1]Capital!AJ4+[1]Capital!AJ6</f>
        <v>110118.69201</v>
      </c>
      <c r="AL178" s="5">
        <f>[1]Capital!AK4+[1]Capital!AK6</f>
        <v>113302.91271400001</v>
      </c>
    </row>
    <row r="179" spans="1:38" x14ac:dyDescent="0.35">
      <c r="B179" t="s">
        <v>33</v>
      </c>
      <c r="C179" s="5">
        <f>[1]Capital!B8+[1]Capital!B10+[1]Capital!B13+[1]Capital!B14+[1]Capital!B16+[1]Capital!B18+[1]Capital!B20+[1]Capital!B22+[1]Capital!B24+[1]Capital!B26+[1]Capital!B40</f>
        <v>2595483.7306829998</v>
      </c>
      <c r="D179" s="5">
        <f>[1]Capital!C8+[1]Capital!C10+[1]Capital!C13+[1]Capital!C14+[1]Capital!C16+[1]Capital!C18+[1]Capital!C20+[1]Capital!C22+[1]Capital!C24+[1]Capital!C26+[1]Capital!C40</f>
        <v>2626816.4331709999</v>
      </c>
      <c r="E179" s="5">
        <f>[1]Capital!D8+[1]Capital!D10+[1]Capital!D13+[1]Capital!D14+[1]Capital!D16+[1]Capital!D18+[1]Capital!D20+[1]Capital!D22+[1]Capital!D24+[1]Capital!D26+[1]Capital!D40</f>
        <v>2660733.5854230002</v>
      </c>
      <c r="F179" s="5">
        <f>[1]Capital!E8+[1]Capital!E10+[1]Capital!E13+[1]Capital!E14+[1]Capital!E16+[1]Capital!E18+[1]Capital!E20+[1]Capital!E22+[1]Capital!E24+[1]Capital!E26+[1]Capital!E40</f>
        <v>2697714.6068130005</v>
      </c>
      <c r="G179" s="5">
        <f>[1]Capital!F8+[1]Capital!F10+[1]Capital!F13+[1]Capital!F14+[1]Capital!F16+[1]Capital!F18+[1]Capital!F20+[1]Capital!F22+[1]Capital!F24+[1]Capital!F26+[1]Capital!F40</f>
        <v>2738110.5604900001</v>
      </c>
      <c r="H179" s="5">
        <f>[1]Capital!G8+[1]Capital!G10+[1]Capital!G13+[1]Capital!G14+[1]Capital!G16+[1]Capital!G18+[1]Capital!G20+[1]Capital!G22+[1]Capital!G24+[1]Capital!G26+[1]Capital!G40</f>
        <v>2782188.938844</v>
      </c>
      <c r="I179" s="5">
        <f>[1]Capital!H8+[1]Capital!H10+[1]Capital!H13+[1]Capital!H14+[1]Capital!H16+[1]Capital!H18+[1]Capital!H20+[1]Capital!H22+[1]Capital!H24+[1]Capital!H26+[1]Capital!H40</f>
        <v>2830199.5850809999</v>
      </c>
      <c r="J179" s="5">
        <f>[1]Capital!I8+[1]Capital!I10+[1]Capital!I13+[1]Capital!I14+[1]Capital!I16+[1]Capital!I18+[1]Capital!I20+[1]Capital!I22+[1]Capital!I24+[1]Capital!I26+[1]Capital!I40</f>
        <v>2881701.0151950005</v>
      </c>
      <c r="K179" s="5">
        <f>[1]Capital!J8+[1]Capital!J10+[1]Capital!J13+[1]Capital!J14+[1]Capital!J16+[1]Capital!J18+[1]Capital!J20+[1]Capital!J22+[1]Capital!J24+[1]Capital!J26+[1]Capital!J40</f>
        <v>2936608.9705379996</v>
      </c>
      <c r="L179" s="5">
        <f>[1]Capital!K8+[1]Capital!K10+[1]Capital!K13+[1]Capital!K14+[1]Capital!K16+[1]Capital!K18+[1]Capital!K20+[1]Capital!K22+[1]Capital!K24+[1]Capital!K26+[1]Capital!K40</f>
        <v>2995840.056878</v>
      </c>
      <c r="M179" s="5">
        <f>[1]Capital!L8+[1]Capital!L10+[1]Capital!L13+[1]Capital!L14+[1]Capital!L16+[1]Capital!L18+[1]Capital!L20+[1]Capital!L22+[1]Capital!L24+[1]Capital!L26+[1]Capital!L40</f>
        <v>3059745.9673629999</v>
      </c>
      <c r="N179" s="5">
        <f>[1]Capital!M8+[1]Capital!M10+[1]Capital!M13+[1]Capital!M14+[1]Capital!M16+[1]Capital!M18+[1]Capital!M20+[1]Capital!M22+[1]Capital!M24+[1]Capital!M26+[1]Capital!M40</f>
        <v>3127997.1678530001</v>
      </c>
      <c r="O179" s="5">
        <f>[1]Capital!N8+[1]Capital!N10+[1]Capital!N13+[1]Capital!N14+[1]Capital!N16+[1]Capital!N18+[1]Capital!N20+[1]Capital!N22+[1]Capital!N24+[1]Capital!N26+[1]Capital!N40</f>
        <v>3200052.480151</v>
      </c>
      <c r="P179" s="5">
        <f>[1]Capital!O8+[1]Capital!O10+[1]Capital!O13+[1]Capital!O14+[1]Capital!O16+[1]Capital!O18+[1]Capital!O20+[1]Capital!O22+[1]Capital!O24+[1]Capital!O26+[1]Capital!O40</f>
        <v>3275433.3318579998</v>
      </c>
      <c r="Q179" s="5">
        <f>[1]Capital!P8+[1]Capital!P10+[1]Capital!P13+[1]Capital!P14+[1]Capital!P16+[1]Capital!P18+[1]Capital!P20+[1]Capital!P22+[1]Capital!P24+[1]Capital!P26+[1]Capital!P40</f>
        <v>3353877.9738870002</v>
      </c>
      <c r="R179" s="5">
        <f>[1]Capital!Q8+[1]Capital!Q10+[1]Capital!Q13+[1]Capital!Q14+[1]Capital!Q16+[1]Capital!Q18+[1]Capital!Q20+[1]Capital!Q22+[1]Capital!Q24+[1]Capital!Q26+[1]Capital!Q40</f>
        <v>3435321.8883060003</v>
      </c>
      <c r="S179" s="5">
        <f>[1]Capital!R8+[1]Capital!R10+[1]Capital!R13+[1]Capital!R14+[1]Capital!R16+[1]Capital!R18+[1]Capital!R20+[1]Capital!R22+[1]Capital!R24+[1]Capital!R26+[1]Capital!R40</f>
        <v>3519759.9932559999</v>
      </c>
      <c r="T179" s="5">
        <f>[1]Capital!S8+[1]Capital!S10+[1]Capital!S13+[1]Capital!S14+[1]Capital!S16+[1]Capital!S18+[1]Capital!S20+[1]Capital!S22+[1]Capital!S24+[1]Capital!S26+[1]Capital!S40</f>
        <v>3607357.0945870006</v>
      </c>
      <c r="U179" s="5">
        <f>[1]Capital!T8+[1]Capital!T10+[1]Capital!T13+[1]Capital!T14+[1]Capital!T16+[1]Capital!T18+[1]Capital!T20+[1]Capital!T22+[1]Capital!T24+[1]Capital!T26+[1]Capital!T40</f>
        <v>3698418.3505199994</v>
      </c>
      <c r="V179" s="5">
        <f>[1]Capital!U8+[1]Capital!U10+[1]Capital!U13+[1]Capital!U14+[1]Capital!U16+[1]Capital!U18+[1]Capital!U20+[1]Capital!U22+[1]Capital!U24+[1]Capital!U26+[1]Capital!U40</f>
        <v>3793354.0733380001</v>
      </c>
      <c r="W179" s="5">
        <f>[1]Capital!V8+[1]Capital!V10+[1]Capital!V13+[1]Capital!V14+[1]Capital!V16+[1]Capital!V18+[1]Capital!V20+[1]Capital!V22+[1]Capital!V24+[1]Capital!V26+[1]Capital!V40</f>
        <v>3892612.74547</v>
      </c>
      <c r="X179" s="5">
        <f>[1]Capital!W8+[1]Capital!W10+[1]Capital!W13+[1]Capital!W14+[1]Capital!W16+[1]Capital!W18+[1]Capital!W20+[1]Capital!W22+[1]Capital!W24+[1]Capital!W26+[1]Capital!W40</f>
        <v>3996743.3033939996</v>
      </c>
      <c r="Y179" s="5">
        <f>[1]Capital!X8+[1]Capital!X10+[1]Capital!X13+[1]Capital!X14+[1]Capital!X16+[1]Capital!X18+[1]Capital!X20+[1]Capital!X22+[1]Capital!X24+[1]Capital!X26+[1]Capital!X40</f>
        <v>4106353.5489769997</v>
      </c>
      <c r="Z179" s="5">
        <f>[1]Capital!Y8+[1]Capital!Y10+[1]Capital!Y13+[1]Capital!Y14+[1]Capital!Y16+[1]Capital!Y18+[1]Capital!Y20+[1]Capital!Y22+[1]Capital!Y24+[1]Capital!Y26+[1]Capital!Y40</f>
        <v>4222097.0085549997</v>
      </c>
      <c r="AA179" s="5">
        <f>[1]Capital!Z8+[1]Capital!Z10+[1]Capital!Z13+[1]Capital!Z14+[1]Capital!Z16+[1]Capital!Z18+[1]Capital!Z20+[1]Capital!Z22+[1]Capital!Z24+[1]Capital!Z26+[1]Capital!Z40</f>
        <v>4344651.1962179998</v>
      </c>
      <c r="AB179" s="5">
        <f>[1]Capital!AA8+[1]Capital!AA10+[1]Capital!AA13+[1]Capital!AA14+[1]Capital!AA16+[1]Capital!AA18+[1]Capital!AA20+[1]Capital!AA22+[1]Capital!AA24+[1]Capital!AA26+[1]Capital!AA40</f>
        <v>4474651.8157760007</v>
      </c>
      <c r="AC179" s="5">
        <f>[1]Capital!AB8+[1]Capital!AB10+[1]Capital!AB13+[1]Capital!AB14+[1]Capital!AB16+[1]Capital!AB18+[1]Capital!AB20+[1]Capital!AB22+[1]Capital!AB24+[1]Capital!AB26+[1]Capital!AB40</f>
        <v>4612401.0054179998</v>
      </c>
      <c r="AD179" s="5">
        <f>[1]Capital!AC8+[1]Capital!AC10+[1]Capital!AC13+[1]Capital!AC14+[1]Capital!AC16+[1]Capital!AC18+[1]Capital!AC20+[1]Capital!AC22+[1]Capital!AC24+[1]Capital!AC26+[1]Capital!AC40</f>
        <v>4758080.7979049999</v>
      </c>
      <c r="AE179" s="5">
        <f>[1]Capital!AD8+[1]Capital!AD10+[1]Capital!AD13+[1]Capital!AD14+[1]Capital!AD16+[1]Capital!AD18+[1]Capital!AD20+[1]Capital!AD22+[1]Capital!AD24+[1]Capital!AD26+[1]Capital!AD40</f>
        <v>4911915.9580229996</v>
      </c>
      <c r="AF179" s="5">
        <f>[1]Capital!AE8+[1]Capital!AE10+[1]Capital!AE13+[1]Capital!AE14+[1]Capital!AE16+[1]Capital!AE18+[1]Capital!AE20+[1]Capital!AE22+[1]Capital!AE24+[1]Capital!AE26+[1]Capital!AE40</f>
        <v>5074149.5148929991</v>
      </c>
      <c r="AG179" s="5">
        <f>[1]Capital!AF8+[1]Capital!AF10+[1]Capital!AF13+[1]Capital!AF14+[1]Capital!AF16+[1]Capital!AF18+[1]Capital!AF20+[1]Capital!AF22+[1]Capital!AF24+[1]Capital!AF26+[1]Capital!AF40</f>
        <v>5244975.526331</v>
      </c>
      <c r="AH179" s="5">
        <f>[1]Capital!AG8+[1]Capital!AG10+[1]Capital!AG13+[1]Capital!AG14+[1]Capital!AG16+[1]Capital!AG18+[1]Capital!AG20+[1]Capital!AG22+[1]Capital!AG24+[1]Capital!AG26+[1]Capital!AG40</f>
        <v>5424518.3662640005</v>
      </c>
      <c r="AI179" s="5">
        <f>[1]Capital!AH8+[1]Capital!AH10+[1]Capital!AH13+[1]Capital!AH14+[1]Capital!AH16+[1]Capital!AH18+[1]Capital!AH20+[1]Capital!AH22+[1]Capital!AH24+[1]Capital!AH26+[1]Capital!AH40</f>
        <v>5612812.1743919998</v>
      </c>
      <c r="AJ179" s="5">
        <f>[1]Capital!AI8+[1]Capital!AI10+[1]Capital!AI13+[1]Capital!AI14+[1]Capital!AI16+[1]Capital!AI18+[1]Capital!AI20+[1]Capital!AI22+[1]Capital!AI24+[1]Capital!AI26+[1]Capital!AI40</f>
        <v>5809797.9194920007</v>
      </c>
      <c r="AK179" s="5">
        <f>[1]Capital!AJ8+[1]Capital!AJ10+[1]Capital!AJ13+[1]Capital!AJ14+[1]Capital!AJ16+[1]Capital!AJ18+[1]Capital!AJ20+[1]Capital!AJ22+[1]Capital!AJ24+[1]Capital!AJ26+[1]Capital!AJ40</f>
        <v>6015321.0560300006</v>
      </c>
      <c r="AL179" s="5">
        <f>[1]Capital!AK8+[1]Capital!AK10+[1]Capital!AK13+[1]Capital!AK14+[1]Capital!AK16+[1]Capital!AK18+[1]Capital!AK20+[1]Capital!AK22+[1]Capital!AK24+[1]Capital!AK26+[1]Capital!AK40</f>
        <v>6229127.2652599998</v>
      </c>
    </row>
    <row r="180" spans="1:38" x14ac:dyDescent="0.35">
      <c r="B180" t="s">
        <v>9</v>
      </c>
      <c r="C180" s="5">
        <f>[1]Capital!B28+[1]Capital!B30+[1]Capital!B32+[1]Capital!B34</f>
        <v>88548.948887000006</v>
      </c>
      <c r="D180" s="5">
        <f>[1]Capital!C28+[1]Capital!C30+[1]Capital!C32+[1]Capital!C34</f>
        <v>89644.787011000008</v>
      </c>
      <c r="E180" s="5">
        <f>[1]Capital!D28+[1]Capital!D30+[1]Capital!D32+[1]Capital!D34</f>
        <v>90857.607980000001</v>
      </c>
      <c r="F180" s="5">
        <f>[1]Capital!E28+[1]Capital!E30+[1]Capital!E32+[1]Capital!E34</f>
        <v>92199.118052999984</v>
      </c>
      <c r="G180" s="5">
        <f>[1]Capital!F28+[1]Capital!F30+[1]Capital!F32+[1]Capital!F34</f>
        <v>93675.617602999992</v>
      </c>
      <c r="H180" s="5">
        <f>[1]Capital!G28+[1]Capital!G30+[1]Capital!G32+[1]Capital!G34</f>
        <v>95292.224097999991</v>
      </c>
      <c r="I180" s="5">
        <f>[1]Capital!H28+[1]Capital!H30+[1]Capital!H32+[1]Capital!H34</f>
        <v>97052.548737999998</v>
      </c>
      <c r="J180" s="5">
        <f>[1]Capital!I28+[1]Capital!I30+[1]Capital!I32+[1]Capital!I34</f>
        <v>98911.549111</v>
      </c>
      <c r="K180" s="5">
        <f>[1]Capital!J28+[1]Capital!J30+[1]Capital!J32+[1]Capital!J34</f>
        <v>100851.549014</v>
      </c>
      <c r="L180" s="5">
        <f>[1]Capital!K28+[1]Capital!K30+[1]Capital!K32+[1]Capital!K34</f>
        <v>102909.12969099999</v>
      </c>
      <c r="M180" s="5">
        <f>[1]Capital!L28+[1]Capital!L30+[1]Capital!L32+[1]Capital!L34</f>
        <v>105075.694131</v>
      </c>
      <c r="N180" s="5">
        <f>[1]Capital!M28+[1]Capital!M30+[1]Capital!M32+[1]Capital!M34</f>
        <v>107299.33716700001</v>
      </c>
      <c r="O180" s="5">
        <f>[1]Capital!N28+[1]Capital!N30+[1]Capital!N32+[1]Capital!N34</f>
        <v>109536.338101</v>
      </c>
      <c r="P180" s="5">
        <f>[1]Capital!O28+[1]Capital!O30+[1]Capital!O32+[1]Capital!O34</f>
        <v>111760.342204</v>
      </c>
      <c r="Q180" s="5">
        <f>[1]Capital!P28+[1]Capital!P30+[1]Capital!P32+[1]Capital!P34</f>
        <v>113962.99189099998</v>
      </c>
      <c r="R180" s="5">
        <f>[1]Capital!Q28+[1]Capital!Q30+[1]Capital!Q32+[1]Capital!Q34</f>
        <v>116147.195144</v>
      </c>
      <c r="S180" s="5">
        <f>[1]Capital!R28+[1]Capital!R30+[1]Capital!R32+[1]Capital!R34</f>
        <v>118322.189896</v>
      </c>
      <c r="T180" s="5">
        <f>[1]Capital!S28+[1]Capital!S30+[1]Capital!S32+[1]Capital!S34</f>
        <v>120499.69256200001</v>
      </c>
      <c r="U180" s="5">
        <f>[1]Capital!T28+[1]Capital!T30+[1]Capital!T32+[1]Capital!T34</f>
        <v>122694.69833</v>
      </c>
      <c r="V180" s="5">
        <f>[1]Capital!U28+[1]Capital!U30+[1]Capital!U32+[1]Capital!U34</f>
        <v>124924.547544</v>
      </c>
      <c r="W180" s="5">
        <f>[1]Capital!V28+[1]Capital!V30+[1]Capital!V32+[1]Capital!V34</f>
        <v>127207.893107</v>
      </c>
      <c r="X180" s="5">
        <f>[1]Capital!W28+[1]Capital!W30+[1]Capital!W32+[1]Capital!W34</f>
        <v>129565.605109</v>
      </c>
      <c r="Y180" s="5">
        <f>[1]Capital!X28+[1]Capital!X30+[1]Capital!X32+[1]Capital!X34</f>
        <v>132021.23684500001</v>
      </c>
      <c r="Z180" s="5">
        <f>[1]Capital!Y28+[1]Capital!Y30+[1]Capital!Y32+[1]Capital!Y34</f>
        <v>134598.903983</v>
      </c>
      <c r="AA180" s="5">
        <f>[1]Capital!Z28+[1]Capital!Z30+[1]Capital!Z32+[1]Capital!Z34</f>
        <v>137321.03403600003</v>
      </c>
      <c r="AB180" s="5">
        <f>[1]Capital!AA28+[1]Capital!AA30+[1]Capital!AA32+[1]Capital!AA34</f>
        <v>140205.78776899999</v>
      </c>
      <c r="AC180" s="5">
        <f>[1]Capital!AB28+[1]Capital!AB30+[1]Capital!AB32+[1]Capital!AB34</f>
        <v>143269.49025900001</v>
      </c>
      <c r="AD180" s="5">
        <f>[1]Capital!AC28+[1]Capital!AC30+[1]Capital!AC32+[1]Capital!AC34</f>
        <v>146529.860651</v>
      </c>
      <c r="AE180" s="5">
        <f>[1]Capital!AD28+[1]Capital!AD30+[1]Capital!AD32+[1]Capital!AD34</f>
        <v>150005.080212</v>
      </c>
      <c r="AF180" s="5">
        <f>[1]Capital!AE28+[1]Capital!AE30+[1]Capital!AE32+[1]Capital!AE34</f>
        <v>153709.797513</v>
      </c>
      <c r="AG180" s="5">
        <f>[1]Capital!AF28+[1]Capital!AF30+[1]Capital!AF32+[1]Capital!AF34</f>
        <v>157652.61738400001</v>
      </c>
      <c r="AH180" s="5">
        <f>[1]Capital!AG28+[1]Capital!AG30+[1]Capital!AG32+[1]Capital!AG34</f>
        <v>161836.55749400001</v>
      </c>
      <c r="AI180" s="5">
        <f>[1]Capital!AH28+[1]Capital!AH30+[1]Capital!AH32+[1]Capital!AH34</f>
        <v>166260.96961999999</v>
      </c>
      <c r="AJ180" s="5">
        <f>[1]Capital!AI28+[1]Capital!AI30+[1]Capital!AI32+[1]Capital!AI34</f>
        <v>170921.85235</v>
      </c>
      <c r="AK180" s="5">
        <f>[1]Capital!AJ28+[1]Capital!AJ30+[1]Capital!AJ32+[1]Capital!AJ34</f>
        <v>175811.90344899998</v>
      </c>
      <c r="AL180" s="5">
        <f>[1]Capital!AK28+[1]Capital!AK30+[1]Capital!AK32+[1]Capital!AK34</f>
        <v>180920.49993699999</v>
      </c>
    </row>
    <row r="181" spans="1:38" x14ac:dyDescent="0.35">
      <c r="B181" t="s">
        <v>10</v>
      </c>
      <c r="C181" s="5">
        <f>[1]Capital!B36+[1]Capital!B38</f>
        <v>2425506.8032999998</v>
      </c>
      <c r="D181" s="5">
        <f>[1]Capital!C36+[1]Capital!C38</f>
        <v>2454263.1033999999</v>
      </c>
      <c r="E181" s="5">
        <f>[1]Capital!D36+[1]Capital!D38</f>
        <v>2484740.2290000003</v>
      </c>
      <c r="F181" s="5">
        <f>[1]Capital!E36+[1]Capital!E38</f>
        <v>2517348.8097000001</v>
      </c>
      <c r="G181" s="5">
        <f>[1]Capital!F36+[1]Capital!F38</f>
        <v>2552444.1757999999</v>
      </c>
      <c r="H181" s="5">
        <f>[1]Capital!G36+[1]Capital!G38</f>
        <v>2590287.0452000001</v>
      </c>
      <c r="I181" s="5">
        <f>[1]Capital!H36+[1]Capital!H38</f>
        <v>2631057.5068000001</v>
      </c>
      <c r="J181" s="5">
        <f>[1]Capital!I36+[1]Capital!I38</f>
        <v>2674389.0636</v>
      </c>
      <c r="K181" s="5">
        <f>[1]Capital!J36+[1]Capital!J38</f>
        <v>2720152.2379999999</v>
      </c>
      <c r="L181" s="5">
        <f>[1]Capital!K36+[1]Capital!K38</f>
        <v>2768923.3529999997</v>
      </c>
      <c r="M181" s="5">
        <f>[1]Capital!L36+[1]Capital!L38</f>
        <v>2820952.3697000002</v>
      </c>
      <c r="N181" s="5">
        <f>[1]Capital!M36+[1]Capital!M38</f>
        <v>2875942.5562999998</v>
      </c>
      <c r="O181" s="5">
        <f>[1]Capital!N36+[1]Capital!N38</f>
        <v>2933338.9027</v>
      </c>
      <c r="P181" s="5">
        <f>[1]Capital!O36+[1]Capital!O38</f>
        <v>2992596.1022999999</v>
      </c>
      <c r="Q181" s="5">
        <f>[1]Capital!P36+[1]Capital!P38</f>
        <v>3053311.4569999999</v>
      </c>
      <c r="R181" s="5">
        <f>[1]Capital!Q36+[1]Capital!Q38</f>
        <v>3115233.3792999997</v>
      </c>
      <c r="S181" s="5">
        <f>[1]Capital!R36+[1]Capital!R38</f>
        <v>3178197.3888999997</v>
      </c>
      <c r="T181" s="5">
        <f>[1]Capital!S36+[1]Capital!S38</f>
        <v>3242187.4936000002</v>
      </c>
      <c r="U181" s="5">
        <f>[1]Capital!T36+[1]Capital!T38</f>
        <v>3307310.3895</v>
      </c>
      <c r="V181" s="5">
        <f>[1]Capital!U36+[1]Capital!U38</f>
        <v>3373763.4249999998</v>
      </c>
      <c r="W181" s="5">
        <f>[1]Capital!V36+[1]Capital!V38</f>
        <v>3441759.8295999998</v>
      </c>
      <c r="X181" s="5">
        <f>[1]Capital!W36+[1]Capital!W38</f>
        <v>3511585.4069999997</v>
      </c>
      <c r="Y181" s="5">
        <f>[1]Capital!X36+[1]Capital!X38</f>
        <v>3583554.1677999999</v>
      </c>
      <c r="Z181" s="5">
        <f>[1]Capital!Y36+[1]Capital!Y38</f>
        <v>3658002.1436999999</v>
      </c>
      <c r="AA181" s="5">
        <f>[1]Capital!Z36+[1]Capital!Z38</f>
        <v>3735269.2237</v>
      </c>
      <c r="AB181" s="5">
        <f>[1]Capital!AA36+[1]Capital!AA38</f>
        <v>3815603.7272999999</v>
      </c>
      <c r="AC181" s="5">
        <f>[1]Capital!AB36+[1]Capital!AB38</f>
        <v>3899171.8588999999</v>
      </c>
      <c r="AD181" s="5">
        <f>[1]Capital!AC36+[1]Capital!AC38</f>
        <v>3986144.6324</v>
      </c>
      <c r="AE181" s="5">
        <f>[1]Capital!AD36+[1]Capital!AD38</f>
        <v>4076739.2588999998</v>
      </c>
      <c r="AF181" s="5">
        <f>[1]Capital!AE36+[1]Capital!AE38</f>
        <v>4171177.2146000001</v>
      </c>
      <c r="AG181" s="5">
        <f>[1]Capital!AF36+[1]Capital!AF38</f>
        <v>4269635.9935999997</v>
      </c>
      <c r="AH181" s="5">
        <f>[1]Capital!AG36+[1]Capital!AG38</f>
        <v>4372228.9239999996</v>
      </c>
      <c r="AI181" s="5">
        <f>[1]Capital!AH36+[1]Capital!AH38</f>
        <v>4479001.7747999998</v>
      </c>
      <c r="AJ181" s="5">
        <f>[1]Capital!AI36+[1]Capital!AI38</f>
        <v>4589940.2692</v>
      </c>
      <c r="AK181" s="5">
        <f>[1]Capital!AJ36+[1]Capital!AJ38</f>
        <v>4704972.7385</v>
      </c>
      <c r="AL181" s="5">
        <f>[1]Capital!AK36+[1]Capital!AK38</f>
        <v>4823970.6210000003</v>
      </c>
    </row>
    <row r="182" spans="1:38" x14ac:dyDescent="0.35">
      <c r="B182" t="s">
        <v>32</v>
      </c>
      <c r="C182" s="5">
        <f>[1]Capital!B42+[1]Capital!B46</f>
        <v>22925.200497099999</v>
      </c>
      <c r="D182" s="5">
        <f>[1]Capital!C42+[1]Capital!C46</f>
        <v>23181.4472618</v>
      </c>
      <c r="E182" s="5">
        <f>[1]Capital!D42+[1]Capital!D46</f>
        <v>23436.461184199998</v>
      </c>
      <c r="F182" s="5">
        <f>[1]Capital!E42+[1]Capital!E46</f>
        <v>23691.399613699999</v>
      </c>
      <c r="G182" s="5">
        <f>[1]Capital!F42+[1]Capital!F46</f>
        <v>23951.324258299999</v>
      </c>
      <c r="H182" s="5">
        <f>[1]Capital!G42+[1]Capital!G46</f>
        <v>24221.842004300001</v>
      </c>
      <c r="I182" s="5">
        <f>[1]Capital!H42+[1]Capital!H46</f>
        <v>24509.502378199999</v>
      </c>
      <c r="J182" s="5">
        <f>[1]Capital!I42+[1]Capital!I46</f>
        <v>24810.0244824</v>
      </c>
      <c r="K182" s="5">
        <f>[1]Capital!J42+[1]Capital!J46</f>
        <v>25117.6230115</v>
      </c>
      <c r="L182" s="5">
        <f>[1]Capital!K42+[1]Capital!K46</f>
        <v>25432.1445661</v>
      </c>
      <c r="M182" s="5">
        <f>[1]Capital!L42+[1]Capital!L46</f>
        <v>25745.396728700001</v>
      </c>
      <c r="N182" s="5">
        <f>[1]Capital!M42+[1]Capital!M46</f>
        <v>26051.919860599999</v>
      </c>
      <c r="O182" s="5">
        <f>[1]Capital!N42+[1]Capital!N46</f>
        <v>26348.528402399999</v>
      </c>
      <c r="P182" s="5">
        <f>[1]Capital!O42+[1]Capital!O46</f>
        <v>26633.788770700001</v>
      </c>
      <c r="Q182" s="5">
        <f>[1]Capital!P42+[1]Capital!P46</f>
        <v>26907.821679799999</v>
      </c>
      <c r="R182" s="5">
        <f>[1]Capital!Q42+[1]Capital!Q46</f>
        <v>27171.611363399999</v>
      </c>
      <c r="S182" s="5">
        <f>[1]Capital!R42+[1]Capital!R46</f>
        <v>27419.753032700002</v>
      </c>
      <c r="T182" s="5">
        <f>[1]Capital!S42+[1]Capital!S46</f>
        <v>27650.987368099999</v>
      </c>
      <c r="U182" s="5">
        <f>[1]Capital!T42+[1]Capital!T46</f>
        <v>27861.174849999999</v>
      </c>
      <c r="V182" s="5">
        <f>[1]Capital!U42+[1]Capital!U46</f>
        <v>28037.524062199998</v>
      </c>
      <c r="W182" s="5">
        <f>[1]Capital!V42+[1]Capital!V46</f>
        <v>28176.690669299998</v>
      </c>
      <c r="X182" s="5">
        <f>[1]Capital!W42+[1]Capital!W46</f>
        <v>28278.451374100001</v>
      </c>
      <c r="Y182" s="5">
        <f>[1]Capital!X42+[1]Capital!X46</f>
        <v>28343.595900200002</v>
      </c>
      <c r="Z182" s="5">
        <f>[1]Capital!Y42+[1]Capital!Y46</f>
        <v>28373.334471200003</v>
      </c>
      <c r="AA182" s="5">
        <f>[1]Capital!Z42+[1]Capital!Z46</f>
        <v>28369.057366699999</v>
      </c>
      <c r="AB182" s="5">
        <f>[1]Capital!AA42+[1]Capital!AA46</f>
        <v>28332.124913199998</v>
      </c>
      <c r="AC182" s="5">
        <f>[1]Capital!AB42+[1]Capital!AB46</f>
        <v>28261.6596015</v>
      </c>
      <c r="AD182" s="5">
        <f>[1]Capital!AC42+[1]Capital!AC46</f>
        <v>28158.110960999998</v>
      </c>
      <c r="AE182" s="5">
        <f>[1]Capital!AD42+[1]Capital!AD46</f>
        <v>28023.5229731</v>
      </c>
      <c r="AF182" s="5">
        <f>[1]Capital!AE42+[1]Capital!AE46</f>
        <v>27860.6497017</v>
      </c>
      <c r="AG182" s="5">
        <f>[1]Capital!AF42+[1]Capital!AF46</f>
        <v>27672.393969199999</v>
      </c>
      <c r="AH182" s="5">
        <f>[1]Capital!AG42+[1]Capital!AG46</f>
        <v>27461.883785999999</v>
      </c>
      <c r="AI182" s="5">
        <f>[1]Capital!AH42+[1]Capital!AH46</f>
        <v>27232.472358200001</v>
      </c>
      <c r="AJ182" s="5">
        <f>[1]Capital!AI42+[1]Capital!AI46</f>
        <v>26987.743283100001</v>
      </c>
      <c r="AK182" s="5">
        <f>[1]Capital!AJ42+[1]Capital!AJ46</f>
        <v>26731.484637199999</v>
      </c>
      <c r="AL182" s="5">
        <f>[1]Capital!AK42+[1]Capital!AK46</f>
        <v>26467.621771899998</v>
      </c>
    </row>
    <row r="183" spans="1:38" x14ac:dyDescent="0.35">
      <c r="B183" t="s">
        <v>39</v>
      </c>
      <c r="C183" s="5">
        <f>[1]Capital!B44+[1]Capital!B48</f>
        <v>1941.7176325999999</v>
      </c>
      <c r="D183" s="5">
        <f>[1]Capital!C44+[1]Capital!C48</f>
        <v>1962.8550294000001</v>
      </c>
      <c r="E183" s="5">
        <f>[1]Capital!D44+[1]Capital!D48</f>
        <v>1983.1378206000002</v>
      </c>
      <c r="F183" s="5">
        <f>[1]Capital!E44+[1]Capital!E48</f>
        <v>2002.638044</v>
      </c>
      <c r="G183" s="5">
        <f>[1]Capital!F44+[1]Capital!F48</f>
        <v>2021.8528472</v>
      </c>
      <c r="H183" s="5">
        <f>[1]Capital!G44+[1]Capital!G48</f>
        <v>2041.3292586</v>
      </c>
      <c r="I183" s="5">
        <f>[1]Capital!H44+[1]Capital!H48</f>
        <v>2061.8998925000001</v>
      </c>
      <c r="J183" s="5">
        <f>[1]Capital!I44+[1]Capital!I48</f>
        <v>2083.4087712</v>
      </c>
      <c r="K183" s="5">
        <f>[1]Capital!J44+[1]Capital!J48</f>
        <v>2105.4586015</v>
      </c>
      <c r="L183" s="5">
        <f>[1]Capital!K44+[1]Capital!K48</f>
        <v>2127.8233285000001</v>
      </c>
      <c r="M183" s="5">
        <f>[1]Capital!L44+[1]Capital!L48</f>
        <v>2151.4511527</v>
      </c>
      <c r="N183" s="5">
        <f>[1]Capital!M44+[1]Capital!M48</f>
        <v>2176.6031389</v>
      </c>
      <c r="O183" s="5">
        <f>[1]Capital!N44+[1]Capital!N48</f>
        <v>2203.4419337999998</v>
      </c>
      <c r="P183" s="5">
        <f>[1]Capital!O44+[1]Capital!O48</f>
        <v>2232.1260064000003</v>
      </c>
      <c r="Q183" s="5">
        <f>[1]Capital!P44+[1]Capital!P48</f>
        <v>2262.8220258000001</v>
      </c>
      <c r="R183" s="5">
        <f>[1]Capital!Q44+[1]Capital!Q48</f>
        <v>2295.6923918000002</v>
      </c>
      <c r="S183" s="5">
        <f>[1]Capital!R44+[1]Capital!R48</f>
        <v>2334.1919888000002</v>
      </c>
      <c r="T183" s="5">
        <f>[1]Capital!S44+[1]Capital!S48</f>
        <v>2380.1652346000001</v>
      </c>
      <c r="U183" s="5">
        <f>[1]Capital!T44+[1]Capital!T48</f>
        <v>2440.2133114999997</v>
      </c>
      <c r="V183" s="5">
        <f>[1]Capital!U44+[1]Capital!U48</f>
        <v>2531.7647317999999</v>
      </c>
      <c r="W183" s="5">
        <f>[1]Capital!V44+[1]Capital!V48</f>
        <v>2664.1826983000001</v>
      </c>
      <c r="X183" s="5">
        <f>[1]Capital!W44+[1]Capital!W48</f>
        <v>2844.6075747</v>
      </c>
      <c r="Y183" s="5">
        <f>[1]Capital!X44+[1]Capital!X48</f>
        <v>3079.8498945000001</v>
      </c>
      <c r="Z183" s="5">
        <f>[1]Capital!Y44+[1]Capital!Y48</f>
        <v>3376.9453010000002</v>
      </c>
      <c r="AA183" s="5">
        <f>[1]Capital!Z44+[1]Capital!Z48</f>
        <v>3743.22336</v>
      </c>
      <c r="AB183" s="5">
        <f>[1]Capital!AA44+[1]Capital!AA48</f>
        <v>4186.108244</v>
      </c>
      <c r="AC183" s="5">
        <f>[1]Capital!AB44+[1]Capital!AB48</f>
        <v>4710.6926110000004</v>
      </c>
      <c r="AD183" s="5">
        <f>[1]Capital!AC44+[1]Capital!AC48</f>
        <v>5322.0027929999997</v>
      </c>
      <c r="AE183" s="5">
        <f>[1]Capital!AD44+[1]Capital!AD48</f>
        <v>6025.3529369999997</v>
      </c>
      <c r="AF183" s="5">
        <f>[1]Capital!AE44+[1]Capital!AE48</f>
        <v>6825.7093729999997</v>
      </c>
      <c r="AG183" s="5">
        <f>[1]Capital!AF44+[1]Capital!AF48</f>
        <v>7726.9823780000006</v>
      </c>
      <c r="AH183" s="5">
        <f>[1]Capital!AG44+[1]Capital!AG48</f>
        <v>8731.6290399999998</v>
      </c>
      <c r="AI183" s="5">
        <f>[1]Capital!AH44+[1]Capital!AH48</f>
        <v>9840.2112390000002</v>
      </c>
      <c r="AJ183" s="5">
        <f>[1]Capital!AI44+[1]Capital!AI48</f>
        <v>11051.078441000001</v>
      </c>
      <c r="AK183" s="5">
        <f>[1]Capital!AJ44+[1]Capital!AJ48</f>
        <v>12360.170538999999</v>
      </c>
      <c r="AL183" s="5">
        <f>[1]Capital!AK44+[1]Capital!AK48</f>
        <v>13760.961423000001</v>
      </c>
    </row>
    <row r="184" spans="1:38" x14ac:dyDescent="0.35">
      <c r="B184" t="s">
        <v>36</v>
      </c>
      <c r="C184" s="5">
        <f>[1]Capital!B50+[1]Capital!B52+[1]Capital!B54+[1]Capital!B56+[1]Capital!B58+[1]Capital!B60+[1]Capital!B62+[1]Capital!B64+[1]Capital!B66</f>
        <v>40303.212424309997</v>
      </c>
      <c r="D184" s="5">
        <f>[1]Capital!C50+[1]Capital!C52+[1]Capital!C54+[1]Capital!C56+[1]Capital!C58+[1]Capital!C60+[1]Capital!C62+[1]Capital!C64+[1]Capital!C66</f>
        <v>40782.625508370002</v>
      </c>
      <c r="E184" s="5">
        <f>[1]Capital!D50+[1]Capital!D52+[1]Capital!D54+[1]Capital!D56+[1]Capital!D58+[1]Capital!D60+[1]Capital!D62+[1]Capital!D64+[1]Capital!D66</f>
        <v>41280.204886340005</v>
      </c>
      <c r="F184" s="5">
        <f>[1]Capital!E50+[1]Capital!E52+[1]Capital!E54+[1]Capital!E56+[1]Capital!E58+[1]Capital!E60+[1]Capital!E62+[1]Capital!E64+[1]Capital!E66</f>
        <v>41799.173326829994</v>
      </c>
      <c r="G184" s="5">
        <f>[1]Capital!F50+[1]Capital!F52+[1]Capital!F54+[1]Capital!F56+[1]Capital!F58+[1]Capital!F60+[1]Capital!F62+[1]Capital!F64+[1]Capital!F66</f>
        <v>42336.810601849997</v>
      </c>
      <c r="H184" s="5">
        <f>[1]Capital!G50+[1]Capital!G52+[1]Capital!G54+[1]Capital!G56+[1]Capital!G58+[1]Capital!G60+[1]Capital!G62+[1]Capital!G64+[1]Capital!G66</f>
        <v>42892.34338934999</v>
      </c>
      <c r="I184" s="5">
        <f>[1]Capital!H50+[1]Capital!H52+[1]Capital!H54+[1]Capital!H56+[1]Capital!H58+[1]Capital!H60+[1]Capital!H62+[1]Capital!H64+[1]Capital!H66</f>
        <v>43541.375312789998</v>
      </c>
      <c r="J184" s="5">
        <f>[1]Capital!I50+[1]Capital!I52+[1]Capital!I54+[1]Capital!I56+[1]Capital!I58+[1]Capital!I60+[1]Capital!I62+[1]Capital!I64+[1]Capital!I66</f>
        <v>44338.352341919999</v>
      </c>
      <c r="K184" s="5">
        <f>[1]Capital!J50+[1]Capital!J52+[1]Capital!J54+[1]Capital!J56+[1]Capital!J58+[1]Capital!J60+[1]Capital!J62+[1]Capital!J64+[1]Capital!J66</f>
        <v>45323.708167569996</v>
      </c>
      <c r="L184" s="5">
        <f>[1]Capital!K50+[1]Capital!K52+[1]Capital!K54+[1]Capital!K56+[1]Capital!K58+[1]Capital!K60+[1]Capital!K62+[1]Capital!K64+[1]Capital!K66</f>
        <v>46545.903128970007</v>
      </c>
      <c r="M184" s="5">
        <f>[1]Capital!L50+[1]Capital!L52+[1]Capital!L54+[1]Capital!L56+[1]Capital!L58+[1]Capital!L60+[1]Capital!L62+[1]Capital!L64+[1]Capital!L66</f>
        <v>48048.009922720004</v>
      </c>
      <c r="N184" s="5">
        <f>[1]Capital!M50+[1]Capital!M52+[1]Capital!M54+[1]Capital!M56+[1]Capital!M58+[1]Capital!M60+[1]Capital!M62+[1]Capital!M64+[1]Capital!M66</f>
        <v>49784.130397379995</v>
      </c>
      <c r="O184" s="5">
        <f>[1]Capital!N50+[1]Capital!N52+[1]Capital!N54+[1]Capital!N56+[1]Capital!N58+[1]Capital!N60+[1]Capital!N62+[1]Capital!N64+[1]Capital!N66</f>
        <v>51711.496837910003</v>
      </c>
      <c r="P184" s="5">
        <f>[1]Capital!O50+[1]Capital!O52+[1]Capital!O54+[1]Capital!O56+[1]Capital!O58+[1]Capital!O60+[1]Capital!O62+[1]Capital!O64+[1]Capital!O66</f>
        <v>53813.294846320001</v>
      </c>
      <c r="Q184" s="5">
        <f>[1]Capital!P50+[1]Capital!P52+[1]Capital!P54+[1]Capital!P56+[1]Capital!P58+[1]Capital!P60+[1]Capital!P62+[1]Capital!P64+[1]Capital!P66</f>
        <v>56091.325562710001</v>
      </c>
      <c r="R184" s="5">
        <f>[1]Capital!Q50+[1]Capital!Q52+[1]Capital!Q54+[1]Capital!Q56+[1]Capital!Q58+[1]Capital!Q60+[1]Capital!Q62+[1]Capital!Q64+[1]Capital!Q66</f>
        <v>58558.352796089996</v>
      </c>
      <c r="S184" s="5">
        <f>[1]Capital!R50+[1]Capital!R52+[1]Capital!R54+[1]Capital!R56+[1]Capital!R58+[1]Capital!R60+[1]Capital!R62+[1]Capital!R64+[1]Capital!R66</f>
        <v>61241.832257269998</v>
      </c>
      <c r="T184" s="5">
        <f>[1]Capital!S50+[1]Capital!S52+[1]Capital!S54+[1]Capital!S56+[1]Capital!S58+[1]Capital!S60+[1]Capital!S62+[1]Capital!S64+[1]Capital!S66</f>
        <v>64169.675398449996</v>
      </c>
      <c r="U184" s="5">
        <f>[1]Capital!T50+[1]Capital!T52+[1]Capital!T54+[1]Capital!T56+[1]Capital!T58+[1]Capital!T60+[1]Capital!T62+[1]Capital!T64+[1]Capital!T66</f>
        <v>67371.195361150007</v>
      </c>
      <c r="V184" s="5">
        <f>[1]Capital!U50+[1]Capital!U52+[1]Capital!U54+[1]Capital!U56+[1]Capital!U58+[1]Capital!U60+[1]Capital!U62+[1]Capital!U64+[1]Capital!U66</f>
        <v>70878.832052080004</v>
      </c>
      <c r="W184" s="5">
        <f>[1]Capital!V50+[1]Capital!V52+[1]Capital!V54+[1]Capital!V56+[1]Capital!V58+[1]Capital!V60+[1]Capital!V62+[1]Capital!V64+[1]Capital!V66</f>
        <v>74730.179493600008</v>
      </c>
      <c r="X184" s="5">
        <f>[1]Capital!W50+[1]Capital!W52+[1]Capital!W54+[1]Capital!W56+[1]Capital!W58+[1]Capital!W60+[1]Capital!W62+[1]Capital!W64+[1]Capital!W66</f>
        <v>78968.126865700004</v>
      </c>
      <c r="Y184" s="5">
        <f>[1]Capital!X50+[1]Capital!X52+[1]Capital!X54+[1]Capital!X56+[1]Capital!X58+[1]Capital!X60+[1]Capital!X62+[1]Capital!X64+[1]Capital!X66</f>
        <v>83647.398127500011</v>
      </c>
      <c r="Z184" s="5">
        <f>[1]Capital!Y50+[1]Capital!Y52+[1]Capital!Y54+[1]Capital!Y56+[1]Capital!Y58+[1]Capital!Y60+[1]Capital!Y62+[1]Capital!Y64+[1]Capital!Y66</f>
        <v>88836.3226134</v>
      </c>
      <c r="AA184" s="5">
        <f>[1]Capital!Z50+[1]Capital!Z52+[1]Capital!Z54+[1]Capital!Z56+[1]Capital!Z58+[1]Capital!Z60+[1]Capital!Z62+[1]Capital!Z64+[1]Capital!Z66</f>
        <v>94616.707297699992</v>
      </c>
      <c r="AB184" s="5">
        <f>[1]Capital!AA50+[1]Capital!AA52+[1]Capital!AA54+[1]Capital!AA56+[1]Capital!AA58+[1]Capital!AA60+[1]Capital!AA62+[1]Capital!AA64+[1]Capital!AA66</f>
        <v>101080.8386664</v>
      </c>
      <c r="AC184" s="5">
        <f>[1]Capital!AB50+[1]Capital!AB52+[1]Capital!AB54+[1]Capital!AB56+[1]Capital!AB58+[1]Capital!AB60+[1]Capital!AB62+[1]Capital!AB64+[1]Capital!AB66</f>
        <v>107758.8061478</v>
      </c>
      <c r="AD184" s="5">
        <f>[1]Capital!AC50+[1]Capital!AC52+[1]Capital!AC54+[1]Capital!AC56+[1]Capital!AC58+[1]Capital!AC60+[1]Capital!AC62+[1]Capital!AC64+[1]Capital!AC66</f>
        <v>114364.04545569998</v>
      </c>
      <c r="AE184" s="5">
        <f>[1]Capital!AD50+[1]Capital!AD52+[1]Capital!AD54+[1]Capital!AD56+[1]Capital!AD58+[1]Capital!AD60+[1]Capital!AD62+[1]Capital!AD64+[1]Capital!AD66</f>
        <v>120784.2780509</v>
      </c>
      <c r="AF184" s="5">
        <f>[1]Capital!AE50+[1]Capital!AE52+[1]Capital!AE54+[1]Capital!AE56+[1]Capital!AE58+[1]Capital!AE60+[1]Capital!AE62+[1]Capital!AE64+[1]Capital!AE66</f>
        <v>126987.2537781</v>
      </c>
      <c r="AG184" s="5">
        <f>[1]Capital!AF50+[1]Capital!AF52+[1]Capital!AF54+[1]Capital!AF56+[1]Capital!AF58+[1]Capital!AF60+[1]Capital!AF62+[1]Capital!AF64+[1]Capital!AF66</f>
        <v>132965.37762489999</v>
      </c>
      <c r="AH184" s="5">
        <f>[1]Capital!AG50+[1]Capital!AG52+[1]Capital!AG54+[1]Capital!AG56+[1]Capital!AG58+[1]Capital!AG60+[1]Capital!AG62+[1]Capital!AG64+[1]Capital!AG66</f>
        <v>138712.087294</v>
      </c>
      <c r="AI184" s="5">
        <f>[1]Capital!AH50+[1]Capital!AH52+[1]Capital!AH54+[1]Capital!AH56+[1]Capital!AH58+[1]Capital!AH60+[1]Capital!AH62+[1]Capital!AH64+[1]Capital!AH66</f>
        <v>144219.43120004999</v>
      </c>
      <c r="AJ184" s="5">
        <f>[1]Capital!AI50+[1]Capital!AI52+[1]Capital!AI54+[1]Capital!AI56+[1]Capital!AI58+[1]Capital!AI60+[1]Capital!AI62+[1]Capital!AI64+[1]Capital!AI66</f>
        <v>149478.23112484001</v>
      </c>
      <c r="AK184" s="5">
        <f>[1]Capital!AJ50+[1]Capital!AJ52+[1]Capital!AJ54+[1]Capital!AJ56+[1]Capital!AJ58+[1]Capital!AJ60+[1]Capital!AJ62+[1]Capital!AJ64+[1]Capital!AJ66</f>
        <v>154478.74438079001</v>
      </c>
      <c r="AL184" s="5">
        <f>[1]Capital!AK50+[1]Capital!AK52+[1]Capital!AK54+[1]Capital!AK56+[1]Capital!AK58+[1]Capital!AK60+[1]Capital!AK62+[1]Capital!AK64+[1]Capital!AK66</f>
        <v>159211.40244946998</v>
      </c>
    </row>
    <row r="185" spans="1:38" x14ac:dyDescent="0.35"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</row>
    <row r="186" spans="1:38" x14ac:dyDescent="0.35">
      <c r="C186" s="2">
        <v>42005</v>
      </c>
      <c r="D186" s="2">
        <v>42370</v>
      </c>
      <c r="E186" s="2">
        <v>42736</v>
      </c>
      <c r="F186" s="2">
        <v>43101</v>
      </c>
      <c r="G186" s="2">
        <v>43466</v>
      </c>
      <c r="H186" s="2">
        <v>43831</v>
      </c>
      <c r="I186" s="2">
        <v>44197</v>
      </c>
      <c r="J186" s="2">
        <v>44562</v>
      </c>
      <c r="K186" s="2">
        <v>44927</v>
      </c>
      <c r="L186" s="2">
        <v>45292</v>
      </c>
      <c r="M186" s="2">
        <v>45658</v>
      </c>
      <c r="N186" s="2">
        <v>46023</v>
      </c>
      <c r="O186" s="2">
        <v>46388</v>
      </c>
      <c r="P186" s="2">
        <v>46753</v>
      </c>
      <c r="Q186" s="2">
        <v>47119</v>
      </c>
      <c r="R186" s="2">
        <v>47484</v>
      </c>
      <c r="S186" s="2">
        <v>47849</v>
      </c>
      <c r="T186" s="2">
        <v>48214</v>
      </c>
      <c r="U186" s="2">
        <v>48580</v>
      </c>
      <c r="V186" s="2">
        <v>48945</v>
      </c>
      <c r="W186" s="2">
        <v>49310</v>
      </c>
      <c r="X186" s="2">
        <v>49675</v>
      </c>
      <c r="Y186" s="2">
        <v>50041</v>
      </c>
      <c r="Z186" s="2">
        <v>50406</v>
      </c>
      <c r="AA186" s="2">
        <v>50771</v>
      </c>
      <c r="AB186" s="2">
        <v>51136</v>
      </c>
      <c r="AC186" s="2">
        <v>51502</v>
      </c>
      <c r="AD186" s="2">
        <v>51867</v>
      </c>
      <c r="AE186" s="2">
        <v>52232</v>
      </c>
      <c r="AF186" s="2">
        <v>52597</v>
      </c>
      <c r="AG186" s="2">
        <v>52963</v>
      </c>
      <c r="AH186" s="2">
        <v>53328</v>
      </c>
      <c r="AI186" s="2">
        <v>53693</v>
      </c>
      <c r="AJ186" s="2">
        <v>54058</v>
      </c>
      <c r="AK186" s="2">
        <v>54424</v>
      </c>
      <c r="AL186" s="2">
        <v>54789</v>
      </c>
    </row>
    <row r="187" spans="1:38" x14ac:dyDescent="0.35">
      <c r="A187" t="s">
        <v>46</v>
      </c>
      <c r="B187" t="s">
        <v>44</v>
      </c>
      <c r="C187" s="10">
        <f>C177/C133/(C167/C122)-1</f>
        <v>0</v>
      </c>
      <c r="D187" s="10">
        <f t="shared" ref="D187:AL187" si="17">D177/D133/(D167/D122)-1</f>
        <v>0</v>
      </c>
      <c r="E187" s="10">
        <f t="shared" si="17"/>
        <v>0</v>
      </c>
      <c r="F187" s="10">
        <f t="shared" si="17"/>
        <v>0</v>
      </c>
      <c r="G187" s="10">
        <f t="shared" si="17"/>
        <v>0</v>
      </c>
      <c r="H187" s="10">
        <f t="shared" si="17"/>
        <v>1.7890844361545533E-10</v>
      </c>
      <c r="I187" s="10">
        <f t="shared" si="17"/>
        <v>-2.2677395876302686E-4</v>
      </c>
      <c r="J187" s="10">
        <f t="shared" si="17"/>
        <v>2.3354149744629904E-3</v>
      </c>
      <c r="K187" s="10">
        <f t="shared" si="17"/>
        <v>4.7324354180027228E-3</v>
      </c>
      <c r="L187" s="10">
        <f t="shared" si="17"/>
        <v>3.1243533886302632E-3</v>
      </c>
      <c r="M187" s="10">
        <f t="shared" si="17"/>
        <v>1.2505688160524553E-3</v>
      </c>
      <c r="N187" s="10">
        <f t="shared" si="17"/>
        <v>2.4789405815517362E-4</v>
      </c>
      <c r="O187" s="10">
        <f t="shared" si="17"/>
        <v>-1.9234441317239614E-5</v>
      </c>
      <c r="P187" s="10">
        <f t="shared" si="17"/>
        <v>1.0768223671964172E-4</v>
      </c>
      <c r="Q187" s="10">
        <f t="shared" si="17"/>
        <v>2.7234163455291949E-4</v>
      </c>
      <c r="R187" s="10">
        <f t="shared" si="17"/>
        <v>4.1292375225521205E-4</v>
      </c>
      <c r="S187" s="10">
        <f t="shared" si="17"/>
        <v>1.006370044064564E-3</v>
      </c>
      <c r="T187" s="10">
        <f t="shared" si="17"/>
        <v>1.9838481591503143E-3</v>
      </c>
      <c r="U187" s="10">
        <f t="shared" si="17"/>
        <v>3.2686729022544103E-3</v>
      </c>
      <c r="V187" s="10">
        <f t="shared" si="17"/>
        <v>4.7548359023341646E-3</v>
      </c>
      <c r="W187" s="10">
        <f t="shared" si="17"/>
        <v>6.4317829873201671E-3</v>
      </c>
      <c r="X187" s="10">
        <f t="shared" si="17"/>
        <v>8.3208471932634254E-3</v>
      </c>
      <c r="Y187" s="10">
        <f t="shared" si="17"/>
        <v>1.0343365573952878E-2</v>
      </c>
      <c r="Z187" s="10">
        <f t="shared" si="17"/>
        <v>1.2448917787845515E-2</v>
      </c>
      <c r="AA187" s="10">
        <f t="shared" si="17"/>
        <v>1.4593857578254932E-2</v>
      </c>
      <c r="AB187" s="10">
        <f t="shared" si="17"/>
        <v>1.674949299206463E-2</v>
      </c>
      <c r="AC187" s="10">
        <f t="shared" si="17"/>
        <v>1.8944184462113656E-2</v>
      </c>
      <c r="AD187" s="10">
        <f t="shared" si="17"/>
        <v>2.1149846177776377E-2</v>
      </c>
      <c r="AE187" s="10">
        <f t="shared" si="17"/>
        <v>2.3333716938556792E-2</v>
      </c>
      <c r="AF187" s="10">
        <f t="shared" si="17"/>
        <v>2.5467094863782513E-2</v>
      </c>
      <c r="AG187" s="10">
        <f t="shared" si="17"/>
        <v>2.7530190692267142E-2</v>
      </c>
      <c r="AH187" s="10">
        <f t="shared" si="17"/>
        <v>2.9543808400938065E-2</v>
      </c>
      <c r="AI187" s="10">
        <f t="shared" si="17"/>
        <v>3.1482617026563631E-2</v>
      </c>
      <c r="AJ187" s="10">
        <f t="shared" si="17"/>
        <v>3.3340255490370341E-2</v>
      </c>
      <c r="AK187" s="10">
        <f t="shared" si="17"/>
        <v>3.5118993345272909E-2</v>
      </c>
      <c r="AL187" s="10">
        <f t="shared" si="17"/>
        <v>3.6824227116246444E-2</v>
      </c>
    </row>
    <row r="188" spans="1:38" x14ac:dyDescent="0.35">
      <c r="B188" t="s">
        <v>7</v>
      </c>
      <c r="C188" s="10">
        <f>C178/C134/(C168/C123)-1</f>
        <v>0</v>
      </c>
      <c r="D188" s="10">
        <f t="shared" ref="D188:AL188" si="18">D178/D134/(D168/D123)-1</f>
        <v>0</v>
      </c>
      <c r="E188" s="10">
        <f t="shared" si="18"/>
        <v>0</v>
      </c>
      <c r="F188" s="10">
        <f t="shared" si="18"/>
        <v>1.8545187607799107E-10</v>
      </c>
      <c r="G188" s="10">
        <f t="shared" si="18"/>
        <v>0</v>
      </c>
      <c r="H188" s="10">
        <f t="shared" si="18"/>
        <v>-1.0272227513041798E-11</v>
      </c>
      <c r="I188" s="10">
        <f t="shared" si="18"/>
        <v>-2.9883328444046953E-4</v>
      </c>
      <c r="J188" s="10">
        <f t="shared" si="18"/>
        <v>3.4198516381165334E-3</v>
      </c>
      <c r="K188" s="10">
        <f t="shared" si="18"/>
        <v>7.4647903863183096E-3</v>
      </c>
      <c r="L188" s="10">
        <f t="shared" si="18"/>
        <v>7.7485528599252618E-3</v>
      </c>
      <c r="M188" s="10">
        <f t="shared" si="18"/>
        <v>8.8793915106819554E-3</v>
      </c>
      <c r="N188" s="10">
        <f t="shared" si="18"/>
        <v>1.1387740855377748E-2</v>
      </c>
      <c r="O188" s="10">
        <f t="shared" si="18"/>
        <v>1.4906258824783025E-2</v>
      </c>
      <c r="P188" s="10">
        <f t="shared" si="18"/>
        <v>1.8895337692809377E-2</v>
      </c>
      <c r="Q188" s="10">
        <f t="shared" si="18"/>
        <v>2.2930113469378899E-2</v>
      </c>
      <c r="R188" s="10">
        <f t="shared" si="18"/>
        <v>2.6974291317593435E-2</v>
      </c>
      <c r="S188" s="10">
        <f t="shared" si="18"/>
        <v>3.1525213382394668E-2</v>
      </c>
      <c r="T188" s="10">
        <f t="shared" si="18"/>
        <v>3.6829908745634521E-2</v>
      </c>
      <c r="U188" s="10">
        <f t="shared" si="18"/>
        <v>4.293301124668969E-2</v>
      </c>
      <c r="V188" s="10">
        <f t="shared" si="18"/>
        <v>4.9769668129956646E-2</v>
      </c>
      <c r="W188" s="10">
        <f t="shared" si="18"/>
        <v>5.7227364602760789E-2</v>
      </c>
      <c r="X188" s="10">
        <f t="shared" si="18"/>
        <v>6.5217004173434789E-2</v>
      </c>
      <c r="Y188" s="10">
        <f t="shared" si="18"/>
        <v>7.3505354654405552E-2</v>
      </c>
      <c r="Z188" s="10">
        <f t="shared" si="18"/>
        <v>8.1922106885429669E-2</v>
      </c>
      <c r="AA188" s="10">
        <f t="shared" si="18"/>
        <v>9.0326059862154473E-2</v>
      </c>
      <c r="AB188" s="10">
        <f t="shared" si="18"/>
        <v>9.8596227476022369E-2</v>
      </c>
      <c r="AC188" s="10">
        <f t="shared" si="18"/>
        <v>0.10702276034093905</v>
      </c>
      <c r="AD188" s="10">
        <f t="shared" si="18"/>
        <v>0.11514992811386993</v>
      </c>
      <c r="AE188" s="10">
        <f t="shared" si="18"/>
        <v>0.12277239703361786</v>
      </c>
      <c r="AF188" s="10">
        <f t="shared" si="18"/>
        <v>0.12976012272051984</v>
      </c>
      <c r="AG188" s="10">
        <f t="shared" si="18"/>
        <v>0.13603225539238983</v>
      </c>
      <c r="AH188" s="10">
        <f t="shared" si="18"/>
        <v>0.14156790961088062</v>
      </c>
      <c r="AI188" s="10">
        <f t="shared" si="18"/>
        <v>0.14629698643633171</v>
      </c>
      <c r="AJ188" s="10">
        <f t="shared" si="18"/>
        <v>0.15020121986289059</v>
      </c>
      <c r="AK188" s="10">
        <f t="shared" si="18"/>
        <v>0.15329648884893343</v>
      </c>
      <c r="AL188" s="10">
        <f t="shared" si="18"/>
        <v>0.15561916879159954</v>
      </c>
    </row>
    <row r="189" spans="1:38" x14ac:dyDescent="0.35">
      <c r="B189" t="s">
        <v>33</v>
      </c>
      <c r="C189" s="10">
        <f>C179/C135/(C169/C124)-1</f>
        <v>-1.021627227260069E-12</v>
      </c>
      <c r="D189" s="10">
        <f t="shared" ref="D189:AL189" si="19">D179/D135/(D169/D124)-1</f>
        <v>3.1887825713283746E-12</v>
      </c>
      <c r="E189" s="10">
        <f t="shared" si="19"/>
        <v>-6.5447536279350516E-11</v>
      </c>
      <c r="F189" s="10">
        <f t="shared" si="19"/>
        <v>1.3576695323536114E-10</v>
      </c>
      <c r="G189" s="10">
        <f t="shared" si="19"/>
        <v>8.4975582126389781E-11</v>
      </c>
      <c r="H189" s="10">
        <f t="shared" si="19"/>
        <v>-1.0820677687206626E-11</v>
      </c>
      <c r="I189" s="10">
        <f t="shared" si="19"/>
        <v>-2.7846061880765216E-4</v>
      </c>
      <c r="J189" s="10">
        <f t="shared" si="19"/>
        <v>4.1045747958405876E-3</v>
      </c>
      <c r="K189" s="10">
        <f t="shared" si="19"/>
        <v>8.2475899360014981E-3</v>
      </c>
      <c r="L189" s="10">
        <f t="shared" si="19"/>
        <v>6.7541191213944529E-3</v>
      </c>
      <c r="M189" s="10">
        <f t="shared" si="19"/>
        <v>5.7569061845337277E-3</v>
      </c>
      <c r="N189" s="10">
        <f t="shared" si="19"/>
        <v>5.5074781717361354E-3</v>
      </c>
      <c r="O189" s="10">
        <f t="shared" si="19"/>
        <v>6.0389914344460838E-3</v>
      </c>
      <c r="P189" s="10">
        <f t="shared" si="19"/>
        <v>6.9221197856763617E-3</v>
      </c>
      <c r="Q189" s="10">
        <f t="shared" si="19"/>
        <v>7.6635730837322225E-3</v>
      </c>
      <c r="R189" s="10">
        <f t="shared" si="19"/>
        <v>8.2240985476680351E-3</v>
      </c>
      <c r="S189" s="10">
        <f t="shared" si="19"/>
        <v>9.3217817652537782E-3</v>
      </c>
      <c r="T189" s="10">
        <f t="shared" si="19"/>
        <v>1.0873774531049873E-2</v>
      </c>
      <c r="U189" s="10">
        <f t="shared" si="19"/>
        <v>1.27992276454445E-2</v>
      </c>
      <c r="V189" s="10">
        <f t="shared" si="19"/>
        <v>1.4983913155622641E-2</v>
      </c>
      <c r="W189" s="10">
        <f t="shared" si="19"/>
        <v>1.7381776713401909E-2</v>
      </c>
      <c r="X189" s="10">
        <f t="shared" si="19"/>
        <v>1.988172840576885E-2</v>
      </c>
      <c r="Y189" s="10">
        <f t="shared" si="19"/>
        <v>2.243707422719643E-2</v>
      </c>
      <c r="Z189" s="10">
        <f t="shared" si="19"/>
        <v>2.5016000462315446E-2</v>
      </c>
      <c r="AA189" s="10">
        <f t="shared" si="19"/>
        <v>2.7583791458961393E-2</v>
      </c>
      <c r="AB189" s="10">
        <f t="shared" si="19"/>
        <v>3.0120284269197217E-2</v>
      </c>
      <c r="AC189" s="10">
        <f t="shared" si="19"/>
        <v>3.2591124628576162E-2</v>
      </c>
      <c r="AD189" s="10">
        <f t="shared" si="19"/>
        <v>3.5034562775478673E-2</v>
      </c>
      <c r="AE189" s="10">
        <f t="shared" si="19"/>
        <v>3.7454818756226027E-2</v>
      </c>
      <c r="AF189" s="10">
        <f t="shared" si="19"/>
        <v>3.984359850670649E-2</v>
      </c>
      <c r="AG189" s="10">
        <f t="shared" si="19"/>
        <v>4.2196008280856789E-2</v>
      </c>
      <c r="AH189" s="10">
        <f t="shared" si="19"/>
        <v>4.4505777149459913E-2</v>
      </c>
      <c r="AI189" s="10">
        <f t="shared" si="19"/>
        <v>4.6775984566667317E-2</v>
      </c>
      <c r="AJ189" s="10">
        <f t="shared" si="19"/>
        <v>4.9020087652781541E-2</v>
      </c>
      <c r="AK189" s="10">
        <f t="shared" si="19"/>
        <v>5.1252160480525166E-2</v>
      </c>
      <c r="AL189" s="10">
        <f t="shared" si="19"/>
        <v>5.3483857304525539E-2</v>
      </c>
    </row>
    <row r="190" spans="1:38" x14ac:dyDescent="0.35">
      <c r="B190" t="s">
        <v>9</v>
      </c>
      <c r="C190" s="10">
        <f>C180/C136/(C170/C125)-1</f>
        <v>0</v>
      </c>
      <c r="D190" s="10">
        <f t="shared" ref="D190:AL190" si="20">D180/D136/(D170/D125)-1</f>
        <v>-8.0995765650015983E-11</v>
      </c>
      <c r="E190" s="10">
        <f t="shared" si="20"/>
        <v>-1.1006251465772721E-10</v>
      </c>
      <c r="F190" s="10">
        <f t="shared" si="20"/>
        <v>0</v>
      </c>
      <c r="G190" s="10">
        <f t="shared" si="20"/>
        <v>-7.5608408423022411E-11</v>
      </c>
      <c r="H190" s="10">
        <f t="shared" si="20"/>
        <v>-1.0494027868901412E-10</v>
      </c>
      <c r="I190" s="10">
        <f t="shared" si="20"/>
        <v>-2.559543727942426E-4</v>
      </c>
      <c r="J190" s="10">
        <f t="shared" si="20"/>
        <v>4.7666050629044943E-3</v>
      </c>
      <c r="K190" s="10">
        <f t="shared" si="20"/>
        <v>1.0139557770191931E-2</v>
      </c>
      <c r="L190" s="10">
        <f t="shared" si="20"/>
        <v>1.1102532852051761E-2</v>
      </c>
      <c r="M190" s="10">
        <f t="shared" si="20"/>
        <v>1.4141515215229772E-2</v>
      </c>
      <c r="N190" s="10">
        <f t="shared" si="20"/>
        <v>1.7818227472911508E-2</v>
      </c>
      <c r="O190" s="10">
        <f t="shared" si="20"/>
        <v>2.1390650214234697E-2</v>
      </c>
      <c r="P190" s="10">
        <f t="shared" si="20"/>
        <v>2.4366693745107915E-2</v>
      </c>
      <c r="Q190" s="10">
        <f t="shared" si="20"/>
        <v>2.6473337394570695E-2</v>
      </c>
      <c r="R190" s="10">
        <f t="shared" si="20"/>
        <v>2.7935396109014743E-2</v>
      </c>
      <c r="S190" s="10">
        <f t="shared" si="20"/>
        <v>2.9614494666438063E-2</v>
      </c>
      <c r="T190" s="10">
        <f t="shared" si="20"/>
        <v>3.1886641983957409E-2</v>
      </c>
      <c r="U190" s="10">
        <f t="shared" si="20"/>
        <v>3.4697699152876682E-2</v>
      </c>
      <c r="V190" s="10">
        <f t="shared" si="20"/>
        <v>3.7755003421692912E-2</v>
      </c>
      <c r="W190" s="10">
        <f t="shared" si="20"/>
        <v>4.0948747242253614E-2</v>
      </c>
      <c r="X190" s="10">
        <f t="shared" si="20"/>
        <v>4.3953559757824445E-2</v>
      </c>
      <c r="Y190" s="10">
        <f t="shared" si="20"/>
        <v>4.6634567609513899E-2</v>
      </c>
      <c r="Z190" s="10">
        <f t="shared" si="20"/>
        <v>4.8956912084893389E-2</v>
      </c>
      <c r="AA190" s="10">
        <f t="shared" si="20"/>
        <v>5.0898792725285524E-2</v>
      </c>
      <c r="AB190" s="10">
        <f t="shared" si="20"/>
        <v>5.2441704747783868E-2</v>
      </c>
      <c r="AC190" s="10">
        <f t="shared" si="20"/>
        <v>5.3474252673384237E-2</v>
      </c>
      <c r="AD190" s="10">
        <f t="shared" si="20"/>
        <v>5.3964563151297273E-2</v>
      </c>
      <c r="AE190" s="10">
        <f t="shared" si="20"/>
        <v>5.3918242306248088E-2</v>
      </c>
      <c r="AF190" s="10">
        <f t="shared" si="20"/>
        <v>5.3354597775626678E-2</v>
      </c>
      <c r="AG190" s="10">
        <f t="shared" si="20"/>
        <v>5.2310757322618029E-2</v>
      </c>
      <c r="AH190" s="10">
        <f t="shared" si="20"/>
        <v>5.0780496108804307E-2</v>
      </c>
      <c r="AI190" s="10">
        <f t="shared" si="20"/>
        <v>4.8818171831567669E-2</v>
      </c>
      <c r="AJ190" s="10">
        <f t="shared" si="20"/>
        <v>4.6525317308679037E-2</v>
      </c>
      <c r="AK190" s="10">
        <f t="shared" si="20"/>
        <v>4.4013489683570439E-2</v>
      </c>
      <c r="AL190" s="10">
        <f t="shared" si="20"/>
        <v>4.1388693257776277E-2</v>
      </c>
    </row>
    <row r="191" spans="1:38" x14ac:dyDescent="0.35">
      <c r="B191" t="s">
        <v>10</v>
      </c>
      <c r="C191" s="10">
        <f>C181/C137/(C171/C126)-1</f>
        <v>-3.9113601246754115E-11</v>
      </c>
      <c r="D191" s="10">
        <f t="shared" ref="D191:AL191" si="21">D181/D137/(D171/D126)-1</f>
        <v>0</v>
      </c>
      <c r="E191" s="10">
        <f t="shared" si="21"/>
        <v>0</v>
      </c>
      <c r="F191" s="10">
        <f t="shared" si="21"/>
        <v>0</v>
      </c>
      <c r="G191" s="10">
        <f t="shared" si="21"/>
        <v>-6.2340133055727165E-12</v>
      </c>
      <c r="H191" s="10">
        <f t="shared" si="21"/>
        <v>0</v>
      </c>
      <c r="I191" s="10">
        <f t="shared" si="21"/>
        <v>-2.0556790772741085E-4</v>
      </c>
      <c r="J191" s="10">
        <f t="shared" si="21"/>
        <v>1.5755418169587365E-3</v>
      </c>
      <c r="K191" s="10">
        <f t="shared" si="21"/>
        <v>3.213330946645554E-3</v>
      </c>
      <c r="L191" s="10">
        <f t="shared" si="21"/>
        <v>1.5129914343239292E-3</v>
      </c>
      <c r="M191" s="10">
        <f t="shared" si="21"/>
        <v>-8.7200355074845692E-4</v>
      </c>
      <c r="N191" s="10">
        <f t="shared" si="21"/>
        <v>-2.4778459609400283E-3</v>
      </c>
      <c r="O191" s="10">
        <f t="shared" si="21"/>
        <v>-3.374514125704553E-3</v>
      </c>
      <c r="P191" s="10">
        <f t="shared" si="21"/>
        <v>-3.8101099274360228E-3</v>
      </c>
      <c r="Q191" s="10">
        <f t="shared" si="21"/>
        <v>-4.0783744657089116E-3</v>
      </c>
      <c r="R191" s="10">
        <f t="shared" si="21"/>
        <v>-4.2695905253627986E-3</v>
      </c>
      <c r="S191" s="10">
        <f t="shared" si="21"/>
        <v>-4.0402946006238283E-3</v>
      </c>
      <c r="T191" s="10">
        <f t="shared" si="21"/>
        <v>-3.4843556100245809E-3</v>
      </c>
      <c r="U191" s="10">
        <f t="shared" si="21"/>
        <v>-2.6706171153845215E-3</v>
      </c>
      <c r="V191" s="10">
        <f t="shared" si="21"/>
        <v>-1.6583273973604928E-3</v>
      </c>
      <c r="W191" s="10">
        <f t="shared" si="21"/>
        <v>-4.873335061779116E-4</v>
      </c>
      <c r="X191" s="10">
        <f t="shared" si="21"/>
        <v>9.14274009813143E-4</v>
      </c>
      <c r="Y191" s="10">
        <f t="shared" si="21"/>
        <v>2.4740190590242239E-3</v>
      </c>
      <c r="Z191" s="10">
        <f t="shared" si="21"/>
        <v>4.1414004075204236E-3</v>
      </c>
      <c r="AA191" s="10">
        <f t="shared" si="21"/>
        <v>5.8677409134653136E-3</v>
      </c>
      <c r="AB191" s="10">
        <f t="shared" si="21"/>
        <v>7.6120814839972795E-3</v>
      </c>
      <c r="AC191" s="10">
        <f t="shared" si="21"/>
        <v>9.4312229514721402E-3</v>
      </c>
      <c r="AD191" s="10">
        <f t="shared" si="21"/>
        <v>1.1290887524034732E-2</v>
      </c>
      <c r="AE191" s="10">
        <f t="shared" si="21"/>
        <v>1.3130851336648375E-2</v>
      </c>
      <c r="AF191" s="10">
        <f t="shared" si="21"/>
        <v>1.4896746723858989E-2</v>
      </c>
      <c r="AG191" s="10">
        <f t="shared" si="21"/>
        <v>1.6549534984192871E-2</v>
      </c>
      <c r="AH191" s="10">
        <f t="shared" si="21"/>
        <v>1.8114538518025913E-2</v>
      </c>
      <c r="AI191" s="10">
        <f t="shared" si="21"/>
        <v>1.9560402035896152E-2</v>
      </c>
      <c r="AJ191" s="10">
        <f t="shared" si="21"/>
        <v>2.0877421213980396E-2</v>
      </c>
      <c r="AK191" s="10">
        <f t="shared" si="21"/>
        <v>2.2067117037665618E-2</v>
      </c>
      <c r="AL191" s="10">
        <f t="shared" si="21"/>
        <v>2.3136923859388592E-2</v>
      </c>
    </row>
    <row r="192" spans="1:38" x14ac:dyDescent="0.35">
      <c r="B192" t="s">
        <v>32</v>
      </c>
      <c r="C192" s="10">
        <f>(C182+C183)/(C138+C139)/((C172+C173)/(C127+C128))-1</f>
        <v>3.1191627059001803E-10</v>
      </c>
      <c r="D192" s="10">
        <f t="shared" ref="D192:AL192" si="22">(D182+D183)/(D138+D139)/((D172+D173)/(D127+D128))-1</f>
        <v>2.7380053779779701E-10</v>
      </c>
      <c r="E192" s="10">
        <f t="shared" si="22"/>
        <v>3.3070901572784805E-10</v>
      </c>
      <c r="F192" s="10">
        <f t="shared" si="22"/>
        <v>4.6124593033880501E-10</v>
      </c>
      <c r="G192" s="10">
        <f t="shared" si="22"/>
        <v>3.5951019938806894E-10</v>
      </c>
      <c r="H192" s="10">
        <f t="shared" si="22"/>
        <v>6.4323169013391635E-10</v>
      </c>
      <c r="I192" s="10">
        <f t="shared" si="22"/>
        <v>-5.7371212225132417E-4</v>
      </c>
      <c r="J192" s="10">
        <f t="shared" si="22"/>
        <v>3.0645995383207225E-3</v>
      </c>
      <c r="K192" s="10">
        <f t="shared" si="22"/>
        <v>9.0911305115088936E-3</v>
      </c>
      <c r="L192" s="10">
        <f t="shared" si="22"/>
        <v>1.3818939822119347E-2</v>
      </c>
      <c r="M192" s="10">
        <f t="shared" si="22"/>
        <v>2.1103563724659269E-2</v>
      </c>
      <c r="N192" s="10">
        <f t="shared" si="22"/>
        <v>2.6164006394548966E-2</v>
      </c>
      <c r="O192" s="10">
        <f t="shared" si="22"/>
        <v>2.9347665660418576E-2</v>
      </c>
      <c r="P192" s="10">
        <f t="shared" si="22"/>
        <v>3.0959343131273354E-2</v>
      </c>
      <c r="Q192" s="10">
        <f t="shared" si="22"/>
        <v>3.120220653499084E-2</v>
      </c>
      <c r="R192" s="10">
        <f t="shared" si="22"/>
        <v>3.0489159480766803E-2</v>
      </c>
      <c r="S192" s="10">
        <f t="shared" si="22"/>
        <v>3.0855034477790477E-2</v>
      </c>
      <c r="T192" s="10">
        <f t="shared" si="22"/>
        <v>3.1749919178009067E-2</v>
      </c>
      <c r="U192" s="10">
        <f t="shared" si="22"/>
        <v>3.1161872067183127E-2</v>
      </c>
      <c r="V192" s="10">
        <f t="shared" si="22"/>
        <v>2.5078173103720403E-2</v>
      </c>
      <c r="W192" s="10">
        <f t="shared" si="22"/>
        <v>1.7496939541712608E-2</v>
      </c>
      <c r="X192" s="10">
        <f t="shared" si="22"/>
        <v>8.5920383227746644E-3</v>
      </c>
      <c r="Y192" s="10">
        <f t="shared" si="22"/>
        <v>-1.486425039386563E-3</v>
      </c>
      <c r="Z192" s="10">
        <f t="shared" si="22"/>
        <v>-1.2564058097794262E-2</v>
      </c>
      <c r="AA192" s="10">
        <f t="shared" si="22"/>
        <v>-2.4418805483752526E-2</v>
      </c>
      <c r="AB192" s="10">
        <f t="shared" si="22"/>
        <v>-3.6779893071151482E-2</v>
      </c>
      <c r="AC192" s="10">
        <f t="shared" si="22"/>
        <v>-4.9743386959383851E-2</v>
      </c>
      <c r="AD192" s="10">
        <f t="shared" si="22"/>
        <v>-6.2812216665465992E-2</v>
      </c>
      <c r="AE192" s="10">
        <f t="shared" si="22"/>
        <v>-7.5617502674705128E-2</v>
      </c>
      <c r="AF192" s="10">
        <f t="shared" si="22"/>
        <v>-8.7808917846108892E-2</v>
      </c>
      <c r="AG192" s="10">
        <f t="shared" si="22"/>
        <v>-9.9090187249143091E-2</v>
      </c>
      <c r="AH192" s="10">
        <f t="shared" si="22"/>
        <v>-0.10931425770090708</v>
      </c>
      <c r="AI192" s="10">
        <f t="shared" si="22"/>
        <v>-0.11830010639826405</v>
      </c>
      <c r="AJ192" s="10">
        <f t="shared" si="22"/>
        <v>-0.12591643147343246</v>
      </c>
      <c r="AK192" s="10">
        <f t="shared" si="22"/>
        <v>-0.13209787899155434</v>
      </c>
      <c r="AL192" s="10">
        <f t="shared" si="22"/>
        <v>-0.13684722258618975</v>
      </c>
    </row>
    <row r="193" spans="1:38" x14ac:dyDescent="0.35">
      <c r="B193" t="s">
        <v>36</v>
      </c>
      <c r="C193" s="10">
        <f>C184/C140/(C174/C129)-1</f>
        <v>-1.7966583776285461E-10</v>
      </c>
      <c r="D193" s="10">
        <f t="shared" ref="D193:AL193" si="23">D184/D140/(D174/D129)-1</f>
        <v>-1.4486778443512094E-10</v>
      </c>
      <c r="E193" s="10">
        <f t="shared" si="23"/>
        <v>-1.0178957676743039E-10</v>
      </c>
      <c r="F193" s="10">
        <f t="shared" si="23"/>
        <v>-6.022815579598273E-11</v>
      </c>
      <c r="G193" s="10">
        <f t="shared" si="23"/>
        <v>-1.7246337691290137E-10</v>
      </c>
      <c r="H193" s="10">
        <f t="shared" si="23"/>
        <v>2.7516100509217267E-10</v>
      </c>
      <c r="I193" s="10">
        <f t="shared" si="23"/>
        <v>1.469993341083331E-4</v>
      </c>
      <c r="J193" s="10">
        <f t="shared" si="23"/>
        <v>-7.273384434020036E-4</v>
      </c>
      <c r="K193" s="10">
        <f t="shared" si="23"/>
        <v>-3.1827403712449964E-3</v>
      </c>
      <c r="L193" s="10">
        <f t="shared" si="23"/>
        <v>-1.050903440158546E-2</v>
      </c>
      <c r="M193" s="10">
        <f t="shared" si="23"/>
        <v>-1.9010315680894729E-2</v>
      </c>
      <c r="N193" s="10">
        <f t="shared" si="23"/>
        <v>-2.013575314588556E-2</v>
      </c>
      <c r="O193" s="10">
        <f t="shared" si="23"/>
        <v>-1.8064516527462882E-2</v>
      </c>
      <c r="P193" s="10">
        <f t="shared" si="23"/>
        <v>-1.5234762943480695E-2</v>
      </c>
      <c r="Q193" s="10">
        <f t="shared" si="23"/>
        <v>-1.283372157381335E-2</v>
      </c>
      <c r="R193" s="10">
        <f t="shared" si="23"/>
        <v>-1.1117542725600171E-2</v>
      </c>
      <c r="S193" s="10">
        <f t="shared" si="23"/>
        <v>-9.5481037112843392E-3</v>
      </c>
      <c r="T193" s="10">
        <f t="shared" si="23"/>
        <v>-8.012299742729212E-3</v>
      </c>
      <c r="U193" s="10">
        <f t="shared" si="23"/>
        <v>-6.1965169799813591E-3</v>
      </c>
      <c r="V193" s="10">
        <f t="shared" si="23"/>
        <v>-3.897955088342675E-3</v>
      </c>
      <c r="W193" s="10">
        <f t="shared" si="23"/>
        <v>-1.2236175121387305E-3</v>
      </c>
      <c r="X193" s="10">
        <f t="shared" si="23"/>
        <v>2.1322175116658126E-3</v>
      </c>
      <c r="Y193" s="10">
        <f t="shared" si="23"/>
        <v>5.5298577842577412E-3</v>
      </c>
      <c r="Z193" s="10">
        <f t="shared" si="23"/>
        <v>8.6415317771761924E-3</v>
      </c>
      <c r="AA193" s="10">
        <f t="shared" si="23"/>
        <v>1.1382589020381806E-2</v>
      </c>
      <c r="AB193" s="10">
        <f t="shared" si="23"/>
        <v>1.3830758537507037E-2</v>
      </c>
      <c r="AC193" s="10">
        <f t="shared" si="23"/>
        <v>1.5485458109441907E-2</v>
      </c>
      <c r="AD193" s="10">
        <f t="shared" si="23"/>
        <v>1.6585549870935967E-2</v>
      </c>
      <c r="AE193" s="10">
        <f t="shared" si="23"/>
        <v>1.7465767002007526E-2</v>
      </c>
      <c r="AF193" s="10">
        <f t="shared" si="23"/>
        <v>1.8441825463872519E-2</v>
      </c>
      <c r="AG193" s="10">
        <f t="shared" si="23"/>
        <v>1.9727656363812685E-2</v>
      </c>
      <c r="AH193" s="10">
        <f t="shared" si="23"/>
        <v>2.1550645307762073E-2</v>
      </c>
      <c r="AI193" s="10">
        <f t="shared" si="23"/>
        <v>2.3715654258816166E-2</v>
      </c>
      <c r="AJ193" s="10">
        <f t="shared" si="23"/>
        <v>2.6065785461071744E-2</v>
      </c>
      <c r="AK193" s="10">
        <f t="shared" si="23"/>
        <v>2.8496993977443541E-2</v>
      </c>
      <c r="AL193" s="10">
        <f t="shared" si="23"/>
        <v>3.0935212456847827E-2</v>
      </c>
    </row>
    <row r="195" spans="1:38" x14ac:dyDescent="0.35">
      <c r="A195" t="s">
        <v>29</v>
      </c>
      <c r="B195" t="s">
        <v>30</v>
      </c>
      <c r="C195" s="5">
        <f>[1]Results!F1434</f>
        <v>27371.429380000001</v>
      </c>
      <c r="D195" s="5">
        <f>[1]Results!G1434</f>
        <v>27499.163789999999</v>
      </c>
      <c r="E195" s="5">
        <f>[1]Results!H1434</f>
        <v>27700.070100000001</v>
      </c>
      <c r="F195" s="5">
        <f>[1]Results!I1434</f>
        <v>27964.675920000001</v>
      </c>
      <c r="G195" s="5">
        <f>[1]Results!J1434</f>
        <v>28275.649000000001</v>
      </c>
      <c r="H195" s="5">
        <f>[1]Results!K1434</f>
        <v>28621.574720000001</v>
      </c>
      <c r="I195" s="5">
        <f>[1]Results!L1434</f>
        <v>28993.74538</v>
      </c>
      <c r="J195" s="5">
        <f>[1]Results!M1434</f>
        <v>29341.258740000001</v>
      </c>
      <c r="K195" s="5">
        <f>[1]Results!N1434</f>
        <v>29674.53341</v>
      </c>
      <c r="L195" s="5">
        <f>[1]Results!O1434</f>
        <v>30062.515070000001</v>
      </c>
      <c r="M195" s="5">
        <f>[1]Results!P1434</f>
        <v>30484.553650000002</v>
      </c>
      <c r="N195" s="5">
        <f>[1]Results!Q1434</f>
        <v>30853.419880000001</v>
      </c>
      <c r="O195" s="5">
        <f>[1]Results!R1434</f>
        <v>31135.467720000001</v>
      </c>
      <c r="P195" s="5">
        <f>[1]Results!S1434</f>
        <v>31329.591</v>
      </c>
      <c r="Q195" s="5">
        <f>[1]Results!T1434</f>
        <v>31453.716410000001</v>
      </c>
      <c r="R195" s="5">
        <f>[1]Results!U1434</f>
        <v>31530.132979999998</v>
      </c>
      <c r="S195" s="5">
        <f>[1]Results!V1434</f>
        <v>31577.29982</v>
      </c>
      <c r="T195" s="5">
        <f>[1]Results!W1434</f>
        <v>31613.978319999998</v>
      </c>
      <c r="U195" s="5">
        <f>[1]Results!X1434</f>
        <v>31655.973440000002</v>
      </c>
      <c r="V195" s="5">
        <f>[1]Results!Y1434</f>
        <v>31714.611120000001</v>
      </c>
      <c r="W195" s="5">
        <f>[1]Results!Z1434</f>
        <v>31795.73717</v>
      </c>
      <c r="X195" s="5">
        <f>[1]Results!AA1434</f>
        <v>31903.759689999999</v>
      </c>
      <c r="Y195" s="5">
        <f>[1]Results!AB1434</f>
        <v>32043.98343</v>
      </c>
      <c r="Z195" s="5">
        <f>[1]Results!AC1434</f>
        <v>32220.57475</v>
      </c>
      <c r="AA195" s="5">
        <f>[1]Results!AD1434</f>
        <v>32435.237570000001</v>
      </c>
      <c r="AB195" s="5">
        <f>[1]Results!AE1434</f>
        <v>32682.88983</v>
      </c>
      <c r="AC195" s="5">
        <f>[1]Results!AF1434</f>
        <v>32946.582349999997</v>
      </c>
      <c r="AD195" s="5">
        <f>[1]Results!AG1434</f>
        <v>33224.492209999997</v>
      </c>
      <c r="AE195" s="5">
        <f>[1]Results!AH1434</f>
        <v>33520.170440000002</v>
      </c>
      <c r="AF195" s="5">
        <f>[1]Results!AI1434</f>
        <v>33834.594420000001</v>
      </c>
      <c r="AG195" s="5">
        <f>[1]Results!AJ1434</f>
        <v>34164.386890000002</v>
      </c>
      <c r="AH195" s="5">
        <f>[1]Results!AK1434</f>
        <v>34502.462350000002</v>
      </c>
      <c r="AI195" s="5">
        <f>[1]Results!AL1434</f>
        <v>34842.220659999999</v>
      </c>
      <c r="AJ195" s="5">
        <f>[1]Results!AM1434</f>
        <v>35177.323129999997</v>
      </c>
      <c r="AK195" s="5">
        <f>[1]Results!AN1434</f>
        <v>35501.612809999999</v>
      </c>
      <c r="AL195" s="5">
        <f>[1]Results!AO1434</f>
        <v>35809.176270000004</v>
      </c>
    </row>
    <row r="196" spans="1:38" x14ac:dyDescent="0.35">
      <c r="A196" t="s">
        <v>41</v>
      </c>
      <c r="B196" t="s">
        <v>7</v>
      </c>
      <c r="C196" s="5">
        <f>[1]Results!F1435</f>
        <v>760.72189260000005</v>
      </c>
      <c r="D196" s="5">
        <f>[1]Results!G1435</f>
        <v>763.81120869999995</v>
      </c>
      <c r="E196" s="5">
        <f>[1]Results!H1435</f>
        <v>769.02654610000002</v>
      </c>
      <c r="F196" s="5">
        <f>[1]Results!I1435</f>
        <v>776.53137530000004</v>
      </c>
      <c r="G196" s="5">
        <f>[1]Results!J1435</f>
        <v>785.98606299999994</v>
      </c>
      <c r="H196" s="5">
        <f>[1]Results!K1435</f>
        <v>797.07750160000001</v>
      </c>
      <c r="I196" s="5">
        <f>[1]Results!L1435</f>
        <v>809.44665120000002</v>
      </c>
      <c r="J196" s="5">
        <f>[1]Results!M1435</f>
        <v>820.72473490000004</v>
      </c>
      <c r="K196" s="5">
        <f>[1]Results!N1435</f>
        <v>831.40468109999995</v>
      </c>
      <c r="L196" s="5">
        <f>[1]Results!O1435</f>
        <v>844.10551969999995</v>
      </c>
      <c r="M196" s="5">
        <f>[1]Results!P1435</f>
        <v>857.83014579999997</v>
      </c>
      <c r="N196" s="5">
        <f>[1]Results!Q1435</f>
        <v>869.17969249999999</v>
      </c>
      <c r="O196" s="5">
        <f>[1]Results!R1435</f>
        <v>877.04745930000001</v>
      </c>
      <c r="P196" s="5">
        <f>[1]Results!S1435</f>
        <v>881.59400640000001</v>
      </c>
      <c r="Q196" s="5">
        <f>[1]Results!T1435</f>
        <v>883.63246249999997</v>
      </c>
      <c r="R196" s="5">
        <f>[1]Results!U1435</f>
        <v>884.05384570000001</v>
      </c>
      <c r="S196" s="5">
        <f>[1]Results!V1435</f>
        <v>883.71443829999998</v>
      </c>
      <c r="T196" s="5">
        <f>[1]Results!W1435</f>
        <v>883.22203779999995</v>
      </c>
      <c r="U196" s="5">
        <f>[1]Results!X1435</f>
        <v>883.06515430000002</v>
      </c>
      <c r="V196" s="5">
        <f>[1]Results!Y1435</f>
        <v>883.56178629999999</v>
      </c>
      <c r="W196" s="5">
        <f>[1]Results!Z1435</f>
        <v>884.89194999999995</v>
      </c>
      <c r="X196" s="5">
        <f>[1]Results!AA1435</f>
        <v>887.18715250000002</v>
      </c>
      <c r="Y196" s="5">
        <f>[1]Results!AB1435</f>
        <v>890.64546170000006</v>
      </c>
      <c r="Z196" s="5">
        <f>[1]Results!AC1435</f>
        <v>895.41851180000003</v>
      </c>
      <c r="AA196" s="5">
        <f>[1]Results!AD1435</f>
        <v>901.55026640000006</v>
      </c>
      <c r="AB196" s="5">
        <f>[1]Results!AE1435</f>
        <v>908.81215829999996</v>
      </c>
      <c r="AC196" s="5">
        <f>[1]Results!AF1435</f>
        <v>916.59076489999995</v>
      </c>
      <c r="AD196" s="5">
        <f>[1]Results!AG1435</f>
        <v>924.97301449999998</v>
      </c>
      <c r="AE196" s="5">
        <f>[1]Results!AH1435</f>
        <v>934.13960280000003</v>
      </c>
      <c r="AF196" s="5">
        <f>[1]Results!AI1435</f>
        <v>944.11074050000002</v>
      </c>
      <c r="AG196" s="5">
        <f>[1]Results!AJ1435</f>
        <v>954.72596180000005</v>
      </c>
      <c r="AH196" s="5">
        <f>[1]Results!AK1435</f>
        <v>965.68667930000004</v>
      </c>
      <c r="AI196" s="5">
        <f>[1]Results!AL1435</f>
        <v>976.73680679999995</v>
      </c>
      <c r="AJ196" s="5">
        <f>[1]Results!AM1435</f>
        <v>987.64260019999995</v>
      </c>
      <c r="AK196" s="5">
        <f>[1]Results!AN1435</f>
        <v>998.182681</v>
      </c>
      <c r="AL196" s="5">
        <f>[1]Results!AO1435</f>
        <v>1008.147766</v>
      </c>
    </row>
    <row r="197" spans="1:38" x14ac:dyDescent="0.35">
      <c r="B197" t="s">
        <v>8</v>
      </c>
      <c r="C197" s="5">
        <f>[1]Results!F1438</f>
        <v>4367.8907149999995</v>
      </c>
      <c r="D197" s="5">
        <f>[1]Results!G1438</f>
        <v>4397.2788719999999</v>
      </c>
      <c r="E197" s="5">
        <f>[1]Results!H1438</f>
        <v>4443.7585879999997</v>
      </c>
      <c r="F197" s="5">
        <f>[1]Results!I1438</f>
        <v>4503.4872400000004</v>
      </c>
      <c r="G197" s="5">
        <f>[1]Results!J1438</f>
        <v>4572.0999439999996</v>
      </c>
      <c r="H197" s="5">
        <f>[1]Results!K1438</f>
        <v>4647.1052870000003</v>
      </c>
      <c r="I197" s="5">
        <f>[1]Results!L1438</f>
        <v>4727.0539980000003</v>
      </c>
      <c r="J197" s="5">
        <f>[1]Results!M1438</f>
        <v>4800.1202670000002</v>
      </c>
      <c r="K197" s="5">
        <f>[1]Results!N1438</f>
        <v>4870.2453059999998</v>
      </c>
      <c r="L197" s="5">
        <f>[1]Results!O1438</f>
        <v>4953.9803810000003</v>
      </c>
      <c r="M197" s="5">
        <f>[1]Results!P1438</f>
        <v>5045.2039759999998</v>
      </c>
      <c r="N197" s="5">
        <f>[1]Results!Q1438</f>
        <v>5125.4689669999998</v>
      </c>
      <c r="O197" s="5">
        <f>[1]Results!R1438</f>
        <v>5188.3898929999996</v>
      </c>
      <c r="P197" s="5">
        <f>[1]Results!S1438</f>
        <v>5234.6961300000003</v>
      </c>
      <c r="Q197" s="5">
        <f>[1]Results!T1438</f>
        <v>5269.0560910000004</v>
      </c>
      <c r="R197" s="5">
        <f>[1]Results!U1438</f>
        <v>5296.5378899999996</v>
      </c>
      <c r="S197" s="5">
        <f>[1]Results!V1438</f>
        <v>5320.7852059999996</v>
      </c>
      <c r="T197" s="5">
        <f>[1]Results!W1438</f>
        <v>5345.383057</v>
      </c>
      <c r="U197" s="5">
        <f>[1]Results!X1438</f>
        <v>5373.2469760000004</v>
      </c>
      <c r="V197" s="5">
        <f>[1]Results!Y1438</f>
        <v>5406.3392800000001</v>
      </c>
      <c r="W197" s="5">
        <f>[1]Results!Z1438</f>
        <v>5445.8547719999997</v>
      </c>
      <c r="X197" s="5">
        <f>[1]Results!AA1438</f>
        <v>5492.5676649999996</v>
      </c>
      <c r="Y197" s="5">
        <f>[1]Results!AB1438</f>
        <v>5547.569364</v>
      </c>
      <c r="Z197" s="5">
        <f>[1]Results!AC1438</f>
        <v>5611.7675300000001</v>
      </c>
      <c r="AA197" s="5">
        <f>[1]Results!AD1438</f>
        <v>5685.5657869999995</v>
      </c>
      <c r="AB197" s="5">
        <f>[1]Results!AE1438</f>
        <v>5768.4129030000004</v>
      </c>
      <c r="AC197" s="5">
        <f>[1]Results!AF1438</f>
        <v>5856.5774510000001</v>
      </c>
      <c r="AD197" s="5">
        <f>[1]Results!AG1438</f>
        <v>5948.699251</v>
      </c>
      <c r="AE197" s="5">
        <f>[1]Results!AH1438</f>
        <v>6044.8541999999998</v>
      </c>
      <c r="AF197" s="5">
        <f>[1]Results!AI1438</f>
        <v>6144.9295199999997</v>
      </c>
      <c r="AG197" s="5">
        <f>[1]Results!AJ1438</f>
        <v>6248.0924649999997</v>
      </c>
      <c r="AH197" s="5">
        <f>[1]Results!AK1438</f>
        <v>6352.8850430000002</v>
      </c>
      <c r="AI197" s="5">
        <f>[1]Results!AL1438</f>
        <v>6457.9462999999996</v>
      </c>
      <c r="AJ197" s="5">
        <f>[1]Results!AM1438</f>
        <v>6561.9470940000001</v>
      </c>
      <c r="AK197" s="5">
        <f>[1]Results!AN1438</f>
        <v>6663.558626</v>
      </c>
      <c r="AL197" s="5">
        <f>[1]Results!AO1438</f>
        <v>6761.4568810000001</v>
      </c>
    </row>
    <row r="198" spans="1:38" x14ac:dyDescent="0.35">
      <c r="B198" t="s">
        <v>31</v>
      </c>
      <c r="C198" s="5">
        <f>[1]Results!F1450</f>
        <v>868.15907019999997</v>
      </c>
      <c r="D198" s="5">
        <f>[1]Results!G1450</f>
        <v>872.48399389999997</v>
      </c>
      <c r="E198" s="5">
        <f>[1]Results!H1450</f>
        <v>879.13084079999999</v>
      </c>
      <c r="F198" s="5">
        <f>[1]Results!I1450</f>
        <v>887.51311720000001</v>
      </c>
      <c r="G198" s="5">
        <f>[1]Results!J1450</f>
        <v>897.23500750000005</v>
      </c>
      <c r="H198" s="5">
        <f>[1]Results!K1450</f>
        <v>908.03434010000001</v>
      </c>
      <c r="I198" s="5">
        <f>[1]Results!L1450</f>
        <v>919.58581930000003</v>
      </c>
      <c r="J198" s="5">
        <f>[1]Results!M1450</f>
        <v>929.09488439999996</v>
      </c>
      <c r="K198" s="5">
        <f>[1]Results!N1450</f>
        <v>936.95018800000003</v>
      </c>
      <c r="L198" s="5">
        <f>[1]Results!O1450</f>
        <v>945.81627430000003</v>
      </c>
      <c r="M198" s="5">
        <f>[1]Results!P1450</f>
        <v>954.06827190000001</v>
      </c>
      <c r="N198" s="5">
        <f>[1]Results!Q1450</f>
        <v>959.36581169999999</v>
      </c>
      <c r="O198" s="5">
        <f>[1]Results!R1450</f>
        <v>961.31242359999999</v>
      </c>
      <c r="P198" s="5">
        <f>[1]Results!S1450</f>
        <v>960.42382280000004</v>
      </c>
      <c r="Q198" s="5">
        <f>[1]Results!T1450</f>
        <v>957.65129899999999</v>
      </c>
      <c r="R198" s="5">
        <f>[1]Results!U1450</f>
        <v>953.86801690000004</v>
      </c>
      <c r="S198" s="5">
        <f>[1]Results!V1450</f>
        <v>949.63417140000001</v>
      </c>
      <c r="T198" s="5">
        <f>[1]Results!W1450</f>
        <v>945.43411289999995</v>
      </c>
      <c r="U198" s="5">
        <f>[1]Results!X1450</f>
        <v>941.69941700000004</v>
      </c>
      <c r="V198" s="5">
        <f>[1]Results!Y1450</f>
        <v>938.79393540000001</v>
      </c>
      <c r="W198" s="5">
        <f>[1]Results!Z1450</f>
        <v>936.89185680000003</v>
      </c>
      <c r="X198" s="5">
        <f>[1]Results!AA1450</f>
        <v>936.2349567</v>
      </c>
      <c r="Y198" s="5">
        <f>[1]Results!AB1450</f>
        <v>937.01819990000001</v>
      </c>
      <c r="Z198" s="5">
        <f>[1]Results!AC1450</f>
        <v>939.33894090000001</v>
      </c>
      <c r="AA198" s="5">
        <f>[1]Results!AD1450</f>
        <v>943.17927269999996</v>
      </c>
      <c r="AB198" s="5">
        <f>[1]Results!AE1450</f>
        <v>948.32997120000005</v>
      </c>
      <c r="AC198" s="5">
        <f>[1]Results!AF1450</f>
        <v>954.56847089999997</v>
      </c>
      <c r="AD198" s="5">
        <f>[1]Results!AG1450</f>
        <v>961.88607790000003</v>
      </c>
      <c r="AE198" s="5">
        <f>[1]Results!AH1450</f>
        <v>970.31740100000002</v>
      </c>
      <c r="AF198" s="5">
        <f>[1]Results!AI1450</f>
        <v>979.76481039999999</v>
      </c>
      <c r="AG198" s="5">
        <f>[1]Results!AJ1450</f>
        <v>989.99008330000004</v>
      </c>
      <c r="AH198" s="5">
        <f>[1]Results!AK1450</f>
        <v>1000.716776</v>
      </c>
      <c r="AI198" s="5">
        <f>[1]Results!AL1450</f>
        <v>1011.68756</v>
      </c>
      <c r="AJ198" s="5">
        <f>[1]Results!AM1450</f>
        <v>1022.654983</v>
      </c>
      <c r="AK198" s="5">
        <f>[1]Results!AN1450</f>
        <v>1033.379633</v>
      </c>
      <c r="AL198" s="5">
        <f>[1]Results!AO1450</f>
        <v>1043.632582</v>
      </c>
    </row>
    <row r="199" spans="1:38" x14ac:dyDescent="0.35">
      <c r="B199" t="s">
        <v>10</v>
      </c>
      <c r="C199" s="5">
        <f>[1]Results!F1455</f>
        <v>21269.633740000001</v>
      </c>
      <c r="D199" s="5">
        <f>[1]Results!G1455</f>
        <v>21360.257140000002</v>
      </c>
      <c r="E199" s="5">
        <f>[1]Results!H1455</f>
        <v>21502.48818</v>
      </c>
      <c r="F199" s="5">
        <f>[1]Results!I1455</f>
        <v>21691.07015</v>
      </c>
      <c r="G199" s="5">
        <f>[1]Results!J1455</f>
        <v>21913.85266</v>
      </c>
      <c r="H199" s="5">
        <f>[1]Results!K1455</f>
        <v>22162.459019999998</v>
      </c>
      <c r="I199" s="5">
        <f>[1]Results!L1455</f>
        <v>22428.868299999998</v>
      </c>
      <c r="J199" s="5">
        <f>[1]Results!M1455</f>
        <v>22679.37156</v>
      </c>
      <c r="K199" s="5">
        <f>[1]Results!N1455</f>
        <v>22919.783380000001</v>
      </c>
      <c r="L199" s="5">
        <f>[1]Results!O1455</f>
        <v>23197.182250000002</v>
      </c>
      <c r="M199" s="5">
        <f>[1]Results!P1455</f>
        <v>23499.958289999999</v>
      </c>
      <c r="N199" s="5">
        <f>[1]Results!Q1455</f>
        <v>23766.700529999998</v>
      </c>
      <c r="O199" s="5">
        <f>[1]Results!R1455</f>
        <v>23972.007420000002</v>
      </c>
      <c r="P199" s="5">
        <f>[1]Results!S1455</f>
        <v>24112.98632</v>
      </c>
      <c r="Q199" s="5">
        <f>[1]Results!T1455</f>
        <v>24200.676159999999</v>
      </c>
      <c r="R199" s="5">
        <f>[1]Results!U1455</f>
        <v>24250.188989999999</v>
      </c>
      <c r="S199" s="5">
        <f>[1]Results!V1455</f>
        <v>24274.597290000002</v>
      </c>
      <c r="T199" s="5">
        <f>[1]Results!W1455</f>
        <v>24287.87415</v>
      </c>
      <c r="U199" s="5">
        <f>[1]Results!X1455</f>
        <v>24301.771479999999</v>
      </c>
      <c r="V199" s="5">
        <f>[1]Results!Y1455</f>
        <v>24324.583460000002</v>
      </c>
      <c r="W199" s="5">
        <f>[1]Results!Z1455</f>
        <v>24360.71112</v>
      </c>
      <c r="X199" s="5">
        <f>[1]Results!AA1455</f>
        <v>24413.43633</v>
      </c>
      <c r="Y199" s="5">
        <f>[1]Results!AB1455</f>
        <v>24486.4895</v>
      </c>
      <c r="Z199" s="5">
        <f>[1]Results!AC1455</f>
        <v>24582.749169999999</v>
      </c>
      <c r="AA199" s="5">
        <f>[1]Results!AD1455</f>
        <v>24703.355090000001</v>
      </c>
      <c r="AB199" s="5">
        <f>[1]Results!AE1455</f>
        <v>24844.12199</v>
      </c>
      <c r="AC199" s="5">
        <f>[1]Results!AF1455</f>
        <v>24997.850200000001</v>
      </c>
      <c r="AD199" s="5">
        <f>[1]Results!AG1455</f>
        <v>25163.409530000001</v>
      </c>
      <c r="AE199" s="5">
        <f>[1]Results!AH1455</f>
        <v>25342.428749999999</v>
      </c>
      <c r="AF199" s="5">
        <f>[1]Results!AI1455</f>
        <v>25534.955839999999</v>
      </c>
      <c r="AG199" s="5">
        <f>[1]Results!AJ1455</f>
        <v>25738.34042</v>
      </c>
      <c r="AH199" s="5">
        <f>[1]Results!AK1455</f>
        <v>25947.423790000001</v>
      </c>
      <c r="AI199" s="5">
        <f>[1]Results!AL1455</f>
        <v>26157.52448</v>
      </c>
      <c r="AJ199" s="5">
        <f>[1]Results!AM1455</f>
        <v>26364.21574</v>
      </c>
      <c r="AK199" s="5">
        <f>[1]Results!AN1455</f>
        <v>26563.242399999999</v>
      </c>
      <c r="AL199" s="5">
        <f>[1]Results!AO1455</f>
        <v>26750.553209999998</v>
      </c>
    </row>
    <row r="200" spans="1:38" x14ac:dyDescent="0.35">
      <c r="B200" t="s">
        <v>32</v>
      </c>
      <c r="C200" s="5">
        <f>C205-C201</f>
        <v>10.572496988299999</v>
      </c>
      <c r="D200" s="5">
        <f t="shared" ref="D200:AL200" si="24">D205-D201</f>
        <v>10.560467324299999</v>
      </c>
      <c r="E200" s="5">
        <f t="shared" si="24"/>
        <v>10.545468801199998</v>
      </c>
      <c r="F200" s="5">
        <f t="shared" si="24"/>
        <v>10.5331987179</v>
      </c>
      <c r="G200" s="5">
        <f t="shared" si="24"/>
        <v>10.542518162</v>
      </c>
      <c r="H200" s="5">
        <f t="shared" si="24"/>
        <v>10.579236313600003</v>
      </c>
      <c r="I200" s="5">
        <f t="shared" si="24"/>
        <v>10.663039270899999</v>
      </c>
      <c r="J200" s="5">
        <f t="shared" si="24"/>
        <v>10.7437173422</v>
      </c>
      <c r="K200" s="5">
        <f t="shared" si="24"/>
        <v>10.803033337900001</v>
      </c>
      <c r="L200" s="5">
        <f t="shared" si="24"/>
        <v>10.8567731851</v>
      </c>
      <c r="M200" s="5">
        <f t="shared" si="24"/>
        <v>10.864950915400001</v>
      </c>
      <c r="N200" s="5">
        <f t="shared" si="24"/>
        <v>10.826524959500002</v>
      </c>
      <c r="O200" s="5">
        <f t="shared" si="24"/>
        <v>10.757187743600003</v>
      </c>
      <c r="P200" s="5">
        <f t="shared" si="24"/>
        <v>10.671245530099998</v>
      </c>
      <c r="Q200" s="5">
        <f t="shared" si="24"/>
        <v>10.580087713999999</v>
      </c>
      <c r="R200" s="5">
        <f t="shared" si="24"/>
        <v>10.490631717000001</v>
      </c>
      <c r="S200" s="5">
        <f t="shared" si="24"/>
        <v>10.358485589000001</v>
      </c>
      <c r="T200" s="5">
        <f t="shared" si="24"/>
        <v>10.204468592999998</v>
      </c>
      <c r="U200" s="5">
        <f t="shared" si="24"/>
        <v>10.026608682000001</v>
      </c>
      <c r="V200" s="5">
        <f t="shared" si="24"/>
        <v>9.8003769119999973</v>
      </c>
      <c r="W200" s="5">
        <f t="shared" si="24"/>
        <v>9.5524737119999994</v>
      </c>
      <c r="X200" s="5">
        <f t="shared" si="24"/>
        <v>9.2980126419999998</v>
      </c>
      <c r="Y200" s="5">
        <f t="shared" si="24"/>
        <v>9.0458135589999991</v>
      </c>
      <c r="Z200" s="5">
        <f t="shared" si="24"/>
        <v>8.8014208010000008</v>
      </c>
      <c r="AA200" s="5">
        <f t="shared" si="24"/>
        <v>8.5684272579999998</v>
      </c>
      <c r="AB200" s="5">
        <f t="shared" si="24"/>
        <v>8.3488681420000042</v>
      </c>
      <c r="AC200" s="5">
        <f t="shared" si="24"/>
        <v>8.1318225539999958</v>
      </c>
      <c r="AD200" s="5">
        <f t="shared" si="24"/>
        <v>7.9216758869999992</v>
      </c>
      <c r="AE200" s="5">
        <f t="shared" si="24"/>
        <v>7.7254819020000021</v>
      </c>
      <c r="AF200" s="5">
        <f t="shared" si="24"/>
        <v>7.5470439339999977</v>
      </c>
      <c r="AG200" s="5">
        <f t="shared" si="24"/>
        <v>7.3869889579999963</v>
      </c>
      <c r="AH200" s="5">
        <f t="shared" si="24"/>
        <v>7.2448365480000092</v>
      </c>
      <c r="AI200" s="5">
        <f t="shared" si="24"/>
        <v>7.1194292340000018</v>
      </c>
      <c r="AJ200" s="5">
        <f t="shared" si="24"/>
        <v>7.0093060989999998</v>
      </c>
      <c r="AK200" s="5">
        <f t="shared" si="24"/>
        <v>6.9128825579999997</v>
      </c>
      <c r="AL200" s="5">
        <f t="shared" si="24"/>
        <v>6.8285477879999945</v>
      </c>
    </row>
    <row r="201" spans="1:38" x14ac:dyDescent="0.35">
      <c r="B201" t="s">
        <v>39</v>
      </c>
      <c r="C201" s="5">
        <f>C203+C204</f>
        <v>7.3978800216999998</v>
      </c>
      <c r="D201" s="5">
        <f t="shared" ref="D201:AL201" si="25">D203+D204</f>
        <v>7.3712340557000005</v>
      </c>
      <c r="E201" s="5">
        <f t="shared" si="25"/>
        <v>7.3302859488000003</v>
      </c>
      <c r="F201" s="5">
        <f t="shared" si="25"/>
        <v>7.2878581420999993</v>
      </c>
      <c r="G201" s="5">
        <f t="shared" si="25"/>
        <v>7.2603487279999994</v>
      </c>
      <c r="H201" s="5">
        <f t="shared" si="25"/>
        <v>7.2535701163999997</v>
      </c>
      <c r="I201" s="5">
        <f t="shared" si="25"/>
        <v>7.2718762690999998</v>
      </c>
      <c r="J201" s="5">
        <f t="shared" si="25"/>
        <v>7.2890071177999998</v>
      </c>
      <c r="K201" s="5">
        <f t="shared" si="25"/>
        <v>7.2933808921000001</v>
      </c>
      <c r="L201" s="5">
        <f t="shared" si="25"/>
        <v>7.2866771048999999</v>
      </c>
      <c r="M201" s="5">
        <f t="shared" si="25"/>
        <v>7.2867751346</v>
      </c>
      <c r="N201" s="5">
        <f t="shared" si="25"/>
        <v>7.2905174705000002</v>
      </c>
      <c r="O201" s="5">
        <f t="shared" si="25"/>
        <v>7.2970393063999994</v>
      </c>
      <c r="P201" s="5">
        <f t="shared" si="25"/>
        <v>7.3055978598999998</v>
      </c>
      <c r="Q201" s="5">
        <f t="shared" si="25"/>
        <v>7.3156702659999997</v>
      </c>
      <c r="R201" s="5">
        <f t="shared" si="25"/>
        <v>7.3266345929999996</v>
      </c>
      <c r="S201" s="5">
        <f t="shared" si="25"/>
        <v>7.3905825810000003</v>
      </c>
      <c r="T201" s="5">
        <f t="shared" si="25"/>
        <v>7.4900873170000004</v>
      </c>
      <c r="U201" s="5">
        <f t="shared" si="25"/>
        <v>7.7884496280000004</v>
      </c>
      <c r="V201" s="5">
        <f t="shared" si="25"/>
        <v>8.660771908000001</v>
      </c>
      <c r="W201" s="5">
        <f t="shared" si="25"/>
        <v>9.9279869180000002</v>
      </c>
      <c r="X201" s="5">
        <f t="shared" si="25"/>
        <v>11.505395098000001</v>
      </c>
      <c r="Y201" s="5">
        <f t="shared" si="25"/>
        <v>13.343954511</v>
      </c>
      <c r="Z201" s="5">
        <f t="shared" si="25"/>
        <v>15.410779739000001</v>
      </c>
      <c r="AA201" s="5">
        <f t="shared" si="25"/>
        <v>17.680963391999999</v>
      </c>
      <c r="AB201" s="5">
        <f t="shared" si="25"/>
        <v>20.131862247999997</v>
      </c>
      <c r="AC201" s="5">
        <f t="shared" si="25"/>
        <v>22.714237846000003</v>
      </c>
      <c r="AD201" s="5">
        <f t="shared" si="25"/>
        <v>25.405551973000001</v>
      </c>
      <c r="AE201" s="5">
        <f t="shared" si="25"/>
        <v>28.191314578</v>
      </c>
      <c r="AF201" s="5">
        <f t="shared" si="25"/>
        <v>31.051174696</v>
      </c>
      <c r="AG201" s="5">
        <f t="shared" si="25"/>
        <v>33.955307932000004</v>
      </c>
      <c r="AH201" s="5">
        <f t="shared" si="25"/>
        <v>36.868585061999994</v>
      </c>
      <c r="AI201" s="5">
        <f t="shared" si="25"/>
        <v>39.751149435999999</v>
      </c>
      <c r="AJ201" s="5">
        <f t="shared" si="25"/>
        <v>42.561128750999998</v>
      </c>
      <c r="AK201" s="5">
        <f t="shared" si="25"/>
        <v>45.257521032</v>
      </c>
      <c r="AL201" s="5">
        <f t="shared" si="25"/>
        <v>47.802925262000002</v>
      </c>
    </row>
    <row r="202" spans="1:38" x14ac:dyDescent="0.35">
      <c r="B202" t="s">
        <v>11</v>
      </c>
      <c r="C202" s="5">
        <f>[1]Results!F1463</f>
        <v>87.053586490000001</v>
      </c>
      <c r="D202" s="5">
        <f>[1]Results!G1463</f>
        <v>87.400878340000006</v>
      </c>
      <c r="E202" s="5">
        <f>[1]Results!H1463</f>
        <v>87.790184679999996</v>
      </c>
      <c r="F202" s="5">
        <f>[1]Results!I1463</f>
        <v>88.252978540000001</v>
      </c>
      <c r="G202" s="5">
        <f>[1]Results!J1463</f>
        <v>88.672463989999997</v>
      </c>
      <c r="H202" s="5">
        <f>[1]Results!K1463</f>
        <v>89.065771119999994</v>
      </c>
      <c r="I202" s="5">
        <f>[1]Results!L1463</f>
        <v>90.855689440000006</v>
      </c>
      <c r="J202" s="5">
        <f>[1]Results!M1463</f>
        <v>93.914577719999997</v>
      </c>
      <c r="K202" s="5">
        <f>[1]Results!N1463</f>
        <v>98.053440890000005</v>
      </c>
      <c r="L202" s="5">
        <f>[1]Results!O1463</f>
        <v>103.28719340000001</v>
      </c>
      <c r="M202" s="5">
        <f>[1]Results!P1463</f>
        <v>109.34124079999999</v>
      </c>
      <c r="N202" s="5">
        <f>[1]Results!Q1463</f>
        <v>114.5878354</v>
      </c>
      <c r="O202" s="5">
        <f>[1]Results!R1463</f>
        <v>118.6562998</v>
      </c>
      <c r="P202" s="5">
        <f>[1]Results!S1463</f>
        <v>121.9138817</v>
      </c>
      <c r="Q202" s="5">
        <f>[1]Results!T1463</f>
        <v>124.80463260000001</v>
      </c>
      <c r="R202" s="5">
        <f>[1]Results!U1463</f>
        <v>127.66697449999999</v>
      </c>
      <c r="S202" s="5">
        <f>[1]Results!V1463</f>
        <v>130.8196485</v>
      </c>
      <c r="T202" s="5">
        <f>[1]Results!W1463</f>
        <v>134.37041099999999</v>
      </c>
      <c r="U202" s="5">
        <f>[1]Results!X1463</f>
        <v>138.37535310000001</v>
      </c>
      <c r="V202" s="5">
        <f>[1]Results!Y1463</f>
        <v>142.87150539999999</v>
      </c>
      <c r="W202" s="5">
        <f>[1]Results!Z1463</f>
        <v>147.90701039999999</v>
      </c>
      <c r="X202" s="5">
        <f>[1]Results!AA1463</f>
        <v>153.530182</v>
      </c>
      <c r="Y202" s="5">
        <f>[1]Results!AB1463</f>
        <v>159.87112970000001</v>
      </c>
      <c r="Z202" s="5">
        <f>[1]Results!AC1463</f>
        <v>167.08840079999999</v>
      </c>
      <c r="AA202" s="5">
        <f>[1]Results!AD1463</f>
        <v>175.3377648</v>
      </c>
      <c r="AB202" s="5">
        <f>[1]Results!AE1463</f>
        <v>184.73208539999999</v>
      </c>
      <c r="AC202" s="5">
        <f>[1]Results!AF1463</f>
        <v>190.1494036</v>
      </c>
      <c r="AD202" s="5">
        <f>[1]Results!AG1463</f>
        <v>192.19710939999999</v>
      </c>
      <c r="AE202" s="5">
        <f>[1]Results!AH1463</f>
        <v>192.51369099999999</v>
      </c>
      <c r="AF202" s="5">
        <f>[1]Results!AI1463</f>
        <v>192.23528899999999</v>
      </c>
      <c r="AG202" s="5">
        <f>[1]Results!AJ1463</f>
        <v>191.89565429999999</v>
      </c>
      <c r="AH202" s="5">
        <f>[1]Results!AK1463</f>
        <v>191.6366372</v>
      </c>
      <c r="AI202" s="5">
        <f>[1]Results!AL1463</f>
        <v>191.45493339999999</v>
      </c>
      <c r="AJ202" s="5">
        <f>[1]Results!AM1463</f>
        <v>191.29227800000001</v>
      </c>
      <c r="AK202" s="5">
        <f>[1]Results!AN1463</f>
        <v>191.07906929999999</v>
      </c>
      <c r="AL202" s="5">
        <f>[1]Results!AO1463</f>
        <v>190.75435100000001</v>
      </c>
    </row>
    <row r="203" spans="1:38" x14ac:dyDescent="0.35">
      <c r="B203" t="s">
        <v>38</v>
      </c>
      <c r="C203" s="5">
        <f>[1]Results!F1460</f>
        <v>6.6794205279999996</v>
      </c>
      <c r="D203" s="5">
        <f>[1]Results!G1460</f>
        <v>6.6546721570000003</v>
      </c>
      <c r="E203" s="5">
        <f>[1]Results!H1460</f>
        <v>6.615554704</v>
      </c>
      <c r="F203" s="5">
        <f>[1]Results!I1460</f>
        <v>6.5749877229999996</v>
      </c>
      <c r="G203" s="5">
        <f>[1]Results!J1460</f>
        <v>6.5474230469999997</v>
      </c>
      <c r="H203" s="5">
        <f>[1]Results!K1460</f>
        <v>6.5383142559999996</v>
      </c>
      <c r="I203" s="5">
        <f>[1]Results!L1460</f>
        <v>6.543345382</v>
      </c>
      <c r="J203" s="5">
        <f>[1]Results!M1460</f>
        <v>6.5435240209999996</v>
      </c>
      <c r="K203" s="5">
        <f>[1]Results!N1460</f>
        <v>6.5307007459999999</v>
      </c>
      <c r="L203" s="5">
        <f>[1]Results!O1460</f>
        <v>6.506497982</v>
      </c>
      <c r="M203" s="5">
        <f>[1]Results!P1460</f>
        <v>6.4636217120000001</v>
      </c>
      <c r="N203" s="5">
        <f>[1]Results!Q1460</f>
        <v>6.4164921069999998</v>
      </c>
      <c r="O203" s="5">
        <f>[1]Results!R1460</f>
        <v>6.3686896849999997</v>
      </c>
      <c r="P203" s="5">
        <f>[1]Results!S1460</f>
        <v>6.3209474549999998</v>
      </c>
      <c r="Q203" s="5">
        <f>[1]Results!T1460</f>
        <v>6.2731453659999996</v>
      </c>
      <c r="R203" s="5">
        <f>[1]Results!U1460</f>
        <v>6.2247386679999996</v>
      </c>
      <c r="S203" s="5">
        <f>[1]Results!V1460</f>
        <v>6.1717438800000002</v>
      </c>
      <c r="T203" s="5">
        <f>[1]Results!W1460</f>
        <v>6.1152030069999999</v>
      </c>
      <c r="U203" s="5">
        <f>[1]Results!X1460</f>
        <v>6.2298448840000002</v>
      </c>
      <c r="V203" s="5">
        <f>[1]Results!Y1460</f>
        <v>6.8997533310000003</v>
      </c>
      <c r="W203" s="5">
        <f>[1]Results!Z1460</f>
        <v>7.9532965280000001</v>
      </c>
      <c r="X203" s="5">
        <f>[1]Results!AA1460</f>
        <v>9.3122261850000001</v>
      </c>
      <c r="Y203" s="5">
        <f>[1]Results!AB1460</f>
        <v>10.933789190000001</v>
      </c>
      <c r="Z203" s="5">
        <f>[1]Results!AC1460</f>
        <v>12.79137592</v>
      </c>
      <c r="AA203" s="5">
        <f>[1]Results!AD1460</f>
        <v>14.866395949999999</v>
      </c>
      <c r="AB203" s="5">
        <f>[1]Results!AE1460</f>
        <v>17.142765539999999</v>
      </c>
      <c r="AC203" s="5">
        <f>[1]Results!AF1460</f>
        <v>19.603097680000001</v>
      </c>
      <c r="AD203" s="5">
        <f>[1]Results!AG1460</f>
        <v>22.229466590000001</v>
      </c>
      <c r="AE203" s="5">
        <f>[1]Results!AH1460</f>
        <v>25.00005135</v>
      </c>
      <c r="AF203" s="5">
        <f>[1]Results!AI1460</f>
        <v>27.88606562</v>
      </c>
      <c r="AG203" s="5">
        <f>[1]Results!AJ1460</f>
        <v>30.850722300000001</v>
      </c>
      <c r="AH203" s="5">
        <f>[1]Results!AK1460</f>
        <v>33.852709519999998</v>
      </c>
      <c r="AI203" s="5">
        <f>[1]Results!AL1460</f>
        <v>36.84640272</v>
      </c>
      <c r="AJ203" s="5">
        <f>[1]Results!AM1460</f>
        <v>39.78438276</v>
      </c>
      <c r="AK203" s="5">
        <f>[1]Results!AN1460</f>
        <v>42.620468129999999</v>
      </c>
      <c r="AL203" s="5">
        <f>[1]Results!AO1460</f>
        <v>45.312643610000002</v>
      </c>
    </row>
    <row r="204" spans="1:38" x14ac:dyDescent="0.35">
      <c r="B204" t="s">
        <v>37</v>
      </c>
      <c r="C204" s="5">
        <f>[1]Results!F1462</f>
        <v>0.71845949369999995</v>
      </c>
      <c r="D204" s="5">
        <f>[1]Results!G1462</f>
        <v>0.71656189869999998</v>
      </c>
      <c r="E204" s="5">
        <f>[1]Results!H1462</f>
        <v>0.71473124480000005</v>
      </c>
      <c r="F204" s="5">
        <f>[1]Results!I1462</f>
        <v>0.71287041910000004</v>
      </c>
      <c r="G204" s="5">
        <f>[1]Results!J1462</f>
        <v>0.71292568099999998</v>
      </c>
      <c r="H204" s="5">
        <f>[1]Results!K1462</f>
        <v>0.7152558604</v>
      </c>
      <c r="I204" s="5">
        <f>[1]Results!L1462</f>
        <v>0.72853088710000002</v>
      </c>
      <c r="J204" s="5">
        <f>[1]Results!M1462</f>
        <v>0.74548309680000002</v>
      </c>
      <c r="K204" s="5">
        <f>[1]Results!N1462</f>
        <v>0.76268014610000001</v>
      </c>
      <c r="L204" s="5">
        <f>[1]Results!O1462</f>
        <v>0.78017912290000002</v>
      </c>
      <c r="M204" s="5">
        <f>[1]Results!P1462</f>
        <v>0.82315342260000002</v>
      </c>
      <c r="N204" s="5">
        <f>[1]Results!Q1462</f>
        <v>0.87402536350000004</v>
      </c>
      <c r="O204" s="5">
        <f>[1]Results!R1462</f>
        <v>0.92834962139999999</v>
      </c>
      <c r="P204" s="5">
        <f>[1]Results!S1462</f>
        <v>0.9846504049</v>
      </c>
      <c r="Q204" s="5">
        <f>[1]Results!T1462</f>
        <v>1.0425249000000001</v>
      </c>
      <c r="R204" s="5">
        <f>[1]Results!U1462</f>
        <v>1.101895925</v>
      </c>
      <c r="S204" s="5">
        <f>[1]Results!V1462</f>
        <v>1.2188387009999999</v>
      </c>
      <c r="T204" s="5">
        <f>[1]Results!W1462</f>
        <v>1.3748843100000001</v>
      </c>
      <c r="U204" s="5">
        <f>[1]Results!X1462</f>
        <v>1.5586047439999999</v>
      </c>
      <c r="V204" s="5">
        <f>[1]Results!Y1462</f>
        <v>1.761018577</v>
      </c>
      <c r="W204" s="5">
        <f>[1]Results!Z1462</f>
        <v>1.9746903899999999</v>
      </c>
      <c r="X204" s="5">
        <f>[1]Results!AA1462</f>
        <v>2.1931689130000001</v>
      </c>
      <c r="Y204" s="5">
        <f>[1]Results!AB1462</f>
        <v>2.410165321</v>
      </c>
      <c r="Z204" s="5">
        <f>[1]Results!AC1462</f>
        <v>2.619403819</v>
      </c>
      <c r="AA204" s="5">
        <f>[1]Results!AD1462</f>
        <v>2.814567442</v>
      </c>
      <c r="AB204" s="5">
        <f>[1]Results!AE1462</f>
        <v>2.9890967079999999</v>
      </c>
      <c r="AC204" s="5">
        <f>[1]Results!AF1462</f>
        <v>3.1111401660000002</v>
      </c>
      <c r="AD204" s="5">
        <f>[1]Results!AG1462</f>
        <v>3.1760853830000002</v>
      </c>
      <c r="AE204" s="5">
        <f>[1]Results!AH1462</f>
        <v>3.191263228</v>
      </c>
      <c r="AF204" s="5">
        <f>[1]Results!AI1462</f>
        <v>3.1651090759999998</v>
      </c>
      <c r="AG204" s="5">
        <f>[1]Results!AJ1462</f>
        <v>3.104585632</v>
      </c>
      <c r="AH204" s="5">
        <f>[1]Results!AK1462</f>
        <v>3.0158755419999999</v>
      </c>
      <c r="AI204" s="5">
        <f>[1]Results!AL1462</f>
        <v>2.904746716</v>
      </c>
      <c r="AJ204" s="5">
        <f>[1]Results!AM1462</f>
        <v>2.7767459909999999</v>
      </c>
      <c r="AK204" s="5">
        <f>[1]Results!AN1462</f>
        <v>2.6370529020000002</v>
      </c>
      <c r="AL204" s="5">
        <f>[1]Results!AO1462</f>
        <v>2.4902816520000002</v>
      </c>
    </row>
    <row r="205" spans="1:38" x14ac:dyDescent="0.35">
      <c r="B205" t="s">
        <v>40</v>
      </c>
      <c r="C205" s="5">
        <f>[1]Results!F1458</f>
        <v>17.97037701</v>
      </c>
      <c r="D205" s="5">
        <f>[1]Results!G1458</f>
        <v>17.93170138</v>
      </c>
      <c r="E205" s="5">
        <f>[1]Results!H1458</f>
        <v>17.875754749999999</v>
      </c>
      <c r="F205" s="5">
        <f>[1]Results!I1458</f>
        <v>17.821056859999999</v>
      </c>
      <c r="G205" s="5">
        <f>[1]Results!J1458</f>
        <v>17.802866890000001</v>
      </c>
      <c r="H205" s="5">
        <f>[1]Results!K1458</f>
        <v>17.832806430000002</v>
      </c>
      <c r="I205" s="5">
        <f>[1]Results!L1458</f>
        <v>17.934915539999999</v>
      </c>
      <c r="J205" s="5">
        <f>[1]Results!M1458</f>
        <v>18.032724460000001</v>
      </c>
      <c r="K205" s="5">
        <f>[1]Results!N1458</f>
        <v>18.096414230000001</v>
      </c>
      <c r="L205" s="5">
        <f>[1]Results!O1458</f>
        <v>18.143450290000001</v>
      </c>
      <c r="M205" s="5">
        <f>[1]Results!P1458</f>
        <v>18.151726050000001</v>
      </c>
      <c r="N205" s="5">
        <f>[1]Results!Q1458</f>
        <v>18.117042430000001</v>
      </c>
      <c r="O205" s="5">
        <f>[1]Results!R1458</f>
        <v>18.054227050000001</v>
      </c>
      <c r="P205" s="5">
        <f>[1]Results!S1458</f>
        <v>17.976843389999999</v>
      </c>
      <c r="Q205" s="5">
        <f>[1]Results!T1458</f>
        <v>17.895757979999999</v>
      </c>
      <c r="R205" s="5">
        <f>[1]Results!U1458</f>
        <v>17.817266310000001</v>
      </c>
      <c r="S205" s="5">
        <f>[1]Results!V1458</f>
        <v>17.749068170000001</v>
      </c>
      <c r="T205" s="5">
        <f>[1]Results!W1458</f>
        <v>17.694555909999998</v>
      </c>
      <c r="U205" s="5">
        <f>[1]Results!X1458</f>
        <v>17.815058310000001</v>
      </c>
      <c r="V205" s="5">
        <f>[1]Results!Y1458</f>
        <v>18.461148819999998</v>
      </c>
      <c r="W205" s="5">
        <f>[1]Results!Z1458</f>
        <v>19.48046063</v>
      </c>
      <c r="X205" s="5">
        <f>[1]Results!AA1458</f>
        <v>20.803407740000001</v>
      </c>
      <c r="Y205" s="5">
        <f>[1]Results!AB1458</f>
        <v>22.389768069999999</v>
      </c>
      <c r="Z205" s="5">
        <f>[1]Results!AC1458</f>
        <v>24.212200540000001</v>
      </c>
      <c r="AA205" s="5">
        <f>[1]Results!AD1458</f>
        <v>26.249390649999999</v>
      </c>
      <c r="AB205" s="5">
        <f>[1]Results!AE1458</f>
        <v>28.480730390000002</v>
      </c>
      <c r="AC205" s="5">
        <f>[1]Results!AF1458</f>
        <v>30.846060399999999</v>
      </c>
      <c r="AD205" s="5">
        <f>[1]Results!AG1458</f>
        <v>33.327227860000001</v>
      </c>
      <c r="AE205" s="5">
        <f>[1]Results!AH1458</f>
        <v>35.916796480000002</v>
      </c>
      <c r="AF205" s="5">
        <f>[1]Results!AI1458</f>
        <v>38.598218629999998</v>
      </c>
      <c r="AG205" s="5">
        <f>[1]Results!AJ1458</f>
        <v>41.34229689</v>
      </c>
      <c r="AH205" s="5">
        <f>[1]Results!AK1458</f>
        <v>44.113421610000003</v>
      </c>
      <c r="AI205" s="5">
        <f>[1]Results!AL1458</f>
        <v>46.87057867</v>
      </c>
      <c r="AJ205" s="5">
        <f>[1]Results!AM1458</f>
        <v>49.570434849999998</v>
      </c>
      <c r="AK205" s="5">
        <f>[1]Results!AN1458</f>
        <v>52.170403589999999</v>
      </c>
      <c r="AL205" s="5">
        <f>[1]Results!AO1458</f>
        <v>54.631473049999997</v>
      </c>
    </row>
    <row r="206" spans="1:38" x14ac:dyDescent="0.35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</row>
    <row r="207" spans="1:38" x14ac:dyDescent="0.35">
      <c r="B207" t="s">
        <v>30</v>
      </c>
      <c r="C207" s="3">
        <f>[1]Results!F1473</f>
        <v>27371.429380000001</v>
      </c>
      <c r="D207" s="3">
        <f>[1]Results!G1473</f>
        <v>27499.163789999999</v>
      </c>
      <c r="E207" s="3">
        <f>[1]Results!H1473</f>
        <v>27700.070090000001</v>
      </c>
      <c r="F207" s="3">
        <f>[1]Results!I1473</f>
        <v>27964.675920000001</v>
      </c>
      <c r="G207" s="3">
        <f>[1]Results!J1473</f>
        <v>28275.649000000001</v>
      </c>
      <c r="H207" s="3">
        <f>[1]Results!K1473</f>
        <v>28621.574720000001</v>
      </c>
      <c r="I207" s="3">
        <f>[1]Results!L1473</f>
        <v>28991.162619999999</v>
      </c>
      <c r="J207" s="3">
        <f>[1]Results!M1473</f>
        <v>29373.375179999999</v>
      </c>
      <c r="K207" s="3">
        <f>[1]Results!N1473</f>
        <v>29759.297999999999</v>
      </c>
      <c r="L207" s="3">
        <f>[1]Results!O1473</f>
        <v>30143.250690000001</v>
      </c>
      <c r="M207" s="3">
        <f>[1]Results!P1473</f>
        <v>30513.287560000001</v>
      </c>
      <c r="N207" s="3">
        <f>[1]Results!Q1473</f>
        <v>30822.706160000002</v>
      </c>
      <c r="O207" s="3">
        <f>[1]Results!R1473</f>
        <v>31056.10225</v>
      </c>
      <c r="P207" s="3">
        <f>[1]Results!S1473</f>
        <v>31215.233179999999</v>
      </c>
      <c r="Q207" s="3">
        <f>[1]Results!T1473</f>
        <v>31312.336889999999</v>
      </c>
      <c r="R207" s="3">
        <f>[1]Results!U1473</f>
        <v>31364.336429999999</v>
      </c>
      <c r="S207" s="3">
        <f>[1]Results!V1473</f>
        <v>31392.44065</v>
      </c>
      <c r="T207" s="3">
        <f>[1]Results!W1473</f>
        <v>31416.624589999999</v>
      </c>
      <c r="U207" s="3">
        <f>[1]Results!X1473</f>
        <v>31453.0321</v>
      </c>
      <c r="V207" s="3">
        <f>[1]Results!Y1473</f>
        <v>31512.719160000001</v>
      </c>
      <c r="W207" s="3">
        <f>[1]Results!Z1473</f>
        <v>31601.08424</v>
      </c>
      <c r="X207" s="3">
        <f>[1]Results!AA1473</f>
        <v>31724.435259999998</v>
      </c>
      <c r="Y207" s="3">
        <f>[1]Results!AB1473</f>
        <v>31887.164519999998</v>
      </c>
      <c r="Z207" s="3">
        <f>[1]Results!AC1473</f>
        <v>32091.661029999999</v>
      </c>
      <c r="AA207" s="3">
        <f>[1]Results!AD1473</f>
        <v>32337.605149999999</v>
      </c>
      <c r="AB207" s="3">
        <f>[1]Results!AE1473</f>
        <v>32618.00719</v>
      </c>
      <c r="AC207" s="3">
        <f>[1]Results!AF1473</f>
        <v>32916.71572</v>
      </c>
      <c r="AD207" s="3">
        <f>[1]Results!AG1473</f>
        <v>33230.928959999997</v>
      </c>
      <c r="AE207" s="3">
        <f>[1]Results!AH1473</f>
        <v>33562.331039999997</v>
      </c>
      <c r="AF207" s="3">
        <f>[1]Results!AI1473</f>
        <v>33909.798040000001</v>
      </c>
      <c r="AG207" s="3">
        <f>[1]Results!AJ1473</f>
        <v>34268.042710000002</v>
      </c>
      <c r="AH207" s="3">
        <f>[1]Results!AK1473</f>
        <v>34629.730889999999</v>
      </c>
      <c r="AI207" s="3">
        <f>[1]Results!AL1473</f>
        <v>34987.369250000003</v>
      </c>
      <c r="AJ207" s="3">
        <f>[1]Results!AM1473</f>
        <v>35333.909110000001</v>
      </c>
      <c r="AK207" s="3">
        <f>[1]Results!AN1473</f>
        <v>35662.910799999998</v>
      </c>
      <c r="AL207" s="3">
        <f>[1]Results!AO1473</f>
        <v>35968.597220000003</v>
      </c>
    </row>
    <row r="208" spans="1:38" x14ac:dyDescent="0.35">
      <c r="A208" t="s">
        <v>42</v>
      </c>
      <c r="B208" t="s">
        <v>7</v>
      </c>
      <c r="C208" s="3">
        <f>[1]Results!F1474</f>
        <v>760.72189260000005</v>
      </c>
      <c r="D208" s="3">
        <f>[1]Results!G1474</f>
        <v>763.81120859999999</v>
      </c>
      <c r="E208" s="3">
        <f>[1]Results!H1474</f>
        <v>769.02654600000005</v>
      </c>
      <c r="F208" s="3">
        <f>[1]Results!I1474</f>
        <v>776.53137530000004</v>
      </c>
      <c r="G208" s="3">
        <f>[1]Results!J1474</f>
        <v>785.98606289999998</v>
      </c>
      <c r="H208" s="3">
        <f>[1]Results!K1474</f>
        <v>797.07750150000004</v>
      </c>
      <c r="I208" s="3">
        <f>[1]Results!L1474</f>
        <v>809.34497710000005</v>
      </c>
      <c r="J208" s="3">
        <f>[1]Results!M1474</f>
        <v>822.29348479999999</v>
      </c>
      <c r="K208" s="3">
        <f>[1]Results!N1474</f>
        <v>835.49272310000003</v>
      </c>
      <c r="L208" s="3">
        <f>[1]Results!O1474</f>
        <v>848.64376919999995</v>
      </c>
      <c r="M208" s="3">
        <f>[1]Results!P1474</f>
        <v>861.20794650000005</v>
      </c>
      <c r="N208" s="3">
        <f>[1]Results!Q1474</f>
        <v>871.34079889999998</v>
      </c>
      <c r="O208" s="3">
        <f>[1]Results!R1474</f>
        <v>878.51045220000003</v>
      </c>
      <c r="P208" s="3">
        <f>[1]Results!S1474</f>
        <v>882.82925690000002</v>
      </c>
      <c r="Q208" s="3">
        <f>[1]Results!T1474</f>
        <v>884.80075450000004</v>
      </c>
      <c r="R208" s="3">
        <f>[1]Results!U1474</f>
        <v>885.09649590000004</v>
      </c>
      <c r="S208" s="3">
        <f>[1]Results!V1474</f>
        <v>884.57237929999997</v>
      </c>
      <c r="T208" s="3">
        <f>[1]Results!W1474</f>
        <v>883.98748169999999</v>
      </c>
      <c r="U208" s="3">
        <f>[1]Results!X1474</f>
        <v>883.95153689999995</v>
      </c>
      <c r="V208" s="3">
        <f>[1]Results!Y1474</f>
        <v>884.871264</v>
      </c>
      <c r="W208" s="3">
        <f>[1]Results!Z1474</f>
        <v>886.92691190000005</v>
      </c>
      <c r="X208" s="3">
        <f>[1]Results!AA1474</f>
        <v>890.33525010000005</v>
      </c>
      <c r="Y208" s="3">
        <f>[1]Results!AB1474</f>
        <v>895.23120559999995</v>
      </c>
      <c r="Z208" s="3">
        <f>[1]Results!AC1474</f>
        <v>901.66525690000003</v>
      </c>
      <c r="AA208" s="3">
        <f>[1]Results!AD1474</f>
        <v>909.58132579999995</v>
      </c>
      <c r="AB208" s="3">
        <f>[1]Results!AE1474</f>
        <v>918.6651114</v>
      </c>
      <c r="AC208" s="3">
        <f>[1]Results!AF1474</f>
        <v>928.49107400000003</v>
      </c>
      <c r="AD208" s="3">
        <f>[1]Results!AG1474</f>
        <v>939.06203930000004</v>
      </c>
      <c r="AE208" s="3">
        <f>[1]Results!AH1474</f>
        <v>950.43812089999994</v>
      </c>
      <c r="AF208" s="3">
        <f>[1]Results!AI1474</f>
        <v>962.5260826</v>
      </c>
      <c r="AG208" s="3">
        <f>[1]Results!AJ1474</f>
        <v>975.07412150000005</v>
      </c>
      <c r="AH208" s="3">
        <f>[1]Results!AK1474</f>
        <v>987.77131610000004</v>
      </c>
      <c r="AI208" s="3">
        <f>[1]Results!AL1474</f>
        <v>1000.3195040000001</v>
      </c>
      <c r="AJ208" s="3">
        <f>[1]Results!AM1474</f>
        <v>1012.44993</v>
      </c>
      <c r="AK208" s="3">
        <f>[1]Results!AN1474</f>
        <v>1023.924614</v>
      </c>
      <c r="AL208" s="3">
        <f>[1]Results!AO1474</f>
        <v>1034.5349639999999</v>
      </c>
    </row>
    <row r="209" spans="2:38" x14ac:dyDescent="0.35">
      <c r="B209" t="s">
        <v>33</v>
      </c>
      <c r="C209" s="3">
        <f>[1]Results!F1477</f>
        <v>4367.8907149999995</v>
      </c>
      <c r="D209" s="3">
        <f>[1]Results!G1477</f>
        <v>4397.2788719999999</v>
      </c>
      <c r="E209" s="3">
        <f>[1]Results!H1477</f>
        <v>4443.7585879999997</v>
      </c>
      <c r="F209" s="3">
        <f>[1]Results!I1477</f>
        <v>4503.4872400000004</v>
      </c>
      <c r="G209" s="3">
        <f>[1]Results!J1477</f>
        <v>4572.0999439999996</v>
      </c>
      <c r="H209" s="3">
        <f>[1]Results!K1477</f>
        <v>4647.1052870000003</v>
      </c>
      <c r="I209" s="3">
        <f>[1]Results!L1477</f>
        <v>4726.773784</v>
      </c>
      <c r="J209" s="3">
        <f>[1]Results!M1477</f>
        <v>4809.5284389999997</v>
      </c>
      <c r="K209" s="3">
        <f>[1]Results!N1477</f>
        <v>4893.9515309999997</v>
      </c>
      <c r="L209" s="3">
        <f>[1]Results!O1477</f>
        <v>4979.1354119999996</v>
      </c>
      <c r="M209" s="3">
        <f>[1]Results!P1477</f>
        <v>5062.2477399999998</v>
      </c>
      <c r="N209" s="3">
        <f>[1]Results!Q1477</f>
        <v>5133.0769259999997</v>
      </c>
      <c r="O209" s="3">
        <f>[1]Results!R1477</f>
        <v>5188.928774</v>
      </c>
      <c r="P209" s="3">
        <f>[1]Results!S1477</f>
        <v>5230.7718420000001</v>
      </c>
      <c r="Q209" s="3">
        <f>[1]Results!T1477</f>
        <v>5261.6768760000004</v>
      </c>
      <c r="R209" s="3">
        <f>[1]Results!U1477</f>
        <v>5285.4395080000004</v>
      </c>
      <c r="S209" s="3">
        <f>[1]Results!V1477</f>
        <v>5306.2229539999998</v>
      </c>
      <c r="T209" s="3">
        <f>[1]Results!W1477</f>
        <v>5328.0254919999998</v>
      </c>
      <c r="U209" s="3">
        <f>[1]Results!X1477</f>
        <v>5354.0963320000001</v>
      </c>
      <c r="V209" s="3">
        <f>[1]Results!Y1477</f>
        <v>5386.6203429999996</v>
      </c>
      <c r="W209" s="3">
        <f>[1]Results!Z1477</f>
        <v>5426.7809159999997</v>
      </c>
      <c r="X209" s="3">
        <f>[1]Results!AA1477</f>
        <v>5475.6347660000001</v>
      </c>
      <c r="Y209" s="3">
        <f>[1]Results!AB1477</f>
        <v>5534.0274890000001</v>
      </c>
      <c r="Z209" s="3">
        <f>[1]Results!AC1477</f>
        <v>5602.4561190000004</v>
      </c>
      <c r="AA209" s="3">
        <f>[1]Results!AD1477</f>
        <v>5680.8737680000004</v>
      </c>
      <c r="AB209" s="3">
        <f>[1]Results!AE1477</f>
        <v>5768.3156330000002</v>
      </c>
      <c r="AC209" s="3">
        <f>[1]Results!AF1477</f>
        <v>5861.1557679999996</v>
      </c>
      <c r="AD209" s="3">
        <f>[1]Results!AG1477</f>
        <v>5957.7694090000005</v>
      </c>
      <c r="AE209" s="3">
        <f>[1]Results!AH1477</f>
        <v>6057.8758669999997</v>
      </c>
      <c r="AF209" s="3">
        <f>[1]Results!AI1477</f>
        <v>6160.9904239999996</v>
      </c>
      <c r="AG209" s="3">
        <f>[1]Results!AJ1477</f>
        <v>6265.9592469999998</v>
      </c>
      <c r="AH209" s="3">
        <f>[1]Results!AK1477</f>
        <v>6371.3063490000004</v>
      </c>
      <c r="AI209" s="3">
        <f>[1]Results!AL1477</f>
        <v>6475.5665209999997</v>
      </c>
      <c r="AJ209" s="3">
        <f>[1]Results!AM1477</f>
        <v>6577.3635160000003</v>
      </c>
      <c r="AK209" s="3">
        <f>[1]Results!AN1477</f>
        <v>6675.421171</v>
      </c>
      <c r="AL209" s="3">
        <f>[1]Results!AO1477</f>
        <v>6768.5623530000003</v>
      </c>
    </row>
    <row r="210" spans="2:38" x14ac:dyDescent="0.35">
      <c r="B210" t="s">
        <v>31</v>
      </c>
      <c r="C210" s="3">
        <f>[1]Results!F1489</f>
        <v>868.15907019999997</v>
      </c>
      <c r="D210" s="3">
        <f>[1]Results!G1489</f>
        <v>872.48399380000001</v>
      </c>
      <c r="E210" s="3">
        <f>[1]Results!H1489</f>
        <v>879.13084079999999</v>
      </c>
      <c r="F210" s="3">
        <f>[1]Results!I1489</f>
        <v>887.51311710000004</v>
      </c>
      <c r="G210" s="3">
        <f>[1]Results!J1489</f>
        <v>897.23500750000005</v>
      </c>
      <c r="H210" s="3">
        <f>[1]Results!K1489</f>
        <v>908.03434010000001</v>
      </c>
      <c r="I210" s="3">
        <f>[1]Results!L1489</f>
        <v>919.44815519999997</v>
      </c>
      <c r="J210" s="3">
        <f>[1]Results!M1489</f>
        <v>931.00857800000006</v>
      </c>
      <c r="K210" s="3">
        <f>[1]Results!N1489</f>
        <v>942.38051399999995</v>
      </c>
      <c r="L210" s="3">
        <f>[1]Results!O1489</f>
        <v>953.37301279999997</v>
      </c>
      <c r="M210" s="3">
        <f>[1]Results!P1489</f>
        <v>963.48006190000001</v>
      </c>
      <c r="N210" s="3">
        <f>[1]Results!Q1489</f>
        <v>970.87582299999997</v>
      </c>
      <c r="O210" s="3">
        <f>[1]Results!R1489</f>
        <v>975.19662679999999</v>
      </c>
      <c r="P210" s="3">
        <f>[1]Results!S1489</f>
        <v>976.74283049999997</v>
      </c>
      <c r="Q210" s="3">
        <f>[1]Results!T1489</f>
        <v>976.16866640000001</v>
      </c>
      <c r="R210" s="3">
        <f>[1]Results!U1489</f>
        <v>974.22912759999997</v>
      </c>
      <c r="S210" s="3">
        <f>[1]Results!V1489</f>
        <v>971.80903139999998</v>
      </c>
      <c r="T210" s="3">
        <f>[1]Results!W1489</f>
        <v>969.68777929999999</v>
      </c>
      <c r="U210" s="3">
        <f>[1]Results!X1489</f>
        <v>968.43258449999996</v>
      </c>
      <c r="V210" s="3">
        <f>[1]Results!Y1489</f>
        <v>968.37019380000004</v>
      </c>
      <c r="W210" s="3">
        <f>[1]Results!Z1489</f>
        <v>969.6176835</v>
      </c>
      <c r="X210" s="3">
        <f>[1]Results!AA1489</f>
        <v>972.29243670000005</v>
      </c>
      <c r="Y210" s="3">
        <f>[1]Results!AB1489</f>
        <v>976.46274359999995</v>
      </c>
      <c r="Z210" s="3">
        <f>[1]Results!AC1489</f>
        <v>982.13086539999995</v>
      </c>
      <c r="AA210" s="3">
        <f>[1]Results!AD1489</f>
        <v>989.20095019999997</v>
      </c>
      <c r="AB210" s="3">
        <f>[1]Results!AE1489</f>
        <v>997.39070260000005</v>
      </c>
      <c r="AC210" s="3">
        <f>[1]Results!AF1489</f>
        <v>1006.396481</v>
      </c>
      <c r="AD210" s="3">
        <f>[1]Results!AG1489</f>
        <v>1016.139686</v>
      </c>
      <c r="AE210" s="3">
        <f>[1]Results!AH1489</f>
        <v>1026.59889</v>
      </c>
      <c r="AF210" s="3">
        <f>[1]Results!AI1489</f>
        <v>1037.6240459999999</v>
      </c>
      <c r="AG210" s="3">
        <f>[1]Results!AJ1489</f>
        <v>1048.9317269999999</v>
      </c>
      <c r="AH210" s="3">
        <f>[1]Results!AK1489</f>
        <v>1060.2066930000001</v>
      </c>
      <c r="AI210" s="3">
        <f>[1]Results!AL1489</f>
        <v>1071.169924</v>
      </c>
      <c r="AJ210" s="3">
        <f>[1]Results!AM1489</f>
        <v>1081.586978</v>
      </c>
      <c r="AK210" s="3">
        <f>[1]Results!AN1489</f>
        <v>1091.262076</v>
      </c>
      <c r="AL210" s="3">
        <f>[1]Results!AO1489</f>
        <v>1100.0315579999999</v>
      </c>
    </row>
    <row r="211" spans="2:38" x14ac:dyDescent="0.35">
      <c r="B211" t="s">
        <v>10</v>
      </c>
      <c r="C211" s="3">
        <f>[1]Results!F1494</f>
        <v>21269.633740000001</v>
      </c>
      <c r="D211" s="3">
        <f>[1]Results!G1494</f>
        <v>21360.257140000002</v>
      </c>
      <c r="E211" s="3">
        <f>[1]Results!H1494</f>
        <v>21502.48818</v>
      </c>
      <c r="F211" s="3">
        <f>[1]Results!I1494</f>
        <v>21691.07015</v>
      </c>
      <c r="G211" s="3">
        <f>[1]Results!J1494</f>
        <v>21913.852650000001</v>
      </c>
      <c r="H211" s="3">
        <f>[1]Results!K1494</f>
        <v>22162.459009999999</v>
      </c>
      <c r="I211" s="3">
        <f>[1]Results!L1494</f>
        <v>22426.806519999998</v>
      </c>
      <c r="J211" s="3">
        <f>[1]Results!M1494</f>
        <v>22698.614099999999</v>
      </c>
      <c r="K211" s="3">
        <f>[1]Results!N1494</f>
        <v>22971.44095</v>
      </c>
      <c r="L211" s="3">
        <f>[1]Results!O1494</f>
        <v>23241.294040000001</v>
      </c>
      <c r="M211" s="3">
        <f>[1]Results!P1494</f>
        <v>23500.38278</v>
      </c>
      <c r="N211" s="3">
        <f>[1]Results!Q1494</f>
        <v>23716.916949999999</v>
      </c>
      <c r="O211" s="3">
        <f>[1]Results!R1494</f>
        <v>23879.307799999999</v>
      </c>
      <c r="P211" s="3">
        <f>[1]Results!S1494</f>
        <v>23987.647779999999</v>
      </c>
      <c r="Q211" s="3">
        <f>[1]Results!T1494</f>
        <v>24049.642639999998</v>
      </c>
      <c r="R211" s="3">
        <f>[1]Results!U1494</f>
        <v>24076.755560000001</v>
      </c>
      <c r="S211" s="3">
        <f>[1]Results!V1494</f>
        <v>24083.983080000002</v>
      </c>
      <c r="T211" s="3">
        <f>[1]Results!W1494</f>
        <v>24085.6404</v>
      </c>
      <c r="U211" s="3">
        <f>[1]Results!X1494</f>
        <v>24093.348859999998</v>
      </c>
      <c r="V211" s="3">
        <f>[1]Results!Y1494</f>
        <v>24115.161690000001</v>
      </c>
      <c r="W211" s="3">
        <f>[1]Results!Z1494</f>
        <v>24154.922340000001</v>
      </c>
      <c r="X211" s="3">
        <f>[1]Results!AA1494</f>
        <v>24217.441879999998</v>
      </c>
      <c r="Y211" s="3">
        <f>[1]Results!AB1494</f>
        <v>24305.94644</v>
      </c>
      <c r="Z211" s="3">
        <f>[1]Results!AC1494</f>
        <v>24422.146140000001</v>
      </c>
      <c r="AA211" s="3">
        <f>[1]Results!AD1494</f>
        <v>24565.78239</v>
      </c>
      <c r="AB211" s="3">
        <f>[1]Results!AE1494</f>
        <v>24731.308700000001</v>
      </c>
      <c r="AC211" s="3">
        <f>[1]Results!AF1494</f>
        <v>24912.123220000001</v>
      </c>
      <c r="AD211" s="3">
        <f>[1]Results!AG1494</f>
        <v>25106.58899</v>
      </c>
      <c r="AE211" s="3">
        <f>[1]Results!AH1494</f>
        <v>25314.994170000002</v>
      </c>
      <c r="AF211" s="3">
        <f>[1]Results!AI1494</f>
        <v>25535.761770000001</v>
      </c>
      <c r="AG211" s="3">
        <f>[1]Results!AJ1494</f>
        <v>25764.705870000002</v>
      </c>
      <c r="AH211" s="3">
        <f>[1]Results!AK1494</f>
        <v>25996.393919999999</v>
      </c>
      <c r="AI211" s="3">
        <f>[1]Results!AL1494</f>
        <v>26225.368559999999</v>
      </c>
      <c r="AJ211" s="3">
        <f>[1]Results!AM1494</f>
        <v>26446.53298</v>
      </c>
      <c r="AK211" s="3">
        <f>[1]Results!AN1494</f>
        <v>26655.249169999999</v>
      </c>
      <c r="AL211" s="3">
        <f>[1]Results!AO1494</f>
        <v>26847.374070000002</v>
      </c>
    </row>
    <row r="212" spans="2:38" x14ac:dyDescent="0.35">
      <c r="B212" t="s">
        <v>32</v>
      </c>
      <c r="C212" s="3">
        <f>C217-C213</f>
        <v>10.572496922199999</v>
      </c>
      <c r="D212" s="3">
        <f t="shared" ref="D212:AL212" si="26">D217-D213</f>
        <v>10.5604672305</v>
      </c>
      <c r="E212" s="3">
        <f t="shared" si="26"/>
        <v>10.5454686956</v>
      </c>
      <c r="F212" s="3">
        <f t="shared" si="26"/>
        <v>10.533198613</v>
      </c>
      <c r="G212" s="3">
        <f t="shared" si="26"/>
        <v>10.542518063400001</v>
      </c>
      <c r="H212" s="3">
        <f t="shared" si="26"/>
        <v>10.579236217000002</v>
      </c>
      <c r="I212" s="3">
        <f t="shared" si="26"/>
        <v>10.6558015932</v>
      </c>
      <c r="J212" s="3">
        <f t="shared" si="26"/>
        <v>10.756112887899999</v>
      </c>
      <c r="K212" s="3">
        <f t="shared" si="26"/>
        <v>10.868623961699999</v>
      </c>
      <c r="L212" s="3">
        <f t="shared" si="26"/>
        <v>10.986669906400003</v>
      </c>
      <c r="M212" s="3">
        <f t="shared" si="26"/>
        <v>11.103130598899998</v>
      </c>
      <c r="N212" s="3">
        <f t="shared" si="26"/>
        <v>11.182819914100001</v>
      </c>
      <c r="O212" s="3">
        <f t="shared" si="26"/>
        <v>11.225117509499999</v>
      </c>
      <c r="P212" s="3">
        <f t="shared" si="26"/>
        <v>11.2376457663</v>
      </c>
      <c r="Q212" s="3">
        <f t="shared" si="26"/>
        <v>11.2297277003</v>
      </c>
      <c r="R212" s="3">
        <f t="shared" si="26"/>
        <v>11.210053893100001</v>
      </c>
      <c r="S212" s="3">
        <f t="shared" si="26"/>
        <v>11.189667782299999</v>
      </c>
      <c r="T212" s="3">
        <f t="shared" si="26"/>
        <v>11.178563471999999</v>
      </c>
      <c r="U212" s="3">
        <f t="shared" si="26"/>
        <v>11.1824155923</v>
      </c>
      <c r="V212" s="3">
        <f t="shared" si="26"/>
        <v>11.203456583399998</v>
      </c>
      <c r="W212" s="3">
        <f t="shared" si="26"/>
        <v>11.241695028399999</v>
      </c>
      <c r="X212" s="3">
        <f t="shared" si="26"/>
        <v>11.297230996</v>
      </c>
      <c r="Y212" s="3">
        <f t="shared" si="26"/>
        <v>11.370151547999999</v>
      </c>
      <c r="Z212" s="3">
        <f t="shared" si="26"/>
        <v>11.460396509399999</v>
      </c>
      <c r="AA212" s="3">
        <f t="shared" si="26"/>
        <v>11.567392108499998</v>
      </c>
      <c r="AB212" s="3">
        <f t="shared" si="26"/>
        <v>11.689372088199999</v>
      </c>
      <c r="AC212" s="3">
        <f t="shared" si="26"/>
        <v>11.796825473199998</v>
      </c>
      <c r="AD212" s="3">
        <f t="shared" si="26"/>
        <v>11.890229852500001</v>
      </c>
      <c r="AE212" s="3">
        <f t="shared" si="26"/>
        <v>11.978613087000001</v>
      </c>
      <c r="AF212" s="3">
        <f t="shared" si="26"/>
        <v>12.068046888000001</v>
      </c>
      <c r="AG212" s="3">
        <f t="shared" si="26"/>
        <v>12.160034342000003</v>
      </c>
      <c r="AH212" s="3">
        <f t="shared" si="26"/>
        <v>12.253340116</v>
      </c>
      <c r="AI212" s="3">
        <f t="shared" si="26"/>
        <v>12.345694718000001</v>
      </c>
      <c r="AJ212" s="3">
        <f t="shared" si="26"/>
        <v>12.434569638999999</v>
      </c>
      <c r="AK212" s="3">
        <f t="shared" si="26"/>
        <v>12.517504853999998</v>
      </c>
      <c r="AL212" s="3">
        <f t="shared" si="26"/>
        <v>12.592243071999999</v>
      </c>
    </row>
    <row r="213" spans="2:38" x14ac:dyDescent="0.35">
      <c r="B213" t="s">
        <v>39</v>
      </c>
      <c r="C213" s="3">
        <f>C215+C216</f>
        <v>7.3978801177999998</v>
      </c>
      <c r="D213" s="3">
        <f t="shared" ref="D213:AL213" si="27">D215+D216</f>
        <v>7.3712341994999999</v>
      </c>
      <c r="E213" s="3">
        <f t="shared" si="27"/>
        <v>7.3302861143999998</v>
      </c>
      <c r="F213" s="3">
        <f t="shared" si="27"/>
        <v>7.2878583170000004</v>
      </c>
      <c r="G213" s="3">
        <f t="shared" si="27"/>
        <v>7.2603489065999991</v>
      </c>
      <c r="H213" s="3">
        <f t="shared" si="27"/>
        <v>7.2535702930000001</v>
      </c>
      <c r="I213" s="3">
        <f t="shared" si="27"/>
        <v>7.2689462667999996</v>
      </c>
      <c r="J213" s="3">
        <f t="shared" si="27"/>
        <v>7.2984282620999998</v>
      </c>
      <c r="K213" s="3">
        <f t="shared" si="27"/>
        <v>7.3357011983000007</v>
      </c>
      <c r="L213" s="3">
        <f t="shared" si="27"/>
        <v>7.3765190435999992</v>
      </c>
      <c r="M213" s="3">
        <f t="shared" si="27"/>
        <v>7.4170087710999999</v>
      </c>
      <c r="N213" s="3">
        <f t="shared" si="27"/>
        <v>7.4462740359000001</v>
      </c>
      <c r="O213" s="3">
        <f t="shared" si="27"/>
        <v>7.4614545904999998</v>
      </c>
      <c r="P213" s="3">
        <f t="shared" si="27"/>
        <v>7.4633920637000006</v>
      </c>
      <c r="Q213" s="3">
        <f t="shared" si="27"/>
        <v>7.4544153896999994</v>
      </c>
      <c r="R213" s="3">
        <f t="shared" si="27"/>
        <v>7.4373331869000001</v>
      </c>
      <c r="S213" s="3">
        <f t="shared" si="27"/>
        <v>7.4152012377000007</v>
      </c>
      <c r="T213" s="3">
        <f t="shared" si="27"/>
        <v>7.3938418180000003</v>
      </c>
      <c r="U213" s="3">
        <f t="shared" si="27"/>
        <v>7.3769092577000004</v>
      </c>
      <c r="V213" s="3">
        <f t="shared" si="27"/>
        <v>7.3660876966000002</v>
      </c>
      <c r="W213" s="3">
        <f t="shared" si="27"/>
        <v>7.3617148216000006</v>
      </c>
      <c r="X213" s="3">
        <f t="shared" si="27"/>
        <v>7.3640092240000001</v>
      </c>
      <c r="Y213" s="3">
        <f t="shared" si="27"/>
        <v>7.3730894320000004</v>
      </c>
      <c r="Z213" s="3">
        <f t="shared" si="27"/>
        <v>7.3889971906000005</v>
      </c>
      <c r="AA213" s="3">
        <f t="shared" si="27"/>
        <v>7.4115783915</v>
      </c>
      <c r="AB213" s="3">
        <f t="shared" si="27"/>
        <v>7.4400686817999997</v>
      </c>
      <c r="AC213" s="3">
        <f t="shared" si="27"/>
        <v>7.4648977368000002</v>
      </c>
      <c r="AD213" s="3">
        <f t="shared" si="27"/>
        <v>7.4858558575000007</v>
      </c>
      <c r="AE213" s="3">
        <f t="shared" si="27"/>
        <v>7.5057570729999998</v>
      </c>
      <c r="AF213" s="3">
        <f t="shared" si="27"/>
        <v>7.5265305319999998</v>
      </c>
      <c r="AG213" s="3">
        <f t="shared" si="27"/>
        <v>7.5485359579999995</v>
      </c>
      <c r="AH213" s="3">
        <f t="shared" si="27"/>
        <v>7.571117374</v>
      </c>
      <c r="AI213" s="3">
        <f t="shared" si="27"/>
        <v>7.5931861419999995</v>
      </c>
      <c r="AJ213" s="3">
        <f t="shared" si="27"/>
        <v>7.6135081309999997</v>
      </c>
      <c r="AK213" s="3">
        <f t="shared" si="27"/>
        <v>7.6308407460000005</v>
      </c>
      <c r="AL213" s="3">
        <f t="shared" si="27"/>
        <v>7.644008178</v>
      </c>
    </row>
    <row r="214" spans="2:38" x14ac:dyDescent="0.35">
      <c r="B214" t="s">
        <v>36</v>
      </c>
      <c r="C214" s="3">
        <f>[1]Results!F1502</f>
        <v>87.053586490000001</v>
      </c>
      <c r="D214" s="3">
        <f>[1]Results!G1502</f>
        <v>87.400878329999998</v>
      </c>
      <c r="E214" s="3">
        <f>[1]Results!H1502</f>
        <v>87.790184670000002</v>
      </c>
      <c r="F214" s="3">
        <f>[1]Results!I1502</f>
        <v>88.252978529999993</v>
      </c>
      <c r="G214" s="3">
        <f>[1]Results!J1502</f>
        <v>88.672463989999997</v>
      </c>
      <c r="H214" s="3">
        <f>[1]Results!K1502</f>
        <v>89.065771130000002</v>
      </c>
      <c r="I214" s="3">
        <f>[1]Results!L1502</f>
        <v>90.864442780000005</v>
      </c>
      <c r="J214" s="3">
        <f>[1]Results!M1502</f>
        <v>93.876039349999999</v>
      </c>
      <c r="K214" s="3">
        <f>[1]Results!N1502</f>
        <v>97.827961999999999</v>
      </c>
      <c r="L214" s="3">
        <f>[1]Results!O1502</f>
        <v>102.4412641</v>
      </c>
      <c r="M214" s="3">
        <f>[1]Results!P1502</f>
        <v>107.4488861</v>
      </c>
      <c r="N214" s="3">
        <f>[1]Results!Q1502</f>
        <v>111.8665675</v>
      </c>
      <c r="O214" s="3">
        <f>[1]Results!R1502</f>
        <v>115.47202780000001</v>
      </c>
      <c r="P214" s="3">
        <f>[1]Results!S1502</f>
        <v>118.54042990000001</v>
      </c>
      <c r="Q214" s="3">
        <f>[1]Results!T1502</f>
        <v>121.36380819999999</v>
      </c>
      <c r="R214" s="3">
        <f>[1]Results!U1502</f>
        <v>124.16835159999999</v>
      </c>
      <c r="S214" s="3">
        <f>[1]Results!V1502</f>
        <v>127.2483367</v>
      </c>
      <c r="T214" s="3">
        <f>[1]Results!W1502</f>
        <v>130.71103859999999</v>
      </c>
      <c r="U214" s="3">
        <f>[1]Results!X1502</f>
        <v>134.64346309999999</v>
      </c>
      <c r="V214" s="3">
        <f>[1]Results!Y1502</f>
        <v>139.1261226</v>
      </c>
      <c r="W214" s="3">
        <f>[1]Results!Z1502</f>
        <v>144.2329843</v>
      </c>
      <c r="X214" s="3">
        <f>[1]Results!AA1502</f>
        <v>150.06969549999999</v>
      </c>
      <c r="Y214" s="3">
        <f>[1]Results!AB1502</f>
        <v>156.75340159999999</v>
      </c>
      <c r="Z214" s="3">
        <f>[1]Results!AC1502</f>
        <v>164.413251</v>
      </c>
      <c r="AA214" s="3">
        <f>[1]Results!AD1502</f>
        <v>173.1877442</v>
      </c>
      <c r="AB214" s="3">
        <f>[1]Results!AE1502</f>
        <v>183.19760669999999</v>
      </c>
      <c r="AC214" s="3">
        <f>[1]Results!AF1502</f>
        <v>189.28745699999999</v>
      </c>
      <c r="AD214" s="3">
        <f>[1]Results!AG1502</f>
        <v>191.992749</v>
      </c>
      <c r="AE214" s="3">
        <f>[1]Results!AH1502</f>
        <v>192.9396198</v>
      </c>
      <c r="AF214" s="3">
        <f>[1]Results!AI1502</f>
        <v>193.3011338</v>
      </c>
      <c r="AG214" s="3">
        <f>[1]Results!AJ1502</f>
        <v>193.663174</v>
      </c>
      <c r="AH214" s="3">
        <f>[1]Results!AK1502</f>
        <v>194.2281515</v>
      </c>
      <c r="AI214" s="3">
        <f>[1]Results!AL1502</f>
        <v>195.00585960000001</v>
      </c>
      <c r="AJ214" s="3">
        <f>[1]Results!AM1502</f>
        <v>195.92763149999999</v>
      </c>
      <c r="AK214" s="3">
        <f>[1]Results!AN1502</f>
        <v>196.90541669999999</v>
      </c>
      <c r="AL214" s="3">
        <f>[1]Results!AO1502</f>
        <v>197.85803050000001</v>
      </c>
    </row>
    <row r="215" spans="2:38" x14ac:dyDescent="0.35">
      <c r="B215" t="s">
        <v>38</v>
      </c>
      <c r="C215" s="3">
        <f>[1]Results!F1499</f>
        <v>6.6794205279999996</v>
      </c>
      <c r="D215" s="3">
        <f>[1]Results!G1499</f>
        <v>6.6546721560000002</v>
      </c>
      <c r="E215" s="3">
        <f>[1]Results!H1499</f>
        <v>6.6155547019999998</v>
      </c>
      <c r="F215" s="3">
        <f>[1]Results!I1499</f>
        <v>6.5749877210000003</v>
      </c>
      <c r="G215" s="3">
        <f>[1]Results!J1499</f>
        <v>6.5474230459999996</v>
      </c>
      <c r="H215" s="3">
        <f>[1]Results!K1499</f>
        <v>6.5383142530000002</v>
      </c>
      <c r="I215" s="3">
        <f>[1]Results!L1499</f>
        <v>6.5425436189999999</v>
      </c>
      <c r="J215" s="3">
        <f>[1]Results!M1499</f>
        <v>6.5553462439999999</v>
      </c>
      <c r="K215" s="3">
        <f>[1]Results!N1499</f>
        <v>6.5726962640000002</v>
      </c>
      <c r="L215" s="3">
        <f>[1]Results!O1499</f>
        <v>6.5915221949999996</v>
      </c>
      <c r="M215" s="3">
        <f>[1]Results!P1499</f>
        <v>6.6086706919999996</v>
      </c>
      <c r="N215" s="3">
        <f>[1]Results!Q1499</f>
        <v>6.622737839</v>
      </c>
      <c r="O215" s="3">
        <f>[1]Results!R1499</f>
        <v>6.6292342279999996</v>
      </c>
      <c r="P215" s="3">
        <f>[1]Results!S1499</f>
        <v>6.6264940230000002</v>
      </c>
      <c r="Q215" s="3">
        <f>[1]Results!T1499</f>
        <v>6.6148971669999996</v>
      </c>
      <c r="R215" s="3">
        <f>[1]Results!U1499</f>
        <v>6.5959007080000003</v>
      </c>
      <c r="S215" s="3">
        <f>[1]Results!V1499</f>
        <v>6.5706844350000004</v>
      </c>
      <c r="T215" s="3">
        <f>[1]Results!W1499</f>
        <v>6.5442225690000004</v>
      </c>
      <c r="U215" s="3">
        <f>[1]Results!X1499</f>
        <v>6.5199190680000001</v>
      </c>
      <c r="V215" s="3">
        <f>[1]Results!Y1499</f>
        <v>6.4994603340000001</v>
      </c>
      <c r="W215" s="3">
        <f>[1]Results!Z1499</f>
        <v>6.4833116730000002</v>
      </c>
      <c r="X215" s="3">
        <f>[1]Results!AA1499</f>
        <v>6.4716843380000002</v>
      </c>
      <c r="Y215" s="3">
        <f>[1]Results!AB1499</f>
        <v>6.4646559430000003</v>
      </c>
      <c r="Z215" s="3">
        <f>[1]Results!AC1499</f>
        <v>6.4622048660000004</v>
      </c>
      <c r="AA215" s="3">
        <f>[1]Results!AD1499</f>
        <v>6.4641268099999998</v>
      </c>
      <c r="AB215" s="3">
        <f>[1]Results!AE1499</f>
        <v>6.4697531709999998</v>
      </c>
      <c r="AC215" s="3">
        <f>[1]Results!AF1499</f>
        <v>6.4774597380000003</v>
      </c>
      <c r="AD215" s="3">
        <f>[1]Results!AG1499</f>
        <v>6.4869569130000002</v>
      </c>
      <c r="AE215" s="3">
        <f>[1]Results!AH1499</f>
        <v>6.4984112239999998</v>
      </c>
      <c r="AF215" s="3">
        <f>[1]Results!AI1499</f>
        <v>6.511667879</v>
      </c>
      <c r="AG215" s="3">
        <f>[1]Results!AJ1499</f>
        <v>6.5260813239999997</v>
      </c>
      <c r="AH215" s="3">
        <f>[1]Results!AK1499</f>
        <v>6.5407400149999999</v>
      </c>
      <c r="AI215" s="3">
        <f>[1]Results!AL1499</f>
        <v>6.5546753339999997</v>
      </c>
      <c r="AJ215" s="3">
        <f>[1]Results!AM1499</f>
        <v>6.5669223209999998</v>
      </c>
      <c r="AK215" s="3">
        <f>[1]Results!AN1499</f>
        <v>6.5765380750000002</v>
      </c>
      <c r="AL215" s="3">
        <f>[1]Results!AO1499</f>
        <v>6.5826223380000002</v>
      </c>
    </row>
    <row r="216" spans="2:38" x14ac:dyDescent="0.35">
      <c r="B216" t="s">
        <v>37</v>
      </c>
      <c r="C216" s="3">
        <f>[1]Results!F1501</f>
        <v>0.71845958980000002</v>
      </c>
      <c r="D216" s="3">
        <f>[1]Results!G1501</f>
        <v>0.71656204349999997</v>
      </c>
      <c r="E216" s="3">
        <f>[1]Results!H1501</f>
        <v>0.71473141240000004</v>
      </c>
      <c r="F216" s="3">
        <f>[1]Results!I1501</f>
        <v>0.71287059600000002</v>
      </c>
      <c r="G216" s="3">
        <f>[1]Results!J1501</f>
        <v>0.71292586059999996</v>
      </c>
      <c r="H216" s="3">
        <f>[1]Results!K1501</f>
        <v>0.71525603999999998</v>
      </c>
      <c r="I216" s="3">
        <f>[1]Results!L1501</f>
        <v>0.72640264779999997</v>
      </c>
      <c r="J216" s="3">
        <f>[1]Results!M1501</f>
        <v>0.74308201809999996</v>
      </c>
      <c r="K216" s="3">
        <f>[1]Results!N1501</f>
        <v>0.76300493430000005</v>
      </c>
      <c r="L216" s="3">
        <f>[1]Results!O1501</f>
        <v>0.78499684859999996</v>
      </c>
      <c r="M216" s="3">
        <f>[1]Results!P1501</f>
        <v>0.8083380791</v>
      </c>
      <c r="N216" s="3">
        <f>[1]Results!Q1501</f>
        <v>0.82353619690000002</v>
      </c>
      <c r="O216" s="3">
        <f>[1]Results!R1501</f>
        <v>0.83222036249999998</v>
      </c>
      <c r="P216" s="3">
        <f>[1]Results!S1501</f>
        <v>0.83689804069999996</v>
      </c>
      <c r="Q216" s="3">
        <f>[1]Results!T1501</f>
        <v>0.83951822269999998</v>
      </c>
      <c r="R216" s="3">
        <f>[1]Results!U1501</f>
        <v>0.84143247889999995</v>
      </c>
      <c r="S216" s="3">
        <f>[1]Results!V1501</f>
        <v>0.84451680269999996</v>
      </c>
      <c r="T216" s="3">
        <f>[1]Results!W1501</f>
        <v>0.84961924899999997</v>
      </c>
      <c r="U216" s="3">
        <f>[1]Results!X1501</f>
        <v>0.85699018969999996</v>
      </c>
      <c r="V216" s="3">
        <f>[1]Results!Y1501</f>
        <v>0.86662736259999995</v>
      </c>
      <c r="W216" s="3">
        <f>[1]Results!Z1501</f>
        <v>0.87840314860000002</v>
      </c>
      <c r="X216" s="3">
        <f>[1]Results!AA1501</f>
        <v>0.89232488600000004</v>
      </c>
      <c r="Y216" s="3">
        <f>[1]Results!AB1501</f>
        <v>0.90843348899999998</v>
      </c>
      <c r="Z216" s="3">
        <f>[1]Results!AC1501</f>
        <v>0.92679232460000005</v>
      </c>
      <c r="AA216" s="3">
        <f>[1]Results!AD1501</f>
        <v>0.94745158149999997</v>
      </c>
      <c r="AB216" s="3">
        <f>[1]Results!AE1501</f>
        <v>0.9703155108</v>
      </c>
      <c r="AC216" s="3">
        <f>[1]Results!AF1501</f>
        <v>0.98743799880000005</v>
      </c>
      <c r="AD216" s="3">
        <f>[1]Results!AG1501</f>
        <v>0.99889894450000005</v>
      </c>
      <c r="AE216" s="3">
        <f>[1]Results!AH1501</f>
        <v>1.007345849</v>
      </c>
      <c r="AF216" s="3">
        <f>[1]Results!AI1501</f>
        <v>1.014862653</v>
      </c>
      <c r="AG216" s="3">
        <f>[1]Results!AJ1501</f>
        <v>1.022454634</v>
      </c>
      <c r="AH216" s="3">
        <f>[1]Results!AK1501</f>
        <v>1.030377359</v>
      </c>
      <c r="AI216" s="3">
        <f>[1]Results!AL1501</f>
        <v>1.0385108080000001</v>
      </c>
      <c r="AJ216" s="3">
        <f>[1]Results!AM1501</f>
        <v>1.0465858100000001</v>
      </c>
      <c r="AK216" s="3">
        <f>[1]Results!AN1501</f>
        <v>1.0543026710000001</v>
      </c>
      <c r="AL216" s="3">
        <f>[1]Results!AO1501</f>
        <v>1.06138584</v>
      </c>
    </row>
    <row r="217" spans="2:38" x14ac:dyDescent="0.35">
      <c r="B217" t="s">
        <v>40</v>
      </c>
      <c r="C217" s="3">
        <f>[1]Results!F1497</f>
        <v>17.970377039999999</v>
      </c>
      <c r="D217" s="3">
        <f>[1]Results!G1497</f>
        <v>17.93170143</v>
      </c>
      <c r="E217" s="3">
        <f>[1]Results!H1497</f>
        <v>17.87575481</v>
      </c>
      <c r="F217" s="3">
        <f>[1]Results!I1497</f>
        <v>17.821056930000001</v>
      </c>
      <c r="G217" s="3">
        <f>[1]Results!J1497</f>
        <v>17.80286697</v>
      </c>
      <c r="H217" s="3">
        <f>[1]Results!K1497</f>
        <v>17.832806510000001</v>
      </c>
      <c r="I217" s="3">
        <f>[1]Results!L1497</f>
        <v>17.92474786</v>
      </c>
      <c r="J217" s="3">
        <f>[1]Results!M1497</f>
        <v>18.054541149999999</v>
      </c>
      <c r="K217" s="3">
        <f>[1]Results!N1497</f>
        <v>18.20432516</v>
      </c>
      <c r="L217" s="3">
        <f>[1]Results!O1497</f>
        <v>18.363188950000001</v>
      </c>
      <c r="M217" s="3">
        <f>[1]Results!P1497</f>
        <v>18.520139369999999</v>
      </c>
      <c r="N217" s="3">
        <f>[1]Results!Q1497</f>
        <v>18.629093950000001</v>
      </c>
      <c r="O217" s="3">
        <f>[1]Results!R1497</f>
        <v>18.686572099999999</v>
      </c>
      <c r="P217" s="3">
        <f>[1]Results!S1497</f>
        <v>18.701037830000001</v>
      </c>
      <c r="Q217" s="3">
        <f>[1]Results!T1497</f>
        <v>18.684143089999999</v>
      </c>
      <c r="R217" s="3">
        <f>[1]Results!U1497</f>
        <v>18.647387080000001</v>
      </c>
      <c r="S217" s="3">
        <f>[1]Results!V1497</f>
        <v>18.604869019999999</v>
      </c>
      <c r="T217" s="3">
        <f>[1]Results!W1497</f>
        <v>18.572405289999999</v>
      </c>
      <c r="U217" s="3">
        <f>[1]Results!X1497</f>
        <v>18.559324849999999</v>
      </c>
      <c r="V217" s="3">
        <f>[1]Results!Y1497</f>
        <v>18.569544279999999</v>
      </c>
      <c r="W217" s="3">
        <f>[1]Results!Z1497</f>
        <v>18.603409849999998</v>
      </c>
      <c r="X217" s="3">
        <f>[1]Results!AA1497</f>
        <v>18.66124022</v>
      </c>
      <c r="Y217" s="3">
        <f>[1]Results!AB1497</f>
        <v>18.743240979999999</v>
      </c>
      <c r="Z217" s="3">
        <f>[1]Results!AC1497</f>
        <v>18.8493937</v>
      </c>
      <c r="AA217" s="3">
        <f>[1]Results!AD1497</f>
        <v>18.978970499999999</v>
      </c>
      <c r="AB217" s="3">
        <f>[1]Results!AE1497</f>
        <v>19.129440769999999</v>
      </c>
      <c r="AC217" s="3">
        <f>[1]Results!AF1497</f>
        <v>19.26172321</v>
      </c>
      <c r="AD217" s="3">
        <f>[1]Results!AG1497</f>
        <v>19.376085710000002</v>
      </c>
      <c r="AE217" s="3">
        <f>[1]Results!AH1497</f>
        <v>19.484370160000001</v>
      </c>
      <c r="AF217" s="3">
        <f>[1]Results!AI1497</f>
        <v>19.59457742</v>
      </c>
      <c r="AG217" s="3">
        <f>[1]Results!AJ1497</f>
        <v>19.708570300000002</v>
      </c>
      <c r="AH217" s="3">
        <f>[1]Results!AK1497</f>
        <v>19.82445749</v>
      </c>
      <c r="AI217" s="3">
        <f>[1]Results!AL1497</f>
        <v>19.938880860000001</v>
      </c>
      <c r="AJ217" s="3">
        <f>[1]Results!AM1497</f>
        <v>20.048077769999999</v>
      </c>
      <c r="AK217" s="3">
        <f>[1]Results!AN1497</f>
        <v>20.148345599999999</v>
      </c>
      <c r="AL217" s="3">
        <f>[1]Results!AO1497</f>
        <v>20.236251249999999</v>
      </c>
    </row>
    <row r="219" spans="2:38" x14ac:dyDescent="0.35">
      <c r="B219" t="s">
        <v>30</v>
      </c>
      <c r="C219" s="5">
        <f t="shared" ref="C219:AL219" si="28">C195-C207</f>
        <v>0</v>
      </c>
      <c r="D219" s="5">
        <f t="shared" si="28"/>
        <v>0</v>
      </c>
      <c r="E219" s="5">
        <f t="shared" si="28"/>
        <v>9.9999997473787516E-6</v>
      </c>
      <c r="F219" s="5">
        <f t="shared" si="28"/>
        <v>0</v>
      </c>
      <c r="G219" s="5">
        <f t="shared" si="28"/>
        <v>0</v>
      </c>
      <c r="H219" s="5">
        <f t="shared" si="28"/>
        <v>0</v>
      </c>
      <c r="I219" s="5">
        <f t="shared" si="28"/>
        <v>2.5827600000011444</v>
      </c>
      <c r="J219" s="5">
        <f t="shared" si="28"/>
        <v>-32.116439999997965</v>
      </c>
      <c r="K219" s="5">
        <f t="shared" si="28"/>
        <v>-84.764589999998861</v>
      </c>
      <c r="L219" s="5">
        <f t="shared" si="28"/>
        <v>-80.735619999999471</v>
      </c>
      <c r="M219" s="5">
        <f t="shared" si="28"/>
        <v>-28.733909999999014</v>
      </c>
      <c r="N219" s="5">
        <f t="shared" si="28"/>
        <v>30.713719999999739</v>
      </c>
      <c r="O219" s="5">
        <f t="shared" si="28"/>
        <v>79.365470000000641</v>
      </c>
      <c r="P219" s="5">
        <f t="shared" si="28"/>
        <v>114.35782000000108</v>
      </c>
      <c r="Q219" s="5">
        <f t="shared" si="28"/>
        <v>141.37952000000223</v>
      </c>
      <c r="R219" s="5">
        <f t="shared" si="28"/>
        <v>165.79654999999912</v>
      </c>
      <c r="S219" s="5">
        <f t="shared" si="28"/>
        <v>184.85916999999972</v>
      </c>
      <c r="T219" s="5">
        <f t="shared" si="28"/>
        <v>197.3537299999989</v>
      </c>
      <c r="U219" s="5">
        <f t="shared" si="28"/>
        <v>202.94134000000122</v>
      </c>
      <c r="V219" s="5">
        <f t="shared" si="28"/>
        <v>201.89196000000084</v>
      </c>
      <c r="W219" s="5">
        <f t="shared" si="28"/>
        <v>194.6529300000002</v>
      </c>
      <c r="X219" s="5">
        <f t="shared" si="28"/>
        <v>179.32443000000058</v>
      </c>
      <c r="Y219" s="5">
        <f t="shared" si="28"/>
        <v>156.81891000000178</v>
      </c>
      <c r="Z219" s="5">
        <f t="shared" si="28"/>
        <v>128.91372000000047</v>
      </c>
      <c r="AA219" s="5">
        <f t="shared" si="28"/>
        <v>97.63242000000173</v>
      </c>
      <c r="AB219" s="5">
        <f t="shared" si="28"/>
        <v>64.88263999999981</v>
      </c>
      <c r="AC219" s="5">
        <f t="shared" si="28"/>
        <v>29.866629999996803</v>
      </c>
      <c r="AD219" s="5">
        <f t="shared" si="28"/>
        <v>-6.4367500000007567</v>
      </c>
      <c r="AE219" s="5">
        <f t="shared" si="28"/>
        <v>-42.160599999995611</v>
      </c>
      <c r="AF219" s="5">
        <f t="shared" si="28"/>
        <v>-75.203620000000228</v>
      </c>
      <c r="AG219" s="5">
        <f t="shared" si="28"/>
        <v>-103.65581999999995</v>
      </c>
      <c r="AH219" s="5">
        <f t="shared" si="28"/>
        <v>-127.2685399999973</v>
      </c>
      <c r="AI219" s="5">
        <f t="shared" si="28"/>
        <v>-145.14859000000433</v>
      </c>
      <c r="AJ219" s="5">
        <f t="shared" si="28"/>
        <v>-156.58598000000347</v>
      </c>
      <c r="AK219" s="5">
        <f t="shared" si="28"/>
        <v>-161.29798999999912</v>
      </c>
      <c r="AL219" s="5">
        <f t="shared" si="28"/>
        <v>-159.42094999999972</v>
      </c>
    </row>
    <row r="220" spans="2:38" x14ac:dyDescent="0.35">
      <c r="B220" t="s">
        <v>7</v>
      </c>
      <c r="C220" s="5">
        <f t="shared" ref="C220:AL220" si="29">C196-C208</f>
        <v>0</v>
      </c>
      <c r="D220" s="5">
        <f t="shared" si="29"/>
        <v>9.9999965641472954E-8</v>
      </c>
      <c r="E220" s="5">
        <f t="shared" si="29"/>
        <v>9.9999965641472954E-8</v>
      </c>
      <c r="F220" s="5">
        <f t="shared" si="29"/>
        <v>0</v>
      </c>
      <c r="G220" s="5">
        <f t="shared" si="29"/>
        <v>9.9999965641472954E-8</v>
      </c>
      <c r="H220" s="5">
        <f t="shared" si="29"/>
        <v>9.9999965641472954E-8</v>
      </c>
      <c r="I220" s="5">
        <f t="shared" si="29"/>
        <v>0.10167409999996835</v>
      </c>
      <c r="J220" s="5">
        <f t="shared" si="29"/>
        <v>-1.5687498999999434</v>
      </c>
      <c r="K220" s="5">
        <f t="shared" si="29"/>
        <v>-4.0880420000000868</v>
      </c>
      <c r="L220" s="5">
        <f t="shared" si="29"/>
        <v>-4.5382495000000063</v>
      </c>
      <c r="M220" s="5">
        <f t="shared" si="29"/>
        <v>-3.3778007000000798</v>
      </c>
      <c r="N220" s="5">
        <f t="shared" si="29"/>
        <v>-2.1611063999999942</v>
      </c>
      <c r="O220" s="5">
        <f t="shared" si="29"/>
        <v>-1.4629929000000175</v>
      </c>
      <c r="P220" s="5">
        <f t="shared" si="29"/>
        <v>-1.2352505000000065</v>
      </c>
      <c r="Q220" s="5">
        <f t="shared" si="29"/>
        <v>-1.1682920000000649</v>
      </c>
      <c r="R220" s="5">
        <f t="shared" si="29"/>
        <v>-1.0426502000000255</v>
      </c>
      <c r="S220" s="5">
        <f t="shared" si="29"/>
        <v>-0.85794099999998252</v>
      </c>
      <c r="T220" s="5">
        <f t="shared" si="29"/>
        <v>-0.76544390000003659</v>
      </c>
      <c r="U220" s="5">
        <f t="shared" si="29"/>
        <v>-0.88638259999993352</v>
      </c>
      <c r="V220" s="5">
        <f t="shared" si="29"/>
        <v>-1.3094777000000022</v>
      </c>
      <c r="W220" s="5">
        <f t="shared" si="29"/>
        <v>-2.0349619000000985</v>
      </c>
      <c r="X220" s="5">
        <f t="shared" si="29"/>
        <v>-3.1480976000000283</v>
      </c>
      <c r="Y220" s="5">
        <f t="shared" si="29"/>
        <v>-4.5857438999998976</v>
      </c>
      <c r="Z220" s="5">
        <f t="shared" si="29"/>
        <v>-6.2467450999999983</v>
      </c>
      <c r="AA220" s="5">
        <f t="shared" si="29"/>
        <v>-8.03105939999989</v>
      </c>
      <c r="AB220" s="5">
        <f t="shared" si="29"/>
        <v>-9.8529531000000361</v>
      </c>
      <c r="AC220" s="5">
        <f t="shared" si="29"/>
        <v>-11.900309100000072</v>
      </c>
      <c r="AD220" s="5">
        <f t="shared" si="29"/>
        <v>-14.089024800000061</v>
      </c>
      <c r="AE220" s="5">
        <f t="shared" si="29"/>
        <v>-16.29851809999991</v>
      </c>
      <c r="AF220" s="5">
        <f t="shared" si="29"/>
        <v>-18.415342099999975</v>
      </c>
      <c r="AG220" s="5">
        <f t="shared" si="29"/>
        <v>-20.348159699999997</v>
      </c>
      <c r="AH220" s="5">
        <f t="shared" si="29"/>
        <v>-22.084636799999998</v>
      </c>
      <c r="AI220" s="5">
        <f t="shared" si="29"/>
        <v>-23.582697200000098</v>
      </c>
      <c r="AJ220" s="5">
        <f t="shared" si="29"/>
        <v>-24.807329800000048</v>
      </c>
      <c r="AK220" s="5">
        <f t="shared" si="29"/>
        <v>-25.741933000000017</v>
      </c>
      <c r="AL220" s="5">
        <f t="shared" si="29"/>
        <v>-26.387197999999898</v>
      </c>
    </row>
    <row r="221" spans="2:38" x14ac:dyDescent="0.35">
      <c r="B221" t="s">
        <v>33</v>
      </c>
      <c r="C221" s="5">
        <f t="shared" ref="C221:AL221" si="30">C197-C209</f>
        <v>0</v>
      </c>
      <c r="D221" s="5">
        <f t="shared" si="30"/>
        <v>0</v>
      </c>
      <c r="E221" s="5">
        <f t="shared" si="30"/>
        <v>0</v>
      </c>
      <c r="F221" s="5">
        <f t="shared" si="30"/>
        <v>0</v>
      </c>
      <c r="G221" s="5">
        <f t="shared" si="30"/>
        <v>0</v>
      </c>
      <c r="H221" s="5">
        <f t="shared" si="30"/>
        <v>0</v>
      </c>
      <c r="I221" s="5">
        <f t="shared" si="30"/>
        <v>0.28021400000034191</v>
      </c>
      <c r="J221" s="5">
        <f t="shared" si="30"/>
        <v>-9.4081719999994675</v>
      </c>
      <c r="K221" s="5">
        <f t="shared" si="30"/>
        <v>-23.706224999999904</v>
      </c>
      <c r="L221" s="5">
        <f t="shared" si="30"/>
        <v>-25.155030999999326</v>
      </c>
      <c r="M221" s="5">
        <f t="shared" si="30"/>
        <v>-17.04376400000001</v>
      </c>
      <c r="N221" s="5">
        <f t="shared" si="30"/>
        <v>-7.6079589999999371</v>
      </c>
      <c r="O221" s="5">
        <f t="shared" si="30"/>
        <v>-0.5388810000004014</v>
      </c>
      <c r="P221" s="5">
        <f t="shared" si="30"/>
        <v>3.9242880000001605</v>
      </c>
      <c r="Q221" s="5">
        <f t="shared" si="30"/>
        <v>7.379214999999931</v>
      </c>
      <c r="R221" s="5">
        <f t="shared" si="30"/>
        <v>11.098381999999219</v>
      </c>
      <c r="S221" s="5">
        <f t="shared" si="30"/>
        <v>14.562251999999717</v>
      </c>
      <c r="T221" s="5">
        <f t="shared" si="30"/>
        <v>17.35756500000025</v>
      </c>
      <c r="U221" s="5">
        <f t="shared" si="30"/>
        <v>19.150644000000284</v>
      </c>
      <c r="V221" s="5">
        <f t="shared" si="30"/>
        <v>19.718937000000551</v>
      </c>
      <c r="W221" s="5">
        <f t="shared" si="30"/>
        <v>19.073855999999978</v>
      </c>
      <c r="X221" s="5">
        <f t="shared" si="30"/>
        <v>16.932898999999452</v>
      </c>
      <c r="Y221" s="5">
        <f t="shared" si="30"/>
        <v>13.541874999999891</v>
      </c>
      <c r="Z221" s="5">
        <f t="shared" si="30"/>
        <v>9.3114109999996799</v>
      </c>
      <c r="AA221" s="5">
        <f t="shared" si="30"/>
        <v>4.6920189999991635</v>
      </c>
      <c r="AB221" s="5">
        <f t="shared" si="30"/>
        <v>9.7270000000207801E-2</v>
      </c>
      <c r="AC221" s="5">
        <f t="shared" si="30"/>
        <v>-4.5783169999995152</v>
      </c>
      <c r="AD221" s="5">
        <f t="shared" si="30"/>
        <v>-9.0701580000004469</v>
      </c>
      <c r="AE221" s="5">
        <f t="shared" si="30"/>
        <v>-13.021666999999979</v>
      </c>
      <c r="AF221" s="5">
        <f t="shared" si="30"/>
        <v>-16.060903999999937</v>
      </c>
      <c r="AG221" s="5">
        <f t="shared" si="30"/>
        <v>-17.866782000000057</v>
      </c>
      <c r="AH221" s="5">
        <f t="shared" si="30"/>
        <v>-18.421306000000186</v>
      </c>
      <c r="AI221" s="5">
        <f t="shared" si="30"/>
        <v>-17.620221000000129</v>
      </c>
      <c r="AJ221" s="5">
        <f t="shared" si="30"/>
        <v>-15.416422000000239</v>
      </c>
      <c r="AK221" s="5">
        <f t="shared" si="30"/>
        <v>-11.862544999999955</v>
      </c>
      <c r="AL221" s="5">
        <f t="shared" si="30"/>
        <v>-7.1054720000001907</v>
      </c>
    </row>
    <row r="222" spans="2:38" x14ac:dyDescent="0.35">
      <c r="B222" t="s">
        <v>31</v>
      </c>
      <c r="C222" s="5">
        <f t="shared" ref="C222:AL222" si="31">C198-C210</f>
        <v>0</v>
      </c>
      <c r="D222" s="5">
        <f t="shared" si="31"/>
        <v>9.9999965641472954E-8</v>
      </c>
      <c r="E222" s="5">
        <f t="shared" si="31"/>
        <v>0</v>
      </c>
      <c r="F222" s="5">
        <f t="shared" si="31"/>
        <v>9.9999965641472954E-8</v>
      </c>
      <c r="G222" s="5">
        <f t="shared" si="31"/>
        <v>0</v>
      </c>
      <c r="H222" s="5">
        <f t="shared" si="31"/>
        <v>0</v>
      </c>
      <c r="I222" s="5">
        <f t="shared" si="31"/>
        <v>0.1376641000000518</v>
      </c>
      <c r="J222" s="5">
        <f t="shared" si="31"/>
        <v>-1.9136936000001015</v>
      </c>
      <c r="K222" s="5">
        <f t="shared" si="31"/>
        <v>-5.4303259999999227</v>
      </c>
      <c r="L222" s="5">
        <f t="shared" si="31"/>
        <v>-7.5567384999999376</v>
      </c>
      <c r="M222" s="5">
        <f t="shared" si="31"/>
        <v>-9.4117899999999963</v>
      </c>
      <c r="N222" s="5">
        <f t="shared" si="31"/>
        <v>-11.510011299999974</v>
      </c>
      <c r="O222" s="5">
        <f t="shared" si="31"/>
        <v>-13.884203200000002</v>
      </c>
      <c r="P222" s="5">
        <f t="shared" si="31"/>
        <v>-16.319007699999929</v>
      </c>
      <c r="Q222" s="5">
        <f t="shared" si="31"/>
        <v>-18.517367400000012</v>
      </c>
      <c r="R222" s="5">
        <f t="shared" si="31"/>
        <v>-20.361110699999927</v>
      </c>
      <c r="S222" s="5">
        <f t="shared" si="31"/>
        <v>-22.174859999999967</v>
      </c>
      <c r="T222" s="5">
        <f t="shared" si="31"/>
        <v>-24.253666400000043</v>
      </c>
      <c r="U222" s="5">
        <f t="shared" si="31"/>
        <v>-26.733167499999922</v>
      </c>
      <c r="V222" s="5">
        <f t="shared" si="31"/>
        <v>-29.576258400000029</v>
      </c>
      <c r="W222" s="5">
        <f t="shared" si="31"/>
        <v>-32.725826699999971</v>
      </c>
      <c r="X222" s="5">
        <f t="shared" si="31"/>
        <v>-36.057480000000055</v>
      </c>
      <c r="Y222" s="5">
        <f t="shared" si="31"/>
        <v>-39.44454369999994</v>
      </c>
      <c r="Z222" s="5">
        <f t="shared" si="31"/>
        <v>-42.791924499999936</v>
      </c>
      <c r="AA222" s="5">
        <f t="shared" si="31"/>
        <v>-46.02167750000001</v>
      </c>
      <c r="AB222" s="5">
        <f t="shared" si="31"/>
        <v>-49.060731400000009</v>
      </c>
      <c r="AC222" s="5">
        <f t="shared" si="31"/>
        <v>-51.828010100000029</v>
      </c>
      <c r="AD222" s="5">
        <f t="shared" si="31"/>
        <v>-54.253608099999951</v>
      </c>
      <c r="AE222" s="5">
        <f t="shared" si="31"/>
        <v>-56.281488999999965</v>
      </c>
      <c r="AF222" s="5">
        <f t="shared" si="31"/>
        <v>-57.85923559999992</v>
      </c>
      <c r="AG222" s="5">
        <f t="shared" si="31"/>
        <v>-58.941643699999872</v>
      </c>
      <c r="AH222" s="5">
        <f t="shared" si="31"/>
        <v>-59.489917000000105</v>
      </c>
      <c r="AI222" s="5">
        <f t="shared" si="31"/>
        <v>-59.482364000000075</v>
      </c>
      <c r="AJ222" s="5">
        <f t="shared" si="31"/>
        <v>-58.931995000000029</v>
      </c>
      <c r="AK222" s="5">
        <f t="shared" si="31"/>
        <v>-57.882442999999967</v>
      </c>
      <c r="AL222" s="5">
        <f t="shared" si="31"/>
        <v>-56.398975999999948</v>
      </c>
    </row>
    <row r="223" spans="2:38" x14ac:dyDescent="0.35">
      <c r="B223" t="s">
        <v>10</v>
      </c>
      <c r="C223" s="5">
        <f t="shared" ref="C223:AL223" si="32">C199-C211</f>
        <v>0</v>
      </c>
      <c r="D223" s="5">
        <f t="shared" si="32"/>
        <v>0</v>
      </c>
      <c r="E223" s="5">
        <f t="shared" si="32"/>
        <v>0</v>
      </c>
      <c r="F223" s="5">
        <f t="shared" si="32"/>
        <v>0</v>
      </c>
      <c r="G223" s="5">
        <f t="shared" si="32"/>
        <v>9.9999997473787516E-6</v>
      </c>
      <c r="H223" s="5">
        <f t="shared" si="32"/>
        <v>9.9999997473787516E-6</v>
      </c>
      <c r="I223" s="5">
        <f t="shared" si="32"/>
        <v>2.0617799999999988</v>
      </c>
      <c r="J223" s="5">
        <f t="shared" si="32"/>
        <v>-19.242539999999281</v>
      </c>
      <c r="K223" s="5">
        <f t="shared" si="32"/>
        <v>-51.657569999999396</v>
      </c>
      <c r="L223" s="5">
        <f t="shared" si="32"/>
        <v>-44.111789999999019</v>
      </c>
      <c r="M223" s="5">
        <f t="shared" si="32"/>
        <v>-0.42449000000124215</v>
      </c>
      <c r="N223" s="5">
        <f t="shared" si="32"/>
        <v>49.783579999999347</v>
      </c>
      <c r="O223" s="5">
        <f t="shared" si="32"/>
        <v>92.699620000003051</v>
      </c>
      <c r="P223" s="5">
        <f t="shared" si="32"/>
        <v>125.33854000000065</v>
      </c>
      <c r="Q223" s="5">
        <f t="shared" si="32"/>
        <v>151.03352000000086</v>
      </c>
      <c r="R223" s="5">
        <f t="shared" si="32"/>
        <v>173.43342999999732</v>
      </c>
      <c r="S223" s="5">
        <f t="shared" si="32"/>
        <v>190.61420999999973</v>
      </c>
      <c r="T223" s="5">
        <f t="shared" si="32"/>
        <v>202.23374999999942</v>
      </c>
      <c r="U223" s="5">
        <f t="shared" si="32"/>
        <v>208.42262000000119</v>
      </c>
      <c r="V223" s="5">
        <f t="shared" si="32"/>
        <v>209.42177000000083</v>
      </c>
      <c r="W223" s="5">
        <f t="shared" si="32"/>
        <v>205.78877999999895</v>
      </c>
      <c r="X223" s="5">
        <f t="shared" si="32"/>
        <v>195.99445000000196</v>
      </c>
      <c r="Y223" s="5">
        <f t="shared" si="32"/>
        <v>180.54305999999997</v>
      </c>
      <c r="Z223" s="5">
        <f t="shared" si="32"/>
        <v>160.6030299999984</v>
      </c>
      <c r="AA223" s="5">
        <f t="shared" si="32"/>
        <v>137.57270000000062</v>
      </c>
      <c r="AB223" s="5">
        <f t="shared" si="32"/>
        <v>112.81328999999823</v>
      </c>
      <c r="AC223" s="5">
        <f t="shared" si="32"/>
        <v>85.726979999999458</v>
      </c>
      <c r="AD223" s="5">
        <f t="shared" si="32"/>
        <v>56.820540000000619</v>
      </c>
      <c r="AE223" s="5">
        <f t="shared" si="32"/>
        <v>27.434579999997368</v>
      </c>
      <c r="AF223" s="5">
        <f t="shared" si="32"/>
        <v>-0.80593000000226311</v>
      </c>
      <c r="AG223" s="5">
        <f t="shared" si="32"/>
        <v>-26.365450000001147</v>
      </c>
      <c r="AH223" s="5">
        <f t="shared" si="32"/>
        <v>-48.97012999999788</v>
      </c>
      <c r="AI223" s="5">
        <f t="shared" si="32"/>
        <v>-67.844079999998939</v>
      </c>
      <c r="AJ223" s="5">
        <f t="shared" si="32"/>
        <v>-82.317240000000311</v>
      </c>
      <c r="AK223" s="5">
        <f t="shared" si="32"/>
        <v>-92.00676999999996</v>
      </c>
      <c r="AL223" s="5">
        <f t="shared" si="32"/>
        <v>-96.820860000003449</v>
      </c>
    </row>
    <row r="224" spans="2:38" x14ac:dyDescent="0.35">
      <c r="B224" t="s">
        <v>34</v>
      </c>
      <c r="C224" s="5">
        <f>C200-C212</f>
        <v>6.6100000140068005E-8</v>
      </c>
      <c r="D224" s="5">
        <f t="shared" ref="D224:AL224" si="33">D200-D212</f>
        <v>9.3799998879262603E-8</v>
      </c>
      <c r="E224" s="5">
        <f t="shared" si="33"/>
        <v>1.0559999807924214E-7</v>
      </c>
      <c r="F224" s="5">
        <f t="shared" si="33"/>
        <v>1.0489999979768072E-7</v>
      </c>
      <c r="G224" s="5">
        <f t="shared" si="33"/>
        <v>9.8599999276416384E-8</v>
      </c>
      <c r="H224" s="5">
        <f t="shared" si="33"/>
        <v>9.6600000887292481E-8</v>
      </c>
      <c r="I224" s="5">
        <f t="shared" si="33"/>
        <v>7.2376776999991677E-3</v>
      </c>
      <c r="J224" s="5">
        <f t="shared" si="33"/>
        <v>-1.2395545699998678E-2</v>
      </c>
      <c r="K224" s="5">
        <f t="shared" si="33"/>
        <v>-6.5590623799998582E-2</v>
      </c>
      <c r="L224" s="5">
        <f t="shared" si="33"/>
        <v>-0.12989672130000329</v>
      </c>
      <c r="M224" s="5">
        <f t="shared" si="33"/>
        <v>-0.23817968349999674</v>
      </c>
      <c r="N224" s="5">
        <f t="shared" si="33"/>
        <v>-0.35629495459999916</v>
      </c>
      <c r="O224" s="5">
        <f t="shared" si="33"/>
        <v>-0.46792976589999569</v>
      </c>
      <c r="P224" s="5">
        <f t="shared" si="33"/>
        <v>-0.56640023620000157</v>
      </c>
      <c r="Q224" s="5">
        <f t="shared" si="33"/>
        <v>-0.64963998630000042</v>
      </c>
      <c r="R224" s="5">
        <f t="shared" si="33"/>
        <v>-0.71942217610000014</v>
      </c>
      <c r="S224" s="5">
        <f t="shared" si="33"/>
        <v>-0.83118219329999832</v>
      </c>
      <c r="T224" s="5">
        <f t="shared" si="33"/>
        <v>-0.9740948790000008</v>
      </c>
      <c r="U224" s="5">
        <f t="shared" si="33"/>
        <v>-1.155806910299999</v>
      </c>
      <c r="V224" s="5">
        <f t="shared" si="33"/>
        <v>-1.4030796714000004</v>
      </c>
      <c r="W224" s="5">
        <f t="shared" si="33"/>
        <v>-1.6892213163999994</v>
      </c>
      <c r="X224" s="5">
        <f t="shared" si="33"/>
        <v>-1.9992183539999999</v>
      </c>
      <c r="Y224" s="5">
        <f t="shared" si="33"/>
        <v>-2.324337989</v>
      </c>
      <c r="Z224" s="5">
        <f t="shared" si="33"/>
        <v>-2.6589757083999981</v>
      </c>
      <c r="AA224" s="5">
        <f t="shared" si="33"/>
        <v>-2.9989648504999984</v>
      </c>
      <c r="AB224" s="5">
        <f t="shared" si="33"/>
        <v>-3.3405039461999948</v>
      </c>
      <c r="AC224" s="5">
        <f t="shared" si="33"/>
        <v>-3.6650029192000027</v>
      </c>
      <c r="AD224" s="5">
        <f t="shared" si="33"/>
        <v>-3.9685539655000017</v>
      </c>
      <c r="AE224" s="5">
        <f t="shared" si="33"/>
        <v>-4.2531311849999991</v>
      </c>
      <c r="AF224" s="5">
        <f t="shared" si="33"/>
        <v>-4.5210029540000036</v>
      </c>
      <c r="AG224" s="5">
        <f t="shared" si="33"/>
        <v>-4.7730453840000067</v>
      </c>
      <c r="AH224" s="5">
        <f t="shared" si="33"/>
        <v>-5.0085035679999912</v>
      </c>
      <c r="AI224" s="5">
        <f t="shared" si="33"/>
        <v>-5.2262654839999989</v>
      </c>
      <c r="AJ224" s="5">
        <f t="shared" si="33"/>
        <v>-5.4252635399999996</v>
      </c>
      <c r="AK224" s="5">
        <f t="shared" si="33"/>
        <v>-5.6046222959999987</v>
      </c>
      <c r="AL224" s="5">
        <f t="shared" si="33"/>
        <v>-5.7636952840000042</v>
      </c>
    </row>
    <row r="225" spans="1:38" x14ac:dyDescent="0.35">
      <c r="B225" t="s">
        <v>39</v>
      </c>
      <c r="C225" s="5">
        <f>C201-C213</f>
        <v>-9.6099999957743876E-8</v>
      </c>
      <c r="D225" s="5">
        <f t="shared" ref="D225:AL225" si="34">D201-D213</f>
        <v>-1.4379999946356747E-7</v>
      </c>
      <c r="E225" s="5">
        <f t="shared" si="34"/>
        <v>-1.6559999949095072E-7</v>
      </c>
      <c r="F225" s="5">
        <f t="shared" si="34"/>
        <v>-1.7490000114861459E-7</v>
      </c>
      <c r="G225" s="5">
        <f t="shared" si="34"/>
        <v>-1.7859999967839713E-7</v>
      </c>
      <c r="H225" s="5">
        <f t="shared" si="34"/>
        <v>-1.766000004010948E-7</v>
      </c>
      <c r="I225" s="5">
        <f t="shared" si="34"/>
        <v>2.9300023000002895E-3</v>
      </c>
      <c r="J225" s="5">
        <f t="shared" si="34"/>
        <v>-9.4211443000000727E-3</v>
      </c>
      <c r="K225" s="5">
        <f t="shared" si="34"/>
        <v>-4.2320306200000601E-2</v>
      </c>
      <c r="L225" s="5">
        <f t="shared" si="34"/>
        <v>-8.9841938699999346E-2</v>
      </c>
      <c r="M225" s="5">
        <f t="shared" si="34"/>
        <v>-0.13023363649999986</v>
      </c>
      <c r="N225" s="5">
        <f t="shared" si="34"/>
        <v>-0.15575656539999994</v>
      </c>
      <c r="O225" s="5">
        <f t="shared" si="34"/>
        <v>-0.16441528410000039</v>
      </c>
      <c r="P225" s="5">
        <f t="shared" si="34"/>
        <v>-0.15779420380000087</v>
      </c>
      <c r="Q225" s="5">
        <f t="shared" si="34"/>
        <v>-0.1387451236999997</v>
      </c>
      <c r="R225" s="5">
        <f t="shared" si="34"/>
        <v>-0.11069859390000047</v>
      </c>
      <c r="S225" s="5">
        <f t="shared" si="34"/>
        <v>-2.4618656700000408E-2</v>
      </c>
      <c r="T225" s="5">
        <f t="shared" si="34"/>
        <v>9.6245499000000123E-2</v>
      </c>
      <c r="U225" s="5">
        <f t="shared" si="34"/>
        <v>0.41154037030000001</v>
      </c>
      <c r="V225" s="5">
        <f t="shared" si="34"/>
        <v>1.2946842114000008</v>
      </c>
      <c r="W225" s="5">
        <f t="shared" si="34"/>
        <v>2.5662720963999996</v>
      </c>
      <c r="X225" s="5">
        <f t="shared" si="34"/>
        <v>4.1413858740000009</v>
      </c>
      <c r="Y225" s="5">
        <f t="shared" si="34"/>
        <v>5.9708650789999993</v>
      </c>
      <c r="Z225" s="5">
        <f t="shared" si="34"/>
        <v>8.0217825484000009</v>
      </c>
      <c r="AA225" s="5">
        <f t="shared" si="34"/>
        <v>10.269385000499998</v>
      </c>
      <c r="AB225" s="5">
        <f t="shared" si="34"/>
        <v>12.691793566199998</v>
      </c>
      <c r="AC225" s="5">
        <f t="shared" si="34"/>
        <v>15.249340109200002</v>
      </c>
      <c r="AD225" s="5">
        <f t="shared" si="34"/>
        <v>17.919696115500003</v>
      </c>
      <c r="AE225" s="5">
        <f t="shared" si="34"/>
        <v>20.685557504999998</v>
      </c>
      <c r="AF225" s="5">
        <f t="shared" si="34"/>
        <v>23.524644164000001</v>
      </c>
      <c r="AG225" s="5">
        <f t="shared" si="34"/>
        <v>26.406771974000005</v>
      </c>
      <c r="AH225" s="5">
        <f t="shared" si="34"/>
        <v>29.297467687999994</v>
      </c>
      <c r="AI225" s="5">
        <f t="shared" si="34"/>
        <v>32.157963293999998</v>
      </c>
      <c r="AJ225" s="5">
        <f t="shared" si="34"/>
        <v>34.947620619999995</v>
      </c>
      <c r="AK225" s="5">
        <f t="shared" si="34"/>
        <v>37.626680285999996</v>
      </c>
      <c r="AL225" s="5">
        <f t="shared" si="34"/>
        <v>40.158917084000002</v>
      </c>
    </row>
    <row r="226" spans="1:38" x14ac:dyDescent="0.35">
      <c r="B226" t="s">
        <v>11</v>
      </c>
      <c r="C226" s="5">
        <f>C202-C214</f>
        <v>0</v>
      </c>
      <c r="D226" s="5">
        <f t="shared" ref="D226:AL226" si="35">D202-D214</f>
        <v>1.0000007932831068E-8</v>
      </c>
      <c r="E226" s="5">
        <f t="shared" si="35"/>
        <v>9.9999937219763524E-9</v>
      </c>
      <c r="F226" s="5">
        <f t="shared" si="35"/>
        <v>1.0000007932831068E-8</v>
      </c>
      <c r="G226" s="5">
        <f t="shared" si="35"/>
        <v>0</v>
      </c>
      <c r="H226" s="5">
        <f t="shared" si="35"/>
        <v>-1.0000007932831068E-8</v>
      </c>
      <c r="I226" s="5">
        <f t="shared" si="35"/>
        <v>-8.7533399999983885E-3</v>
      </c>
      <c r="J226" s="5">
        <f t="shared" si="35"/>
        <v>3.8538369999997713E-2</v>
      </c>
      <c r="K226" s="5">
        <f t="shared" si="35"/>
        <v>0.22547889000000509</v>
      </c>
      <c r="L226" s="5">
        <f t="shared" si="35"/>
        <v>0.84592930000000877</v>
      </c>
      <c r="M226" s="5">
        <f t="shared" si="35"/>
        <v>1.8923546999999985</v>
      </c>
      <c r="N226" s="5">
        <f t="shared" si="35"/>
        <v>2.7212679000000009</v>
      </c>
      <c r="O226" s="5">
        <f t="shared" si="35"/>
        <v>3.1842719999999929</v>
      </c>
      <c r="P226" s="5">
        <f t="shared" si="35"/>
        <v>3.373451799999998</v>
      </c>
      <c r="Q226" s="5">
        <f t="shared" si="35"/>
        <v>3.440824400000011</v>
      </c>
      <c r="R226" s="5">
        <f t="shared" si="35"/>
        <v>3.4986229000000009</v>
      </c>
      <c r="S226" s="5">
        <f t="shared" si="35"/>
        <v>3.5713118000000037</v>
      </c>
      <c r="T226" s="5">
        <f t="shared" si="35"/>
        <v>3.6593723999999952</v>
      </c>
      <c r="U226" s="5">
        <f t="shared" si="35"/>
        <v>3.7318900000000212</v>
      </c>
      <c r="V226" s="5">
        <f t="shared" si="35"/>
        <v>3.7453827999999874</v>
      </c>
      <c r="W226" s="5">
        <f t="shared" si="35"/>
        <v>3.6740260999999919</v>
      </c>
      <c r="X226" s="5">
        <f t="shared" si="35"/>
        <v>3.4604865000000018</v>
      </c>
      <c r="Y226" s="5">
        <f t="shared" si="35"/>
        <v>3.1177281000000221</v>
      </c>
      <c r="Z226" s="5">
        <f t="shared" si="35"/>
        <v>2.6751497999999856</v>
      </c>
      <c r="AA226" s="5">
        <f t="shared" si="35"/>
        <v>2.1500206000000048</v>
      </c>
      <c r="AB226" s="5">
        <f t="shared" si="35"/>
        <v>1.534478699999994</v>
      </c>
      <c r="AC226" s="5">
        <f t="shared" si="35"/>
        <v>0.86194660000001022</v>
      </c>
      <c r="AD226" s="5">
        <f t="shared" si="35"/>
        <v>0.20436039999998457</v>
      </c>
      <c r="AE226" s="5">
        <f t="shared" si="35"/>
        <v>-0.42592880000000832</v>
      </c>
      <c r="AF226" s="5">
        <f t="shared" si="35"/>
        <v>-1.0658448000000078</v>
      </c>
      <c r="AG226" s="5">
        <f t="shared" si="35"/>
        <v>-1.7675197000000082</v>
      </c>
      <c r="AH226" s="5">
        <f t="shared" si="35"/>
        <v>-2.5915143</v>
      </c>
      <c r="AI226" s="5">
        <f t="shared" si="35"/>
        <v>-3.5509262000000206</v>
      </c>
      <c r="AJ226" s="5">
        <f t="shared" si="35"/>
        <v>-4.6353534999999795</v>
      </c>
      <c r="AK226" s="5">
        <f t="shared" si="35"/>
        <v>-5.8263474000000031</v>
      </c>
      <c r="AL226" s="5">
        <f t="shared" si="35"/>
        <v>-7.1036794999999984</v>
      </c>
    </row>
    <row r="228" spans="1:38" x14ac:dyDescent="0.35">
      <c r="B228" t="s">
        <v>16</v>
      </c>
      <c r="C228" s="8" t="s">
        <v>17</v>
      </c>
      <c r="D228" s="8" t="s">
        <v>18</v>
      </c>
      <c r="E228" s="8" t="s">
        <v>19</v>
      </c>
    </row>
    <row r="229" spans="1:38" x14ac:dyDescent="0.35">
      <c r="B229" t="s">
        <v>30</v>
      </c>
      <c r="C229" s="6">
        <f t="shared" ref="C229:C235" si="36">R219</f>
        <v>165.79654999999912</v>
      </c>
      <c r="D229" s="6">
        <f t="shared" ref="D229:D235" si="37">AB219</f>
        <v>64.88263999999981</v>
      </c>
      <c r="E229" s="6">
        <f>AL219</f>
        <v>-159.42094999999972</v>
      </c>
    </row>
    <row r="230" spans="1:38" x14ac:dyDescent="0.35">
      <c r="B230" t="s">
        <v>7</v>
      </c>
      <c r="C230" s="6">
        <f t="shared" si="36"/>
        <v>-1.0426502000000255</v>
      </c>
      <c r="D230" s="6">
        <f t="shared" si="37"/>
        <v>-9.8529531000000361</v>
      </c>
      <c r="E230" s="6">
        <f t="shared" ref="E230:E234" si="38">AL220</f>
        <v>-26.387197999999898</v>
      </c>
    </row>
    <row r="231" spans="1:38" x14ac:dyDescent="0.35">
      <c r="B231" t="s">
        <v>33</v>
      </c>
      <c r="C231" s="6">
        <f t="shared" si="36"/>
        <v>11.098381999999219</v>
      </c>
      <c r="D231" s="6">
        <f t="shared" si="37"/>
        <v>9.7270000000207801E-2</v>
      </c>
      <c r="E231" s="6">
        <f t="shared" si="38"/>
        <v>-7.1054720000001907</v>
      </c>
    </row>
    <row r="232" spans="1:38" x14ac:dyDescent="0.35">
      <c r="B232" t="s">
        <v>31</v>
      </c>
      <c r="C232" s="6">
        <f t="shared" si="36"/>
        <v>-20.361110699999927</v>
      </c>
      <c r="D232" s="6">
        <f t="shared" si="37"/>
        <v>-49.060731400000009</v>
      </c>
      <c r="E232" s="6">
        <f t="shared" si="38"/>
        <v>-56.398975999999948</v>
      </c>
    </row>
    <row r="233" spans="1:38" x14ac:dyDescent="0.35">
      <c r="B233" t="s">
        <v>10</v>
      </c>
      <c r="C233" s="6">
        <f t="shared" si="36"/>
        <v>173.43342999999732</v>
      </c>
      <c r="D233" s="6">
        <f t="shared" si="37"/>
        <v>112.81328999999823</v>
      </c>
      <c r="E233" s="6">
        <f t="shared" si="38"/>
        <v>-96.820860000003449</v>
      </c>
    </row>
    <row r="234" spans="1:38" x14ac:dyDescent="0.35">
      <c r="B234" t="s">
        <v>32</v>
      </c>
      <c r="C234" s="1">
        <f t="shared" si="36"/>
        <v>-0.71942217610000014</v>
      </c>
      <c r="D234" s="1">
        <f t="shared" si="37"/>
        <v>-3.3405039461999948</v>
      </c>
      <c r="E234" s="1">
        <f t="shared" si="38"/>
        <v>-5.7636952840000042</v>
      </c>
    </row>
    <row r="235" spans="1:38" x14ac:dyDescent="0.35">
      <c r="B235" t="s">
        <v>35</v>
      </c>
      <c r="C235" s="1">
        <f t="shared" si="36"/>
        <v>-0.11069859390000047</v>
      </c>
      <c r="D235" s="1">
        <f t="shared" si="37"/>
        <v>12.691793566199998</v>
      </c>
      <c r="E235" s="1">
        <f t="shared" ref="E235" si="39">AL225</f>
        <v>40.158917084000002</v>
      </c>
    </row>
    <row r="236" spans="1:38" x14ac:dyDescent="0.35">
      <c r="B236" t="s">
        <v>36</v>
      </c>
      <c r="C236" s="1">
        <f t="shared" ref="C236" si="40">R226</f>
        <v>3.4986229000000009</v>
      </c>
      <c r="D236" s="1">
        <f t="shared" ref="D236" si="41">AB226</f>
        <v>1.534478699999994</v>
      </c>
      <c r="E236" s="1">
        <f t="shared" ref="E236" si="42">AL226</f>
        <v>-7.1036794999999984</v>
      </c>
    </row>
    <row r="238" spans="1:38" x14ac:dyDescent="0.35">
      <c r="A238" t="s">
        <v>47</v>
      </c>
      <c r="B238" t="s">
        <v>51</v>
      </c>
      <c r="C238" s="5">
        <f>C239+C240+C241+C242</f>
        <v>97.369853532999997</v>
      </c>
      <c r="D238" s="5">
        <f t="shared" ref="D238:AL238" si="43">D239+D240+D241+D242</f>
        <v>98.681812633000007</v>
      </c>
      <c r="E238" s="5">
        <f t="shared" si="43"/>
        <v>100.22727990600001</v>
      </c>
      <c r="F238" s="5">
        <f t="shared" si="43"/>
        <v>101.82733071200001</v>
      </c>
      <c r="G238" s="5">
        <f t="shared" si="43"/>
        <v>103.82929753499999</v>
      </c>
      <c r="H238" s="5">
        <f t="shared" si="43"/>
        <v>106.19383880800001</v>
      </c>
      <c r="I238" s="5">
        <f t="shared" si="43"/>
        <v>108.87502228099999</v>
      </c>
      <c r="J238" s="5">
        <f t="shared" si="43"/>
        <v>110.683968869</v>
      </c>
      <c r="K238" s="5">
        <f t="shared" si="43"/>
        <v>111.899522226</v>
      </c>
      <c r="L238" s="5">
        <f t="shared" si="43"/>
        <v>113.05984183000001</v>
      </c>
      <c r="M238" s="5">
        <f t="shared" si="43"/>
        <v>113.58520935799999</v>
      </c>
      <c r="N238" s="5">
        <f t="shared" si="43"/>
        <v>113.86516308500001</v>
      </c>
      <c r="O238" s="5">
        <f t="shared" si="43"/>
        <v>113.996569978</v>
      </c>
      <c r="P238" s="5">
        <f t="shared" si="43"/>
        <v>114.06509881099998</v>
      </c>
      <c r="Q238" s="5">
        <f t="shared" si="43"/>
        <v>114.163779809</v>
      </c>
      <c r="R238" s="5">
        <f t="shared" si="43"/>
        <v>114.33780692400001</v>
      </c>
      <c r="S238" s="5">
        <f t="shared" si="43"/>
        <v>114.59164169499999</v>
      </c>
      <c r="T238" s="5">
        <f t="shared" si="43"/>
        <v>114.949929035</v>
      </c>
      <c r="U238" s="5">
        <f t="shared" si="43"/>
        <v>115.453706517</v>
      </c>
      <c r="V238" s="5">
        <f t="shared" si="43"/>
        <v>116.13798560000001</v>
      </c>
      <c r="W238" s="5">
        <f t="shared" si="43"/>
        <v>117.02211438399999</v>
      </c>
      <c r="X238" s="5">
        <f t="shared" si="43"/>
        <v>118.189549798</v>
      </c>
      <c r="Y238" s="5">
        <f t="shared" si="43"/>
        <v>119.67378555099999</v>
      </c>
      <c r="Z238" s="5">
        <f t="shared" si="43"/>
        <v>121.47901179899999</v>
      </c>
      <c r="AA238" s="5">
        <f t="shared" si="43"/>
        <v>123.58314576299999</v>
      </c>
      <c r="AB238" s="5">
        <f t="shared" si="43"/>
        <v>125.93524911099999</v>
      </c>
      <c r="AC238" s="5">
        <f t="shared" si="43"/>
        <v>128.530300092</v>
      </c>
      <c r="AD238" s="5">
        <f t="shared" si="43"/>
        <v>131.37119272000001</v>
      </c>
      <c r="AE238" s="5">
        <f t="shared" si="43"/>
        <v>134.43564689799999</v>
      </c>
      <c r="AF238" s="5">
        <f t="shared" si="43"/>
        <v>137.66611614499999</v>
      </c>
      <c r="AG238" s="5">
        <f t="shared" si="43"/>
        <v>140.99314746100001</v>
      </c>
      <c r="AH238" s="5">
        <f t="shared" si="43"/>
        <v>144.39013725199999</v>
      </c>
      <c r="AI238" s="5">
        <f t="shared" si="43"/>
        <v>147.831163218</v>
      </c>
      <c r="AJ238" s="5">
        <f t="shared" si="43"/>
        <v>151.29525082699999</v>
      </c>
      <c r="AK238" s="5">
        <f t="shared" si="43"/>
        <v>154.764868122</v>
      </c>
      <c r="AL238" s="5">
        <f t="shared" si="43"/>
        <v>158.22362163399998</v>
      </c>
    </row>
    <row r="239" spans="1:38" x14ac:dyDescent="0.35">
      <c r="A239" t="s">
        <v>41</v>
      </c>
      <c r="B239" t="s">
        <v>7</v>
      </c>
      <c r="C239" s="5">
        <f>[1]Results!F378</f>
        <v>4.8748047129999996</v>
      </c>
      <c r="D239" s="5">
        <f>[1]Results!G378</f>
        <v>4.9304702130000004</v>
      </c>
      <c r="E239" s="5">
        <f>[1]Results!H378</f>
        <v>4.9993694959999999</v>
      </c>
      <c r="F239" s="5">
        <f>[1]Results!I378</f>
        <v>5.0775447519999997</v>
      </c>
      <c r="G239" s="5">
        <f>[1]Results!J378</f>
        <v>5.1777201049999997</v>
      </c>
      <c r="H239" s="5">
        <f>[1]Results!K378</f>
        <v>5.2981455479999999</v>
      </c>
      <c r="I239" s="5">
        <f>[1]Results!L378</f>
        <v>5.4350844010000001</v>
      </c>
      <c r="J239" s="5">
        <f>[1]Results!M378</f>
        <v>5.5382430490000001</v>
      </c>
      <c r="K239" s="5">
        <f>[1]Results!N378</f>
        <v>5.6168367960000003</v>
      </c>
      <c r="L239" s="5">
        <f>[1]Results!O378</f>
        <v>5.69202107</v>
      </c>
      <c r="M239" s="5">
        <f>[1]Results!P378</f>
        <v>5.7375770179999996</v>
      </c>
      <c r="N239" s="5">
        <f>[1]Results!Q378</f>
        <v>5.7711503249999998</v>
      </c>
      <c r="O239" s="5">
        <f>[1]Results!R378</f>
        <v>5.7964750880000002</v>
      </c>
      <c r="P239" s="5">
        <f>[1]Results!S378</f>
        <v>5.8164294910000001</v>
      </c>
      <c r="Q239" s="5">
        <f>[1]Results!T378</f>
        <v>5.8344181390000003</v>
      </c>
      <c r="R239" s="5">
        <f>[1]Results!U378</f>
        <v>5.8524384339999997</v>
      </c>
      <c r="S239" s="5">
        <f>[1]Results!V378</f>
        <v>5.8703281150000004</v>
      </c>
      <c r="T239" s="5">
        <f>[1]Results!W378</f>
        <v>5.8894621249999997</v>
      </c>
      <c r="U239" s="5">
        <f>[1]Results!X378</f>
        <v>5.9126118769999998</v>
      </c>
      <c r="V239" s="5">
        <f>[1]Results!Y378</f>
        <v>5.9436490199999996</v>
      </c>
      <c r="W239" s="5">
        <f>[1]Results!Z378</f>
        <v>5.9839367440000002</v>
      </c>
      <c r="X239" s="5">
        <f>[1]Results!AA378</f>
        <v>6.0389027779999997</v>
      </c>
      <c r="Y239" s="5">
        <f>[1]Results!AB378</f>
        <v>6.110839811</v>
      </c>
      <c r="Z239" s="5">
        <f>[1]Results!AC378</f>
        <v>6.2007838389999996</v>
      </c>
      <c r="AA239" s="5">
        <f>[1]Results!AD378</f>
        <v>6.3087581630000003</v>
      </c>
      <c r="AB239" s="5">
        <f>[1]Results!AE378</f>
        <v>6.4326622809999998</v>
      </c>
      <c r="AC239" s="5">
        <f>[1]Results!AF378</f>
        <v>6.571732312</v>
      </c>
      <c r="AD239" s="5">
        <f>[1]Results!AG378</f>
        <v>6.7290416799999999</v>
      </c>
      <c r="AE239" s="5">
        <f>[1]Results!AH378</f>
        <v>6.905718008</v>
      </c>
      <c r="AF239" s="5">
        <f>[1]Results!AI378</f>
        <v>7.1010239549999996</v>
      </c>
      <c r="AG239" s="5">
        <f>[1]Results!AJ378</f>
        <v>7.3134359010000001</v>
      </c>
      <c r="AH239" s="5">
        <f>[1]Results!AK378</f>
        <v>7.5432140319999998</v>
      </c>
      <c r="AI239" s="5">
        <f>[1]Results!AL378</f>
        <v>7.7901482480000004</v>
      </c>
      <c r="AJ239" s="5">
        <f>[1]Results!AM378</f>
        <v>8.0539326169999992</v>
      </c>
      <c r="AK239" s="5">
        <f>[1]Results!AN378</f>
        <v>8.3340842520000002</v>
      </c>
      <c r="AL239" s="5">
        <f>[1]Results!AO378</f>
        <v>8.6298086939999994</v>
      </c>
    </row>
    <row r="240" spans="1:38" x14ac:dyDescent="0.35">
      <c r="B240" t="s">
        <v>8</v>
      </c>
      <c r="C240" s="5">
        <f>[1]Results!F390</f>
        <v>43.899454519999999</v>
      </c>
      <c r="D240" s="5">
        <f>[1]Results!G390</f>
        <v>44.571267769999999</v>
      </c>
      <c r="E240" s="5">
        <f>[1]Results!H390</f>
        <v>45.361636369999999</v>
      </c>
      <c r="F240" s="5">
        <f>[1]Results!I390</f>
        <v>46.158922670000003</v>
      </c>
      <c r="G240" s="5">
        <f>[1]Results!J390</f>
        <v>47.155142240000004</v>
      </c>
      <c r="H240" s="5">
        <f>[1]Results!K390</f>
        <v>48.33271998</v>
      </c>
      <c r="I240" s="5">
        <f>[1]Results!L390</f>
        <v>49.671581879999998</v>
      </c>
      <c r="J240" s="5">
        <f>[1]Results!M390</f>
        <v>50.489769809999999</v>
      </c>
      <c r="K240" s="5">
        <f>[1]Results!N390</f>
        <v>50.970060279999998</v>
      </c>
      <c r="L240" s="5">
        <f>[1]Results!O390</f>
        <v>51.417935900000003</v>
      </c>
      <c r="M240" s="5">
        <f>[1]Results!P390</f>
        <v>51.473993980000003</v>
      </c>
      <c r="N240" s="5">
        <f>[1]Results!Q390</f>
        <v>51.39825948</v>
      </c>
      <c r="O240" s="5">
        <f>[1]Results!R390</f>
        <v>51.257115310000003</v>
      </c>
      <c r="P240" s="5">
        <f>[1]Results!S390</f>
        <v>51.105703079999998</v>
      </c>
      <c r="Q240" s="5">
        <f>[1]Results!T390</f>
        <v>50.999519759999998</v>
      </c>
      <c r="R240" s="5">
        <f>[1]Results!U390</f>
        <v>50.961836939999998</v>
      </c>
      <c r="S240" s="5">
        <f>[1]Results!V390</f>
        <v>50.993223489999998</v>
      </c>
      <c r="T240" s="5">
        <f>[1]Results!W390</f>
        <v>51.100780870000001</v>
      </c>
      <c r="U240" s="5">
        <f>[1]Results!X390</f>
        <v>51.301710239999998</v>
      </c>
      <c r="V240" s="5">
        <f>[1]Results!Y390</f>
        <v>51.60725746</v>
      </c>
      <c r="W240" s="5">
        <f>[1]Results!Z390</f>
        <v>52.024219199999997</v>
      </c>
      <c r="X240" s="5">
        <f>[1]Results!AA390</f>
        <v>52.594064830000001</v>
      </c>
      <c r="Y240" s="5">
        <f>[1]Results!AB390</f>
        <v>53.329062780000001</v>
      </c>
      <c r="Z240" s="5">
        <f>[1]Results!AC390</f>
        <v>54.226844249999999</v>
      </c>
      <c r="AA240" s="5">
        <f>[1]Results!AD390</f>
        <v>55.271533779999999</v>
      </c>
      <c r="AB240" s="5">
        <f>[1]Results!AE390</f>
        <v>56.437609199999997</v>
      </c>
      <c r="AC240" s="5">
        <f>[1]Results!AF390</f>
        <v>57.71449527</v>
      </c>
      <c r="AD240" s="5">
        <f>[1]Results!AG390</f>
        <v>59.100990320000001</v>
      </c>
      <c r="AE240" s="5">
        <f>[1]Results!AH390</f>
        <v>60.581662870000002</v>
      </c>
      <c r="AF240" s="5">
        <f>[1]Results!AI390</f>
        <v>62.121860439999999</v>
      </c>
      <c r="AG240" s="5">
        <f>[1]Results!AJ390</f>
        <v>63.680768200000003</v>
      </c>
      <c r="AH240" s="5">
        <f>[1]Results!AK390</f>
        <v>65.243382740000001</v>
      </c>
      <c r="AI240" s="5">
        <f>[1]Results!AL390</f>
        <v>66.793432199999998</v>
      </c>
      <c r="AJ240" s="5">
        <f>[1]Results!AM390</f>
        <v>68.318124699999998</v>
      </c>
      <c r="AK240" s="5">
        <f>[1]Results!AN390</f>
        <v>69.807540410000001</v>
      </c>
      <c r="AL240" s="5">
        <f>[1]Results!AO390</f>
        <v>71.253436789999995</v>
      </c>
    </row>
    <row r="241" spans="1:38" x14ac:dyDescent="0.35">
      <c r="B241" t="s">
        <v>31</v>
      </c>
      <c r="C241" s="5">
        <f>[1]Results!F366</f>
        <v>26.322258130000002</v>
      </c>
      <c r="D241" s="5">
        <f>[1]Results!G366</f>
        <v>26.78563085</v>
      </c>
      <c r="E241" s="5">
        <f>[1]Results!H366</f>
        <v>27.30975703</v>
      </c>
      <c r="F241" s="5">
        <f>[1]Results!I366</f>
        <v>27.870673740000001</v>
      </c>
      <c r="G241" s="5">
        <f>[1]Results!J366</f>
        <v>28.481067320000001</v>
      </c>
      <c r="H241" s="5">
        <f>[1]Results!K366</f>
        <v>29.139256929999998</v>
      </c>
      <c r="I241" s="5">
        <f>[1]Results!L366</f>
        <v>29.836757859999999</v>
      </c>
      <c r="J241" s="5">
        <f>[1]Results!M366</f>
        <v>30.405293029999999</v>
      </c>
      <c r="K241" s="5">
        <f>[1]Results!N366</f>
        <v>30.923762700000001</v>
      </c>
      <c r="L241" s="5">
        <f>[1]Results!O366</f>
        <v>31.526652420000001</v>
      </c>
      <c r="M241" s="5">
        <f>[1]Results!P366</f>
        <v>32.056666249999999</v>
      </c>
      <c r="N241" s="5">
        <f>[1]Results!Q366</f>
        <v>32.463315899999998</v>
      </c>
      <c r="O241" s="5">
        <f>[1]Results!R366</f>
        <v>32.77859419</v>
      </c>
      <c r="P241" s="5">
        <f>[1]Results!S366</f>
        <v>33.037315710000001</v>
      </c>
      <c r="Q241" s="5">
        <f>[1]Results!T366</f>
        <v>33.274231399999998</v>
      </c>
      <c r="R241" s="5">
        <f>[1]Results!U366</f>
        <v>33.509888510000003</v>
      </c>
      <c r="S241" s="5">
        <f>[1]Results!V366</f>
        <v>33.749780029999997</v>
      </c>
      <c r="T241" s="5">
        <f>[1]Results!W366</f>
        <v>34.00524892</v>
      </c>
      <c r="U241" s="5">
        <f>[1]Results!X366</f>
        <v>34.290178160000004</v>
      </c>
      <c r="V241" s="5">
        <f>[1]Results!Y366</f>
        <v>34.618815550000001</v>
      </c>
      <c r="W241" s="5">
        <f>[1]Results!Z366</f>
        <v>34.99517659</v>
      </c>
      <c r="X241" s="5">
        <f>[1]Results!AA366</f>
        <v>35.435893849999999</v>
      </c>
      <c r="Y241" s="5">
        <f>[1]Results!AB366</f>
        <v>35.95019894</v>
      </c>
      <c r="Z241" s="5">
        <f>[1]Results!AC366</f>
        <v>36.542343930000001</v>
      </c>
      <c r="AA241" s="5">
        <f>[1]Results!AD366</f>
        <v>37.212142180000001</v>
      </c>
      <c r="AB241" s="5">
        <f>[1]Results!AE366</f>
        <v>37.951431960000001</v>
      </c>
      <c r="AC241" s="5">
        <f>[1]Results!AF366</f>
        <v>38.757388599999999</v>
      </c>
      <c r="AD241" s="5">
        <f>[1]Results!AG366</f>
        <v>39.638962370000002</v>
      </c>
      <c r="AE241" s="5">
        <f>[1]Results!AH366</f>
        <v>40.602325780000001</v>
      </c>
      <c r="AF241" s="5">
        <f>[1]Results!AI366</f>
        <v>41.643670849999999</v>
      </c>
      <c r="AG241" s="5">
        <f>[1]Results!AJ366</f>
        <v>42.753549659999997</v>
      </c>
      <c r="AH241" s="5">
        <f>[1]Results!AK366</f>
        <v>43.926214160000001</v>
      </c>
      <c r="AI241" s="5">
        <f>[1]Results!AL366</f>
        <v>45.156109919999999</v>
      </c>
      <c r="AJ241" s="5">
        <f>[1]Results!AM366</f>
        <v>46.437000390000001</v>
      </c>
      <c r="AK241" s="5">
        <f>[1]Results!AN366</f>
        <v>47.761833170000003</v>
      </c>
      <c r="AL241" s="5">
        <f>[1]Results!AO366</f>
        <v>49.122637189999999</v>
      </c>
    </row>
    <row r="242" spans="1:38" x14ac:dyDescent="0.35">
      <c r="B242" t="s">
        <v>10</v>
      </c>
      <c r="C242" s="5">
        <f>[1]Results!F402</f>
        <v>22.27333617</v>
      </c>
      <c r="D242" s="5">
        <f>[1]Results!G402</f>
        <v>22.394443800000001</v>
      </c>
      <c r="E242" s="5">
        <f>[1]Results!H402</f>
        <v>22.55651701</v>
      </c>
      <c r="F242" s="5">
        <f>[1]Results!I402</f>
        <v>22.720189550000001</v>
      </c>
      <c r="G242" s="5">
        <f>[1]Results!J402</f>
        <v>23.015367869999999</v>
      </c>
      <c r="H242" s="5">
        <f>[1]Results!K402</f>
        <v>23.423716349999999</v>
      </c>
      <c r="I242" s="5">
        <f>[1]Results!L402</f>
        <v>23.931598139999998</v>
      </c>
      <c r="J242" s="5">
        <f>[1]Results!M402</f>
        <v>24.250662980000001</v>
      </c>
      <c r="K242" s="5">
        <f>[1]Results!N402</f>
        <v>24.388862450000001</v>
      </c>
      <c r="L242" s="5">
        <f>[1]Results!O402</f>
        <v>24.42323244</v>
      </c>
      <c r="M242" s="5">
        <f>[1]Results!P402</f>
        <v>24.316972109999998</v>
      </c>
      <c r="N242" s="5">
        <f>[1]Results!Q402</f>
        <v>24.23243738</v>
      </c>
      <c r="O242" s="5">
        <f>[1]Results!R402</f>
        <v>24.16438539</v>
      </c>
      <c r="P242" s="5">
        <f>[1]Results!S402</f>
        <v>24.105650529999998</v>
      </c>
      <c r="Q242" s="5">
        <f>[1]Results!T402</f>
        <v>24.055610510000001</v>
      </c>
      <c r="R242" s="5">
        <f>[1]Results!U402</f>
        <v>24.013643040000002</v>
      </c>
      <c r="S242" s="5">
        <f>[1]Results!V402</f>
        <v>23.978310059999998</v>
      </c>
      <c r="T242" s="5">
        <f>[1]Results!W402</f>
        <v>23.954437120000001</v>
      </c>
      <c r="U242" s="5">
        <f>[1]Results!X402</f>
        <v>23.949206239999999</v>
      </c>
      <c r="V242" s="5">
        <f>[1]Results!Y402</f>
        <v>23.968263570000001</v>
      </c>
      <c r="W242" s="5">
        <f>[1]Results!Z402</f>
        <v>24.01878185</v>
      </c>
      <c r="X242" s="5">
        <f>[1]Results!AA402</f>
        <v>24.120688340000001</v>
      </c>
      <c r="Y242" s="5">
        <f>[1]Results!AB402</f>
        <v>24.283684019999999</v>
      </c>
      <c r="Z242" s="5">
        <f>[1]Results!AC402</f>
        <v>24.509039779999998</v>
      </c>
      <c r="AA242" s="5">
        <f>[1]Results!AD402</f>
        <v>24.790711640000001</v>
      </c>
      <c r="AB242" s="5">
        <f>[1]Results!AE402</f>
        <v>25.113545670000001</v>
      </c>
      <c r="AC242" s="5">
        <f>[1]Results!AF402</f>
        <v>25.48668391</v>
      </c>
      <c r="AD242" s="5">
        <f>[1]Results!AG402</f>
        <v>25.902198349999999</v>
      </c>
      <c r="AE242" s="5">
        <f>[1]Results!AH402</f>
        <v>26.345940240000001</v>
      </c>
      <c r="AF242" s="5">
        <f>[1]Results!AI402</f>
        <v>26.799560899999999</v>
      </c>
      <c r="AG242" s="5">
        <f>[1]Results!AJ402</f>
        <v>27.245393700000001</v>
      </c>
      <c r="AH242" s="5">
        <f>[1]Results!AK402</f>
        <v>27.677326319999999</v>
      </c>
      <c r="AI242" s="5">
        <f>[1]Results!AL402</f>
        <v>28.091472849999999</v>
      </c>
      <c r="AJ242" s="5">
        <f>[1]Results!AM402</f>
        <v>28.486193119999999</v>
      </c>
      <c r="AK242" s="5">
        <f>[1]Results!AN402</f>
        <v>28.861410289999998</v>
      </c>
      <c r="AL242" s="5">
        <f>[1]Results!AO402</f>
        <v>29.217738959999998</v>
      </c>
    </row>
    <row r="243" spans="1:38" x14ac:dyDescent="0.35">
      <c r="B243" t="s">
        <v>48</v>
      </c>
      <c r="C243" s="5">
        <f>[1]Results!F353</f>
        <v>64.301440170000006</v>
      </c>
      <c r="D243" s="5">
        <f>[1]Results!G353</f>
        <v>63.91864125</v>
      </c>
      <c r="E243" s="5">
        <f>[1]Results!H353</f>
        <v>63.417726039999998</v>
      </c>
      <c r="F243" s="5">
        <f>[1]Results!I353</f>
        <v>62.925135789999999</v>
      </c>
      <c r="G243" s="5">
        <f>[1]Results!J353</f>
        <v>62.66310489</v>
      </c>
      <c r="H243" s="5">
        <f>[1]Results!K353</f>
        <v>62.566937379999999</v>
      </c>
      <c r="I243" s="5">
        <f>[1]Results!L353</f>
        <v>62.568039910000003</v>
      </c>
      <c r="J243" s="5">
        <f>[1]Results!M353</f>
        <v>62.395223469999998</v>
      </c>
      <c r="K243" s="5">
        <f>[1]Results!N353</f>
        <v>62.081292490000003</v>
      </c>
      <c r="L243" s="5">
        <f>[1]Results!O353</f>
        <v>61.633809169999999</v>
      </c>
      <c r="M243" s="5">
        <f>[1]Results!P353</f>
        <v>61.094889100000003</v>
      </c>
      <c r="N243" s="5">
        <f>[1]Results!Q353</f>
        <v>60.836316910000001</v>
      </c>
      <c r="O243" s="5">
        <f>[1]Results!R353</f>
        <v>60.743531779999998</v>
      </c>
      <c r="P243" s="5">
        <f>[1]Results!S353</f>
        <v>60.734187009999999</v>
      </c>
      <c r="Q243" s="5">
        <f>[1]Results!T353</f>
        <v>60.753504210000003</v>
      </c>
      <c r="R243" s="5">
        <f>[1]Results!U353</f>
        <v>60.768496310000003</v>
      </c>
      <c r="S243" s="5">
        <f>[1]Results!V353</f>
        <v>60.784402159999999</v>
      </c>
      <c r="T243" s="5">
        <f>[1]Results!W353</f>
        <v>60.790218439999997</v>
      </c>
      <c r="U243" s="5">
        <f>[1]Results!X353</f>
        <v>60.786556650000001</v>
      </c>
      <c r="V243" s="5">
        <f>[1]Results!Y353</f>
        <v>60.78800081</v>
      </c>
      <c r="W243" s="5">
        <f>[1]Results!Z353</f>
        <v>60.781556090000002</v>
      </c>
      <c r="X243" s="5">
        <f>[1]Results!AA353</f>
        <v>60.810198870000001</v>
      </c>
      <c r="Y243" s="5">
        <f>[1]Results!AB353</f>
        <v>60.868163000000003</v>
      </c>
      <c r="Z243" s="5">
        <f>[1]Results!AC353</f>
        <v>60.947696909999998</v>
      </c>
      <c r="AA243" s="5">
        <f>[1]Results!AD353</f>
        <v>61.03961967</v>
      </c>
      <c r="AB243" s="5">
        <f>[1]Results!AE353</f>
        <v>61.087180940000003</v>
      </c>
      <c r="AC243" s="5">
        <f>[1]Results!AF353</f>
        <v>61.153079609999999</v>
      </c>
      <c r="AD243" s="5">
        <f>[1]Results!AG353</f>
        <v>61.206084449999999</v>
      </c>
      <c r="AE243" s="5">
        <f>[1]Results!AH353</f>
        <v>61.222827639999998</v>
      </c>
      <c r="AF243" s="5">
        <f>[1]Results!AI353</f>
        <v>61.191033169999997</v>
      </c>
      <c r="AG243" s="5">
        <f>[1]Results!AJ353</f>
        <v>61.108768009999999</v>
      </c>
      <c r="AH243" s="5">
        <f>[1]Results!AK353</f>
        <v>60.988219780000001</v>
      </c>
      <c r="AI243" s="5">
        <f>[1]Results!AL353</f>
        <v>60.838842169999999</v>
      </c>
      <c r="AJ243" s="5">
        <f>[1]Results!AM353</f>
        <v>60.669169580000002</v>
      </c>
      <c r="AK243" s="5">
        <f>[1]Results!AN353</f>
        <v>60.486260940000001</v>
      </c>
      <c r="AL243" s="5">
        <f>[1]Results!AO353</f>
        <v>60.295169809999997</v>
      </c>
    </row>
    <row r="244" spans="1:38" x14ac:dyDescent="0.35">
      <c r="B244" t="s">
        <v>49</v>
      </c>
      <c r="C244" s="5">
        <f>[1]Results!F354</f>
        <v>42.52087745</v>
      </c>
      <c r="D244" s="5">
        <f>[1]Results!G354</f>
        <v>42.436897469999998</v>
      </c>
      <c r="E244" s="5">
        <f>[1]Results!H354</f>
        <v>42.07854099</v>
      </c>
      <c r="F244" s="5">
        <f>[1]Results!I354</f>
        <v>41.620115720000001</v>
      </c>
      <c r="G244" s="5">
        <f>[1]Results!J354</f>
        <v>41.298973090000004</v>
      </c>
      <c r="H244" s="5">
        <f>[1]Results!K354</f>
        <v>41.074575329999995</v>
      </c>
      <c r="I244" s="5">
        <f>[1]Results!L354</f>
        <v>40.900823330000001</v>
      </c>
      <c r="J244" s="5">
        <f>[1]Results!M354</f>
        <v>40.548309029999999</v>
      </c>
      <c r="K244" s="5">
        <f>[1]Results!N354</f>
        <v>40.061709110000002</v>
      </c>
      <c r="L244" s="5">
        <f>[1]Results!O354</f>
        <v>39.451549960000001</v>
      </c>
      <c r="M244" s="5">
        <f>[1]Results!P354</f>
        <v>38.773710659999999</v>
      </c>
      <c r="N244" s="5">
        <f>[1]Results!Q354</f>
        <v>38.338414289999996</v>
      </c>
      <c r="O244" s="5">
        <f>[1]Results!R354</f>
        <v>38.049670229999997</v>
      </c>
      <c r="P244" s="5">
        <f>[1]Results!S354</f>
        <v>37.847205960000004</v>
      </c>
      <c r="Q244" s="5">
        <f>[1]Results!T354</f>
        <v>37.688876690000001</v>
      </c>
      <c r="R244" s="5">
        <f>[1]Results!U354</f>
        <v>37.547523460000001</v>
      </c>
      <c r="S244" s="5">
        <f>[1]Results!V354</f>
        <v>37.434419729999995</v>
      </c>
      <c r="T244" s="5">
        <f>[1]Results!W354</f>
        <v>37.336101970000001</v>
      </c>
      <c r="U244" s="5">
        <f>[1]Results!X354</f>
        <v>37.248309840000005</v>
      </c>
      <c r="V244" s="5">
        <f>[1]Results!Y354</f>
        <v>37.17622575</v>
      </c>
      <c r="W244" s="5">
        <f>[1]Results!Z354</f>
        <v>37.108050970000001</v>
      </c>
      <c r="X244" s="5">
        <f>[1]Results!AA354</f>
        <v>37.071340409999998</v>
      </c>
      <c r="Y244" s="5">
        <f>[1]Results!AB354</f>
        <v>37.061028409999999</v>
      </c>
      <c r="Z244" s="5">
        <f>[1]Results!AC354</f>
        <v>37.069043929999999</v>
      </c>
      <c r="AA244" s="5">
        <f>[1]Results!AD354</f>
        <v>37.084697149999997</v>
      </c>
      <c r="AB244" s="5">
        <f>[1]Results!AE354</f>
        <v>37.05398272</v>
      </c>
      <c r="AC244" s="5">
        <f>[1]Results!AF354</f>
        <v>37.029052479999997</v>
      </c>
      <c r="AD244" s="5">
        <f>[1]Results!AG354</f>
        <v>36.980027509999999</v>
      </c>
      <c r="AE244" s="5">
        <f>[1]Results!AH354</f>
        <v>36.884110909999997</v>
      </c>
      <c r="AF244" s="5">
        <f>[1]Results!AI354</f>
        <v>36.729350289999999</v>
      </c>
      <c r="AG244" s="5">
        <f>[1]Results!AJ354</f>
        <v>36.514780439999996</v>
      </c>
      <c r="AH244" s="5">
        <f>[1]Results!AK354</f>
        <v>36.251924359999997</v>
      </c>
      <c r="AI244" s="5">
        <f>[1]Results!AL354</f>
        <v>35.953806640000003</v>
      </c>
      <c r="AJ244" s="5">
        <f>[1]Results!AM354</f>
        <v>35.632876250000002</v>
      </c>
      <c r="AK244" s="5">
        <f>[1]Results!AN354</f>
        <v>35.299985649999996</v>
      </c>
      <c r="AL244" s="5">
        <f>[1]Results!AO354</f>
        <v>34.963873640000003</v>
      </c>
    </row>
    <row r="245" spans="1:38" x14ac:dyDescent="0.35">
      <c r="B245" t="s">
        <v>50</v>
      </c>
      <c r="C245" s="5">
        <f>[1]Results!F362</f>
        <v>21.78056273</v>
      </c>
      <c r="D245" s="5">
        <f>[1]Results!G362</f>
        <v>21.481743789999999</v>
      </c>
      <c r="E245" s="5">
        <f>[1]Results!H362</f>
        <v>21.339185050000001</v>
      </c>
      <c r="F245" s="5">
        <f>[1]Results!I362</f>
        <v>21.305020070000001</v>
      </c>
      <c r="G245" s="5">
        <f>[1]Results!J362</f>
        <v>21.364131799999999</v>
      </c>
      <c r="H245" s="5">
        <f>[1]Results!K362</f>
        <v>21.492362050000001</v>
      </c>
      <c r="I245" s="5">
        <f>[1]Results!L362</f>
        <v>21.667216579999998</v>
      </c>
      <c r="J245" s="5">
        <f>[1]Results!M362</f>
        <v>21.846914429999998</v>
      </c>
      <c r="K245" s="5">
        <f>[1]Results!N362</f>
        <v>22.01958338</v>
      </c>
      <c r="L245" s="5">
        <f>[1]Results!O362</f>
        <v>22.182259200000001</v>
      </c>
      <c r="M245" s="5">
        <f>[1]Results!P362</f>
        <v>22.321178440000001</v>
      </c>
      <c r="N245" s="5">
        <f>[1]Results!Q362</f>
        <v>22.497902620000001</v>
      </c>
      <c r="O245" s="5">
        <f>[1]Results!R362</f>
        <v>22.693861550000001</v>
      </c>
      <c r="P245" s="5">
        <f>[1]Results!S362</f>
        <v>22.886981049999999</v>
      </c>
      <c r="Q245" s="5">
        <f>[1]Results!T362</f>
        <v>23.064627530000003</v>
      </c>
      <c r="R245" s="5">
        <f>[1]Results!U362</f>
        <v>23.220972850000003</v>
      </c>
      <c r="S245" s="5">
        <f>[1]Results!V362</f>
        <v>23.349982430000001</v>
      </c>
      <c r="T245" s="5">
        <f>[1]Results!W362</f>
        <v>23.45411648</v>
      </c>
      <c r="U245" s="5">
        <f>[1]Results!X362</f>
        <v>23.53824681</v>
      </c>
      <c r="V245" s="5">
        <f>[1]Results!Y362</f>
        <v>23.611775059999999</v>
      </c>
      <c r="W245" s="5">
        <f>[1]Results!Z362</f>
        <v>23.673505120000002</v>
      </c>
      <c r="X245" s="5">
        <f>[1]Results!AA362</f>
        <v>23.738858449999999</v>
      </c>
      <c r="Y245" s="5">
        <f>[1]Results!AB362</f>
        <v>23.80713459</v>
      </c>
      <c r="Z245" s="5">
        <f>[1]Results!AC362</f>
        <v>23.878652989999999</v>
      </c>
      <c r="AA245" s="5">
        <f>[1]Results!AD362</f>
        <v>23.95492252</v>
      </c>
      <c r="AB245" s="5">
        <f>[1]Results!AE362</f>
        <v>24.033198219999999</v>
      </c>
      <c r="AC245" s="5">
        <f>[1]Results!AF362</f>
        <v>24.124027120000001</v>
      </c>
      <c r="AD245" s="5">
        <f>[1]Results!AG362</f>
        <v>24.226056940000003</v>
      </c>
      <c r="AE245" s="5">
        <f>[1]Results!AH362</f>
        <v>24.338716719999997</v>
      </c>
      <c r="AF245" s="5">
        <f>[1]Results!AI362</f>
        <v>24.461682879999998</v>
      </c>
      <c r="AG245" s="5">
        <f>[1]Results!AJ362</f>
        <v>24.593987579999997</v>
      </c>
      <c r="AH245" s="5">
        <f>[1]Results!AK362</f>
        <v>24.736295420000001</v>
      </c>
      <c r="AI245" s="5">
        <f>[1]Results!AL362</f>
        <v>24.88503553</v>
      </c>
      <c r="AJ245" s="5">
        <f>[1]Results!AM362</f>
        <v>25.036293329999999</v>
      </c>
      <c r="AK245" s="5">
        <f>[1]Results!AN362</f>
        <v>25.186275289999998</v>
      </c>
      <c r="AL245" s="5">
        <f>[1]Results!AO362</f>
        <v>25.331296170000002</v>
      </c>
    </row>
    <row r="247" spans="1:38" x14ac:dyDescent="0.35">
      <c r="A247" t="s">
        <v>42</v>
      </c>
      <c r="B247" t="s">
        <v>28</v>
      </c>
      <c r="C247" s="5">
        <f>C248+C249+C250+C251</f>
        <v>97.369853602999996</v>
      </c>
      <c r="D247" s="5">
        <f t="shared" ref="D247:AL247" si="44">D248+D249+D250+D251</f>
        <v>98.681812803</v>
      </c>
      <c r="E247" s="5">
        <f t="shared" si="44"/>
        <v>100.227280157</v>
      </c>
      <c r="F247" s="5">
        <f t="shared" si="44"/>
        <v>101.827331074</v>
      </c>
      <c r="G247" s="5">
        <f t="shared" si="44"/>
        <v>103.82929798800001</v>
      </c>
      <c r="H247" s="5">
        <f t="shared" si="44"/>
        <v>106.193839321</v>
      </c>
      <c r="I247" s="5">
        <f t="shared" si="44"/>
        <v>108.668948441</v>
      </c>
      <c r="J247" s="5">
        <f t="shared" si="44"/>
        <v>111.14311890800001</v>
      </c>
      <c r="K247" s="5">
        <f t="shared" si="44"/>
        <v>113.607957144</v>
      </c>
      <c r="L247" s="5">
        <f t="shared" si="44"/>
        <v>116.054380333</v>
      </c>
      <c r="M247" s="5">
        <f t="shared" si="44"/>
        <v>118.37913765499999</v>
      </c>
      <c r="N247" s="5">
        <f t="shared" si="44"/>
        <v>120.220961676</v>
      </c>
      <c r="O247" s="5">
        <f t="shared" si="44"/>
        <v>121.660983466</v>
      </c>
      <c r="P247" s="5">
        <f t="shared" si="44"/>
        <v>122.798153809</v>
      </c>
      <c r="Q247" s="5">
        <f t="shared" si="44"/>
        <v>123.740324542</v>
      </c>
      <c r="R247" s="5">
        <f t="shared" si="44"/>
        <v>124.58643772800001</v>
      </c>
      <c r="S247" s="5">
        <f t="shared" si="44"/>
        <v>125.56936347599999</v>
      </c>
      <c r="T247" s="5">
        <f t="shared" si="44"/>
        <v>126.778220596</v>
      </c>
      <c r="U247" s="5">
        <f t="shared" si="44"/>
        <v>128.26645838799999</v>
      </c>
      <c r="V247" s="5">
        <f t="shared" si="44"/>
        <v>130.056686042</v>
      </c>
      <c r="W247" s="5">
        <f t="shared" si="44"/>
        <v>132.15471069399999</v>
      </c>
      <c r="X247" s="5">
        <f t="shared" si="44"/>
        <v>134.580320645</v>
      </c>
      <c r="Y247" s="5">
        <f t="shared" si="44"/>
        <v>137.34910951399999</v>
      </c>
      <c r="Z247" s="5">
        <f t="shared" si="44"/>
        <v>140.46738173599999</v>
      </c>
      <c r="AA247" s="5">
        <f t="shared" si="44"/>
        <v>143.92440800700001</v>
      </c>
      <c r="AB247" s="5">
        <f t="shared" si="44"/>
        <v>147.68722027199999</v>
      </c>
      <c r="AC247" s="5">
        <f t="shared" si="44"/>
        <v>151.725373674</v>
      </c>
      <c r="AD247" s="5">
        <f t="shared" si="44"/>
        <v>156.05533503800001</v>
      </c>
      <c r="AE247" s="5">
        <f t="shared" si="44"/>
        <v>160.68219697799998</v>
      </c>
      <c r="AF247" s="5">
        <f t="shared" si="44"/>
        <v>165.56659201900001</v>
      </c>
      <c r="AG247" s="5">
        <f t="shared" si="44"/>
        <v>170.64350459500002</v>
      </c>
      <c r="AH247" s="5">
        <f t="shared" si="44"/>
        <v>175.851920627</v>
      </c>
      <c r="AI247" s="5">
        <f t="shared" si="44"/>
        <v>181.14240357099999</v>
      </c>
      <c r="AJ247" s="5">
        <f t="shared" si="44"/>
        <v>186.471250341</v>
      </c>
      <c r="AK247" s="5">
        <f t="shared" si="44"/>
        <v>191.79757922600001</v>
      </c>
      <c r="AL247" s="5">
        <f t="shared" si="44"/>
        <v>197.08186796999999</v>
      </c>
    </row>
    <row r="248" spans="1:38" x14ac:dyDescent="0.35">
      <c r="B248" t="s">
        <v>7</v>
      </c>
      <c r="C248" s="5">
        <f>[1]Results!F439</f>
        <v>4.8748047129999996</v>
      </c>
      <c r="D248" s="5">
        <f>[1]Results!G439</f>
        <v>4.9304702130000004</v>
      </c>
      <c r="E248" s="5">
        <f>[1]Results!H439</f>
        <v>4.999369497</v>
      </c>
      <c r="F248" s="5">
        <f>[1]Results!I439</f>
        <v>5.0775447539999998</v>
      </c>
      <c r="G248" s="5">
        <f>[1]Results!J439</f>
        <v>5.1777201079999999</v>
      </c>
      <c r="H248" s="5">
        <f>[1]Results!K439</f>
        <v>5.2981455510000002</v>
      </c>
      <c r="I248" s="5">
        <f>[1]Results!L439</f>
        <v>5.4302787209999996</v>
      </c>
      <c r="J248" s="5">
        <f>[1]Results!M439</f>
        <v>5.5670776880000004</v>
      </c>
      <c r="K248" s="5">
        <f>[1]Results!N439</f>
        <v>5.706612314</v>
      </c>
      <c r="L248" s="5">
        <f>[1]Results!O439</f>
        <v>5.8475929730000002</v>
      </c>
      <c r="M248" s="5">
        <f>[1]Results!P439</f>
        <v>5.985433285</v>
      </c>
      <c r="N248" s="5">
        <f>[1]Results!Q439</f>
        <v>6.1021826859999999</v>
      </c>
      <c r="O248" s="5">
        <f>[1]Results!R439</f>
        <v>6.1992456860000003</v>
      </c>
      <c r="P248" s="5">
        <f>[1]Results!S439</f>
        <v>6.2796850490000002</v>
      </c>
      <c r="Q248" s="5">
        <f>[1]Results!T439</f>
        <v>6.3477076620000004</v>
      </c>
      <c r="R248" s="5">
        <f>[1]Results!U439</f>
        <v>6.4077816280000004</v>
      </c>
      <c r="S248" s="5">
        <f>[1]Results!V439</f>
        <v>6.4692938260000004</v>
      </c>
      <c r="T248" s="5">
        <f>[1]Results!W439</f>
        <v>6.5380566160000004</v>
      </c>
      <c r="U248" s="5">
        <f>[1]Results!X439</f>
        <v>6.6177985279999998</v>
      </c>
      <c r="V248" s="5">
        <f>[1]Results!Y439</f>
        <v>6.7104401219999996</v>
      </c>
      <c r="W248" s="5">
        <f>[1]Results!Z439</f>
        <v>6.8164335439999997</v>
      </c>
      <c r="X248" s="5">
        <f>[1]Results!AA439</f>
        <v>6.9377104049999998</v>
      </c>
      <c r="Y248" s="5">
        <f>[1]Results!AB439</f>
        <v>7.0753434339999997</v>
      </c>
      <c r="Z248" s="5">
        <f>[1]Results!AC439</f>
        <v>7.2299301959999998</v>
      </c>
      <c r="AA248" s="5">
        <f>[1]Results!AD439</f>
        <v>7.4012825969999998</v>
      </c>
      <c r="AB248" s="5">
        <f>[1]Results!AE439</f>
        <v>7.5868992720000001</v>
      </c>
      <c r="AC248" s="5">
        <f>[1]Results!AF439</f>
        <v>7.7846945940000003</v>
      </c>
      <c r="AD248" s="5">
        <f>[1]Results!AG439</f>
        <v>7.9966552279999998</v>
      </c>
      <c r="AE248" s="5">
        <f>[1]Results!AH439</f>
        <v>8.2236563680000003</v>
      </c>
      <c r="AF248" s="5">
        <f>[1]Results!AI439</f>
        <v>8.4643449589999999</v>
      </c>
      <c r="AG248" s="5">
        <f>[1]Results!AJ439</f>
        <v>8.7160073649999994</v>
      </c>
      <c r="AH248" s="5">
        <f>[1]Results!AK439</f>
        <v>8.9758430469999997</v>
      </c>
      <c r="AI248" s="5">
        <f>[1]Results!AL439</f>
        <v>9.2413519310000005</v>
      </c>
      <c r="AJ248" s="5">
        <f>[1]Results!AM439</f>
        <v>9.5101472410000003</v>
      </c>
      <c r="AK248" s="5">
        <f>[1]Results!AN439</f>
        <v>9.7798784659999995</v>
      </c>
      <c r="AL248" s="5">
        <f>[1]Results!AO439</f>
        <v>10.048206690000001</v>
      </c>
    </row>
    <row r="249" spans="1:38" x14ac:dyDescent="0.35">
      <c r="B249" t="s">
        <v>33</v>
      </c>
      <c r="C249" s="5">
        <f>[1]Results!F451</f>
        <v>43.899454550000002</v>
      </c>
      <c r="D249" s="5">
        <f>[1]Results!G451</f>
        <v>44.571267849999998</v>
      </c>
      <c r="E249" s="5">
        <f>[1]Results!H451</f>
        <v>45.361636490000002</v>
      </c>
      <c r="F249" s="5">
        <f>[1]Results!I451</f>
        <v>46.158922840000002</v>
      </c>
      <c r="G249" s="5">
        <f>[1]Results!J451</f>
        <v>47.15514246</v>
      </c>
      <c r="H249" s="5">
        <f>[1]Results!K451</f>
        <v>48.33272023</v>
      </c>
      <c r="I249" s="5">
        <f>[1]Results!L451</f>
        <v>49.5495108</v>
      </c>
      <c r="J249" s="5">
        <f>[1]Results!M451</f>
        <v>50.748002450000001</v>
      </c>
      <c r="K249" s="5">
        <f>[1]Results!N451</f>
        <v>51.928021639999997</v>
      </c>
      <c r="L249" s="5">
        <f>[1]Results!O451</f>
        <v>53.08837656</v>
      </c>
      <c r="M249" s="5">
        <f>[1]Results!P451</f>
        <v>54.169215199999996</v>
      </c>
      <c r="N249" s="5">
        <f>[1]Results!Q451</f>
        <v>54.97176623</v>
      </c>
      <c r="O249" s="5">
        <f>[1]Results!R451</f>
        <v>55.557598820000003</v>
      </c>
      <c r="P249" s="5">
        <f>[1]Results!S451</f>
        <v>55.991612760000002</v>
      </c>
      <c r="Q249" s="5">
        <f>[1]Results!T451</f>
        <v>56.338794319999998</v>
      </c>
      <c r="R249" s="5">
        <f>[1]Results!U451</f>
        <v>56.654709310000001</v>
      </c>
      <c r="S249" s="5">
        <f>[1]Results!V451</f>
        <v>57.070407410000001</v>
      </c>
      <c r="T249" s="5">
        <f>[1]Results!W451</f>
        <v>57.630561059999998</v>
      </c>
      <c r="U249" s="5">
        <f>[1]Results!X451</f>
        <v>58.358940369999999</v>
      </c>
      <c r="V249" s="5">
        <f>[1]Results!Y451</f>
        <v>59.262260269999999</v>
      </c>
      <c r="W249" s="5">
        <f>[1]Results!Z451</f>
        <v>60.34109892</v>
      </c>
      <c r="X249" s="5">
        <f>[1]Results!AA451</f>
        <v>61.599623360000002</v>
      </c>
      <c r="Y249" s="5">
        <f>[1]Results!AB451</f>
        <v>63.043817939999997</v>
      </c>
      <c r="Z249" s="5">
        <f>[1]Results!AC451</f>
        <v>64.675030460000002</v>
      </c>
      <c r="AA249" s="5">
        <f>[1]Results!AD451</f>
        <v>66.485470149999998</v>
      </c>
      <c r="AB249" s="5">
        <f>[1]Results!AE451</f>
        <v>68.462205049999994</v>
      </c>
      <c r="AC249" s="5">
        <f>[1]Results!AF451</f>
        <v>70.585209039999995</v>
      </c>
      <c r="AD249" s="5">
        <f>[1]Results!AG451</f>
        <v>72.860468830000002</v>
      </c>
      <c r="AE249" s="5">
        <f>[1]Results!AH451</f>
        <v>75.289824969999998</v>
      </c>
      <c r="AF249" s="5">
        <f>[1]Results!AI451</f>
        <v>77.851142339999996</v>
      </c>
      <c r="AG249" s="5">
        <f>[1]Results!AJ451</f>
        <v>80.509019300000006</v>
      </c>
      <c r="AH249" s="5">
        <f>[1]Results!AK451</f>
        <v>83.231531469999993</v>
      </c>
      <c r="AI249" s="5">
        <f>[1]Results!AL451</f>
        <v>85.993831049999997</v>
      </c>
      <c r="AJ249" s="5">
        <f>[1]Results!AM451</f>
        <v>88.774221710000006</v>
      </c>
      <c r="AK249" s="5">
        <f>[1]Results!AN451</f>
        <v>91.552329180000001</v>
      </c>
      <c r="AL249" s="5">
        <f>[1]Results!AO451</f>
        <v>94.308240940000005</v>
      </c>
    </row>
    <row r="250" spans="1:38" x14ac:dyDescent="0.35">
      <c r="B250" t="s">
        <v>31</v>
      </c>
      <c r="C250" s="5">
        <f>[1]Results!F427</f>
        <v>26.322258130000002</v>
      </c>
      <c r="D250" s="5">
        <f>[1]Results!G427</f>
        <v>26.78563085</v>
      </c>
      <c r="E250" s="5">
        <f>[1]Results!H427</f>
        <v>27.30975703</v>
      </c>
      <c r="F250" s="5">
        <f>[1]Results!I427</f>
        <v>27.870673740000001</v>
      </c>
      <c r="G250" s="5">
        <f>[1]Results!J427</f>
        <v>28.481067320000001</v>
      </c>
      <c r="H250" s="5">
        <f>[1]Results!K427</f>
        <v>29.139256929999998</v>
      </c>
      <c r="I250" s="5">
        <f>[1]Results!L427</f>
        <v>29.825195059999999</v>
      </c>
      <c r="J250" s="5">
        <f>[1]Results!M427</f>
        <v>30.522368920000002</v>
      </c>
      <c r="K250" s="5">
        <f>[1]Results!N427</f>
        <v>31.224494050000001</v>
      </c>
      <c r="L250" s="5">
        <f>[1]Results!O427</f>
        <v>31.929170030000002</v>
      </c>
      <c r="M250" s="5">
        <f>[1]Results!P427</f>
        <v>32.612005549999999</v>
      </c>
      <c r="N250" s="5">
        <f>[1]Results!Q427</f>
        <v>33.181510199999998</v>
      </c>
      <c r="O250" s="5">
        <f>[1]Results!R427</f>
        <v>33.657070310000002</v>
      </c>
      <c r="P250" s="5">
        <f>[1]Results!S427</f>
        <v>34.062863149999998</v>
      </c>
      <c r="Q250" s="5">
        <f>[1]Results!T427</f>
        <v>34.42515899</v>
      </c>
      <c r="R250" s="5">
        <f>[1]Results!U427</f>
        <v>34.767758669999999</v>
      </c>
      <c r="S250" s="5">
        <f>[1]Results!V427</f>
        <v>35.124972280000001</v>
      </c>
      <c r="T250" s="5">
        <f>[1]Results!W427</f>
        <v>35.521303369999998</v>
      </c>
      <c r="U250" s="5">
        <f>[1]Results!X427</f>
        <v>35.971888739999997</v>
      </c>
      <c r="V250" s="5">
        <f>[1]Results!Y427</f>
        <v>36.483558510000002</v>
      </c>
      <c r="W250" s="5">
        <f>[1]Results!Z427</f>
        <v>37.057802469999999</v>
      </c>
      <c r="X250" s="5">
        <f>[1]Results!AA427</f>
        <v>37.701295199999997</v>
      </c>
      <c r="Y250" s="5">
        <f>[1]Results!AB427</f>
        <v>38.418881480000003</v>
      </c>
      <c r="Z250" s="5">
        <f>[1]Results!AC427</f>
        <v>39.212599640000001</v>
      </c>
      <c r="AA250" s="5">
        <f>[1]Results!AD427</f>
        <v>40.079915540000002</v>
      </c>
      <c r="AB250" s="5">
        <f>[1]Results!AE427</f>
        <v>41.00960559</v>
      </c>
      <c r="AC250" s="5">
        <f>[1]Results!AF427</f>
        <v>41.991871170000003</v>
      </c>
      <c r="AD250" s="5">
        <f>[1]Results!AG427</f>
        <v>43.03234286</v>
      </c>
      <c r="AE250" s="5">
        <f>[1]Results!AH427</f>
        <v>44.134413680000002</v>
      </c>
      <c r="AF250" s="5">
        <f>[1]Results!AI427</f>
        <v>45.29043721</v>
      </c>
      <c r="AG250" s="5">
        <f>[1]Results!AJ427</f>
        <v>46.48652688</v>
      </c>
      <c r="AH250" s="5">
        <f>[1]Results!AK427</f>
        <v>47.709936949999999</v>
      </c>
      <c r="AI250" s="5">
        <f>[1]Results!AL427</f>
        <v>48.950791430000002</v>
      </c>
      <c r="AJ250" s="5">
        <f>[1]Results!AM427</f>
        <v>50.200499379999997</v>
      </c>
      <c r="AK250" s="5">
        <f>[1]Results!AN427</f>
        <v>51.451018320000003</v>
      </c>
      <c r="AL250" s="5">
        <f>[1]Results!AO427</f>
        <v>52.694538700000003</v>
      </c>
    </row>
    <row r="251" spans="1:38" x14ac:dyDescent="0.35">
      <c r="B251" t="s">
        <v>10</v>
      </c>
      <c r="C251" s="5">
        <f>[1]Results!F463</f>
        <v>22.27333621</v>
      </c>
      <c r="D251" s="5">
        <f>[1]Results!G463</f>
        <v>22.394443890000002</v>
      </c>
      <c r="E251" s="5">
        <f>[1]Results!H463</f>
        <v>22.55651714</v>
      </c>
      <c r="F251" s="5">
        <f>[1]Results!I463</f>
        <v>22.720189739999999</v>
      </c>
      <c r="G251" s="5">
        <f>[1]Results!J463</f>
        <v>23.0153681</v>
      </c>
      <c r="H251" s="5">
        <f>[1]Results!K463</f>
        <v>23.42371661</v>
      </c>
      <c r="I251" s="5">
        <f>[1]Results!L463</f>
        <v>23.863963859999998</v>
      </c>
      <c r="J251" s="5">
        <f>[1]Results!M463</f>
        <v>24.305669850000001</v>
      </c>
      <c r="K251" s="5">
        <f>[1]Results!N463</f>
        <v>24.748829140000002</v>
      </c>
      <c r="L251" s="5">
        <f>[1]Results!O463</f>
        <v>25.189240770000001</v>
      </c>
      <c r="M251" s="5">
        <f>[1]Results!P463</f>
        <v>25.612483619999999</v>
      </c>
      <c r="N251" s="5">
        <f>[1]Results!Q463</f>
        <v>25.965502560000001</v>
      </c>
      <c r="O251" s="5">
        <f>[1]Results!R463</f>
        <v>26.247068649999999</v>
      </c>
      <c r="P251" s="5">
        <f>[1]Results!S463</f>
        <v>26.46399285</v>
      </c>
      <c r="Q251" s="5">
        <f>[1]Results!T463</f>
        <v>26.628663570000001</v>
      </c>
      <c r="R251" s="5">
        <f>[1]Results!U463</f>
        <v>26.756188120000001</v>
      </c>
      <c r="S251" s="5">
        <f>[1]Results!V463</f>
        <v>26.904689959999999</v>
      </c>
      <c r="T251" s="5">
        <f>[1]Results!W463</f>
        <v>27.088299549999999</v>
      </c>
      <c r="U251" s="5">
        <f>[1]Results!X463</f>
        <v>27.317830749999999</v>
      </c>
      <c r="V251" s="5">
        <f>[1]Results!Y463</f>
        <v>27.600427140000001</v>
      </c>
      <c r="W251" s="5">
        <f>[1]Results!Z463</f>
        <v>27.939375760000001</v>
      </c>
      <c r="X251" s="5">
        <f>[1]Results!AA463</f>
        <v>28.34169168</v>
      </c>
      <c r="Y251" s="5">
        <f>[1]Results!AB463</f>
        <v>28.811066660000002</v>
      </c>
      <c r="Z251" s="5">
        <f>[1]Results!AC463</f>
        <v>29.349821439999999</v>
      </c>
      <c r="AA251" s="5">
        <f>[1]Results!AD463</f>
        <v>29.957739719999999</v>
      </c>
      <c r="AB251" s="5">
        <f>[1]Results!AE463</f>
        <v>30.62851036</v>
      </c>
      <c r="AC251" s="5">
        <f>[1]Results!AF463</f>
        <v>31.363598870000001</v>
      </c>
      <c r="AD251" s="5">
        <f>[1]Results!AG463</f>
        <v>32.165868119999999</v>
      </c>
      <c r="AE251" s="5">
        <f>[1]Results!AH463</f>
        <v>33.034301960000001</v>
      </c>
      <c r="AF251" s="5">
        <f>[1]Results!AI463</f>
        <v>33.96066751</v>
      </c>
      <c r="AG251" s="5">
        <f>[1]Results!AJ463</f>
        <v>34.931951050000002</v>
      </c>
      <c r="AH251" s="5">
        <f>[1]Results!AK463</f>
        <v>35.934609160000001</v>
      </c>
      <c r="AI251" s="5">
        <f>[1]Results!AL463</f>
        <v>36.956429159999999</v>
      </c>
      <c r="AJ251" s="5">
        <f>[1]Results!AM463</f>
        <v>37.98638201</v>
      </c>
      <c r="AK251" s="5">
        <f>[1]Results!AN463</f>
        <v>39.01435326</v>
      </c>
      <c r="AL251" s="5">
        <f>[1]Results!AO463</f>
        <v>40.030881639999997</v>
      </c>
    </row>
    <row r="252" spans="1:38" x14ac:dyDescent="0.35">
      <c r="B252" t="s">
        <v>27</v>
      </c>
      <c r="C252" s="5">
        <f>[1]Results!F414</f>
        <v>64.301440170000006</v>
      </c>
      <c r="D252" s="5">
        <f>[1]Results!G414</f>
        <v>63.918641350000001</v>
      </c>
      <c r="E252" s="5">
        <f>[1]Results!H414</f>
        <v>63.417726199999997</v>
      </c>
      <c r="F252" s="5">
        <f>[1]Results!I414</f>
        <v>62.925136010000003</v>
      </c>
      <c r="G252" s="5">
        <f>[1]Results!J414</f>
        <v>62.663105129999998</v>
      </c>
      <c r="H252" s="5">
        <f>[1]Results!K414</f>
        <v>62.566937629999998</v>
      </c>
      <c r="I252" s="5">
        <f>[1]Results!L414</f>
        <v>62.439352100000001</v>
      </c>
      <c r="J252" s="5">
        <f>[1]Results!M414</f>
        <v>62.296083539999998</v>
      </c>
      <c r="K252" s="5">
        <f>[1]Results!N414</f>
        <v>62.17376213</v>
      </c>
      <c r="L252" s="5">
        <f>[1]Results!O414</f>
        <v>62.081951240000002</v>
      </c>
      <c r="M252" s="5">
        <f>[1]Results!P414</f>
        <v>62.048651059999997</v>
      </c>
      <c r="N252" s="5">
        <f>[1]Results!Q414</f>
        <v>62.031301710000001</v>
      </c>
      <c r="O252" s="5">
        <f>[1]Results!R414</f>
        <v>62.027249099999999</v>
      </c>
      <c r="P252" s="5">
        <f>[1]Results!S414</f>
        <v>62.028221870000003</v>
      </c>
      <c r="Q252" s="5">
        <f>[1]Results!T414</f>
        <v>62.025571579999998</v>
      </c>
      <c r="R252" s="5">
        <f>[1]Results!U414</f>
        <v>62.01307946</v>
      </c>
      <c r="S252" s="5">
        <f>[1]Results!V414</f>
        <v>62.064145969999998</v>
      </c>
      <c r="T252" s="5">
        <f>[1]Results!W414</f>
        <v>62.146813350000002</v>
      </c>
      <c r="U252" s="5">
        <f>[1]Results!X414</f>
        <v>62.242754519999998</v>
      </c>
      <c r="V252" s="5">
        <f>[1]Results!Y414</f>
        <v>62.342527269999998</v>
      </c>
      <c r="W252" s="5">
        <f>[1]Results!Z414</f>
        <v>62.424504880000001</v>
      </c>
      <c r="X252" s="5">
        <f>[1]Results!AA414</f>
        <v>62.514718270000003</v>
      </c>
      <c r="Y252" s="5">
        <f>[1]Results!AB414</f>
        <v>62.609194700000003</v>
      </c>
      <c r="Z252" s="5">
        <f>[1]Results!AC414</f>
        <v>62.707734539999997</v>
      </c>
      <c r="AA252" s="5">
        <f>[1]Results!AD414</f>
        <v>62.811650720000003</v>
      </c>
      <c r="AB252" s="5">
        <f>[1]Results!AE414</f>
        <v>62.875303819999999</v>
      </c>
      <c r="AC252" s="5">
        <f>[1]Results!AF414</f>
        <v>62.956881359999997</v>
      </c>
      <c r="AD252" s="5">
        <f>[1]Results!AG414</f>
        <v>63.052876689999998</v>
      </c>
      <c r="AE252" s="5">
        <f>[1]Results!AH414</f>
        <v>63.162146559999996</v>
      </c>
      <c r="AF252" s="5">
        <f>[1]Results!AI414</f>
        <v>63.284648429999997</v>
      </c>
      <c r="AG252" s="5">
        <f>[1]Results!AJ414</f>
        <v>63.420080159999998</v>
      </c>
      <c r="AH252" s="5">
        <f>[1]Results!AK414</f>
        <v>63.567106119999998</v>
      </c>
      <c r="AI252" s="5">
        <f>[1]Results!AL414</f>
        <v>63.723867470000002</v>
      </c>
      <c r="AJ252" s="5">
        <f>[1]Results!AM414</f>
        <v>63.887593799999998</v>
      </c>
      <c r="AK252" s="5">
        <f>[1]Results!AN414</f>
        <v>64.055363439999994</v>
      </c>
      <c r="AL252" s="5">
        <f>[1]Results!AO414</f>
        <v>64.224226580000007</v>
      </c>
    </row>
    <row r="253" spans="1:38" x14ac:dyDescent="0.35">
      <c r="B253" t="s">
        <v>52</v>
      </c>
      <c r="C253" s="5">
        <f>[1]Results!F415</f>
        <v>42.52087745</v>
      </c>
      <c r="D253" s="5">
        <f>[1]Results!G415</f>
        <v>42.436897560000006</v>
      </c>
      <c r="E253" s="5">
        <f>[1]Results!H415</f>
        <v>42.078541159999993</v>
      </c>
      <c r="F253" s="5">
        <f>[1]Results!I415</f>
        <v>41.620115939999998</v>
      </c>
      <c r="G253" s="5">
        <f>[1]Results!J415</f>
        <v>41.298973340000003</v>
      </c>
      <c r="H253" s="5">
        <f>[1]Results!K415</f>
        <v>41.074575590000002</v>
      </c>
      <c r="I253" s="5">
        <f>[1]Results!L415</f>
        <v>40.778950420000001</v>
      </c>
      <c r="J253" s="5">
        <f>[1]Results!M415</f>
        <v>40.44368369</v>
      </c>
      <c r="K253" s="5">
        <f>[1]Results!N415</f>
        <v>40.11042295</v>
      </c>
      <c r="L253" s="5">
        <f>[1]Results!O415</f>
        <v>39.791957439999997</v>
      </c>
      <c r="M253" s="5">
        <f>[1]Results!P415</f>
        <v>39.517823409999998</v>
      </c>
      <c r="N253" s="5">
        <f>[1]Results!Q415</f>
        <v>39.257723479999996</v>
      </c>
      <c r="O253" s="5">
        <f>[1]Results!R415</f>
        <v>39.01674251</v>
      </c>
      <c r="P253" s="5">
        <f>[1]Results!S415</f>
        <v>38.792839600000001</v>
      </c>
      <c r="Q253" s="5">
        <f>[1]Results!T415</f>
        <v>38.581273850000002</v>
      </c>
      <c r="R253" s="5">
        <f>[1]Results!U415</f>
        <v>38.377413090000005</v>
      </c>
      <c r="S253" s="5">
        <f>[1]Results!V415</f>
        <v>38.244362289999998</v>
      </c>
      <c r="T253" s="5">
        <f>[1]Results!W415</f>
        <v>38.146631590000005</v>
      </c>
      <c r="U253" s="5">
        <f>[1]Results!X415</f>
        <v>38.065453020000007</v>
      </c>
      <c r="V253" s="5">
        <f>[1]Results!Y415</f>
        <v>37.991300240000001</v>
      </c>
      <c r="W253" s="5">
        <f>[1]Results!Z415</f>
        <v>37.903677770000002</v>
      </c>
      <c r="X253" s="5">
        <f>[1]Results!AA415</f>
        <v>37.824699430000003</v>
      </c>
      <c r="Y253" s="5">
        <f>[1]Results!AB415</f>
        <v>37.748689409999997</v>
      </c>
      <c r="Z253" s="5">
        <f>[1]Results!AC415</f>
        <v>37.673214430000002</v>
      </c>
      <c r="AA253" s="5">
        <f>[1]Results!AD415</f>
        <v>37.597511520000005</v>
      </c>
      <c r="AB253" s="5">
        <f>[1]Results!AE415</f>
        <v>37.479086000000002</v>
      </c>
      <c r="AC253" s="5">
        <f>[1]Results!AF415</f>
        <v>37.371053310000001</v>
      </c>
      <c r="AD253" s="5">
        <f>[1]Results!AG415</f>
        <v>37.269099509999997</v>
      </c>
      <c r="AE253" s="5">
        <f>[1]Results!AH415</f>
        <v>37.170903819999999</v>
      </c>
      <c r="AF253" s="5">
        <f>[1]Results!AI415</f>
        <v>37.075693600000001</v>
      </c>
      <c r="AG253" s="5">
        <f>[1]Results!AJ415</f>
        <v>36.983390579999998</v>
      </c>
      <c r="AH253" s="5">
        <f>[1]Results!AK415</f>
        <v>36.893800679999998</v>
      </c>
      <c r="AI253" s="5">
        <f>[1]Results!AL415</f>
        <v>36.806895619999999</v>
      </c>
      <c r="AJ253" s="5">
        <f>[1]Results!AM415</f>
        <v>36.72224207</v>
      </c>
      <c r="AK253" s="5">
        <f>[1]Results!AN415</f>
        <v>36.639622280000005</v>
      </c>
      <c r="AL253" s="5">
        <f>[1]Results!AO415</f>
        <v>36.559048709999999</v>
      </c>
    </row>
    <row r="254" spans="1:38" x14ac:dyDescent="0.35">
      <c r="B254" t="s">
        <v>53</v>
      </c>
      <c r="C254" s="5">
        <f>[1]Results!F423</f>
        <v>21.78056273</v>
      </c>
      <c r="D254" s="5">
        <f>[1]Results!G423</f>
        <v>21.481743789999999</v>
      </c>
      <c r="E254" s="5">
        <f>[1]Results!H423</f>
        <v>21.339185050000001</v>
      </c>
      <c r="F254" s="5">
        <f>[1]Results!I423</f>
        <v>21.305020070000001</v>
      </c>
      <c r="G254" s="5">
        <f>[1]Results!J423</f>
        <v>21.364131799999999</v>
      </c>
      <c r="H254" s="5">
        <f>[1]Results!K423</f>
        <v>21.492362050000001</v>
      </c>
      <c r="I254" s="5">
        <f>[1]Results!L423</f>
        <v>21.66040168</v>
      </c>
      <c r="J254" s="5">
        <f>[1]Results!M423</f>
        <v>21.852399850000001</v>
      </c>
      <c r="K254" s="5">
        <f>[1]Results!N423</f>
        <v>22.06333918</v>
      </c>
      <c r="L254" s="5">
        <f>[1]Results!O423</f>
        <v>22.289993800000001</v>
      </c>
      <c r="M254" s="5">
        <f>[1]Results!P423</f>
        <v>22.530827640000002</v>
      </c>
      <c r="N254" s="5">
        <f>[1]Results!Q423</f>
        <v>22.773578230000002</v>
      </c>
      <c r="O254" s="5">
        <f>[1]Results!R423</f>
        <v>23.010506589999999</v>
      </c>
      <c r="P254" s="5">
        <f>[1]Results!S423</f>
        <v>23.235382269999999</v>
      </c>
      <c r="Q254" s="5">
        <f>[1]Results!T423</f>
        <v>23.444297729999999</v>
      </c>
      <c r="R254" s="5">
        <f>[1]Results!U423</f>
        <v>23.635666370000003</v>
      </c>
      <c r="S254" s="5">
        <f>[1]Results!V423</f>
        <v>23.81978368</v>
      </c>
      <c r="T254" s="5">
        <f>[1]Results!W423</f>
        <v>24.00018176</v>
      </c>
      <c r="U254" s="5">
        <f>[1]Results!X423</f>
        <v>24.177301489999998</v>
      </c>
      <c r="V254" s="5">
        <f>[1]Results!Y423</f>
        <v>24.35122703</v>
      </c>
      <c r="W254" s="5">
        <f>[1]Results!Z423</f>
        <v>24.52082712</v>
      </c>
      <c r="X254" s="5">
        <f>[1]Results!AA423</f>
        <v>24.69001884</v>
      </c>
      <c r="Y254" s="5">
        <f>[1]Results!AB423</f>
        <v>24.860505289999999</v>
      </c>
      <c r="Z254" s="5">
        <f>[1]Results!AC423</f>
        <v>25.034520109999999</v>
      </c>
      <c r="AA254" s="5">
        <f>[1]Results!AD423</f>
        <v>25.214139199999998</v>
      </c>
      <c r="AB254" s="5">
        <f>[1]Results!AE423</f>
        <v>25.39621782</v>
      </c>
      <c r="AC254" s="5">
        <f>[1]Results!AF423</f>
        <v>25.58582805</v>
      </c>
      <c r="AD254" s="5">
        <f>[1]Results!AG423</f>
        <v>25.783777180000001</v>
      </c>
      <c r="AE254" s="5">
        <f>[1]Results!AH423</f>
        <v>25.991242739999997</v>
      </c>
      <c r="AF254" s="5">
        <f>[1]Results!AI423</f>
        <v>26.20895483</v>
      </c>
      <c r="AG254" s="5">
        <f>[1]Results!AJ423</f>
        <v>26.436689569999999</v>
      </c>
      <c r="AH254" s="5">
        <f>[1]Results!AK423</f>
        <v>26.673305429999999</v>
      </c>
      <c r="AI254" s="5">
        <f>[1]Results!AL423</f>
        <v>26.916971850000003</v>
      </c>
      <c r="AJ254" s="5">
        <f>[1]Results!AM423</f>
        <v>27.165351730000001</v>
      </c>
      <c r="AK254" s="5">
        <f>[1]Results!AN423</f>
        <v>27.41574116</v>
      </c>
      <c r="AL254" s="5">
        <f>[1]Results!AO423</f>
        <v>27.665177870000001</v>
      </c>
    </row>
    <row r="256" spans="1:38" x14ac:dyDescent="0.35">
      <c r="C256" s="2">
        <v>42005</v>
      </c>
      <c r="D256" s="2">
        <v>42370</v>
      </c>
      <c r="E256" s="2">
        <v>42736</v>
      </c>
      <c r="F256" s="2">
        <v>43101</v>
      </c>
      <c r="G256" s="2">
        <v>43466</v>
      </c>
      <c r="H256" s="2">
        <v>43831</v>
      </c>
      <c r="I256" s="2">
        <v>44197</v>
      </c>
      <c r="J256" s="2">
        <v>44562</v>
      </c>
      <c r="K256" s="2">
        <v>44927</v>
      </c>
      <c r="L256" s="2">
        <v>45292</v>
      </c>
      <c r="M256" s="2">
        <v>45658</v>
      </c>
      <c r="N256" s="2">
        <v>46023</v>
      </c>
      <c r="O256" s="2">
        <v>46388</v>
      </c>
      <c r="P256" s="2">
        <v>46753</v>
      </c>
      <c r="Q256" s="2">
        <v>47119</v>
      </c>
      <c r="R256" s="2">
        <v>47484</v>
      </c>
      <c r="S256" s="2">
        <v>47849</v>
      </c>
      <c r="T256" s="2">
        <v>48214</v>
      </c>
      <c r="U256" s="2">
        <v>48580</v>
      </c>
      <c r="V256" s="2">
        <v>48945</v>
      </c>
      <c r="W256" s="2">
        <v>49310</v>
      </c>
      <c r="X256" s="2">
        <v>49675</v>
      </c>
      <c r="Y256" s="2">
        <v>50041</v>
      </c>
      <c r="Z256" s="2">
        <v>50406</v>
      </c>
      <c r="AA256" s="2">
        <v>50771</v>
      </c>
      <c r="AB256" s="2">
        <v>51136</v>
      </c>
      <c r="AC256" s="2">
        <v>51502</v>
      </c>
      <c r="AD256" s="2">
        <v>51867</v>
      </c>
      <c r="AE256" s="2">
        <v>52232</v>
      </c>
      <c r="AF256" s="2">
        <v>52597</v>
      </c>
      <c r="AG256" s="2">
        <v>52963</v>
      </c>
      <c r="AH256" s="2">
        <v>53328</v>
      </c>
      <c r="AI256" s="2">
        <v>53693</v>
      </c>
      <c r="AJ256" s="2">
        <v>54058</v>
      </c>
      <c r="AK256" s="2">
        <v>54424</v>
      </c>
      <c r="AL256" s="2">
        <v>54789</v>
      </c>
    </row>
    <row r="257" spans="1:38" x14ac:dyDescent="0.35">
      <c r="B257" t="s">
        <v>28</v>
      </c>
      <c r="C257" s="10">
        <f>(C238/C133)/(C247/C122)-1</f>
        <v>-7.189083772729532E-10</v>
      </c>
      <c r="D257" s="10">
        <f t="shared" ref="D257:AL257" si="45">(D238/D133)/(D247/D122)-1</f>
        <v>-1.7227084203597087E-9</v>
      </c>
      <c r="E257" s="10">
        <f t="shared" si="45"/>
        <v>-2.504308094231078E-9</v>
      </c>
      <c r="F257" s="10">
        <f t="shared" si="45"/>
        <v>-3.5550375976356463E-9</v>
      </c>
      <c r="G257" s="10">
        <f t="shared" si="45"/>
        <v>-4.3629305723769107E-9</v>
      </c>
      <c r="H257" s="10">
        <f t="shared" si="45"/>
        <v>-4.8307885469611733E-9</v>
      </c>
      <c r="I257" s="10">
        <f t="shared" si="45"/>
        <v>1.6489254827047883E-3</v>
      </c>
      <c r="J257" s="10">
        <f t="shared" si="45"/>
        <v>-1.6836146494952908E-3</v>
      </c>
      <c r="K257" s="10">
        <f t="shared" si="45"/>
        <v>-9.9007340013793632E-3</v>
      </c>
      <c r="L257" s="10">
        <f t="shared" si="45"/>
        <v>-2.1972449035264408E-2</v>
      </c>
      <c r="M257" s="10">
        <f t="shared" si="45"/>
        <v>-3.8351475629507137E-2</v>
      </c>
      <c r="N257" s="10">
        <f t="shared" si="45"/>
        <v>-5.1717923619827966E-2</v>
      </c>
      <c r="O257" s="10">
        <f t="shared" si="45"/>
        <v>-6.2301423706076386E-2</v>
      </c>
      <c r="P257" s="10">
        <f t="shared" si="45"/>
        <v>-7.0647070925465516E-2</v>
      </c>
      <c r="Q257" s="10">
        <f t="shared" si="45"/>
        <v>-7.7251660656720733E-2</v>
      </c>
      <c r="R257" s="10">
        <f t="shared" si="45"/>
        <v>-8.2610699028654588E-2</v>
      </c>
      <c r="S257" s="10">
        <f t="shared" si="45"/>
        <v>-8.795154520764481E-2</v>
      </c>
      <c r="T257" s="10">
        <f t="shared" si="45"/>
        <v>-9.3727843513792153E-2</v>
      </c>
      <c r="U257" s="10">
        <f t="shared" si="45"/>
        <v>-9.9993571299687556E-2</v>
      </c>
      <c r="V257" s="10">
        <f t="shared" si="45"/>
        <v>-0.1066555204049715</v>
      </c>
      <c r="W257" s="10">
        <f t="shared" si="45"/>
        <v>-0.11354195461758909</v>
      </c>
      <c r="X257" s="10">
        <f t="shared" si="45"/>
        <v>-0.1200800360733828</v>
      </c>
      <c r="Y257" s="10">
        <f t="shared" si="45"/>
        <v>-0.12615581466969372</v>
      </c>
      <c r="Z257" s="10">
        <f t="shared" si="45"/>
        <v>-0.13179635402102041</v>
      </c>
      <c r="AA257" s="10">
        <f t="shared" si="45"/>
        <v>-0.13710993505375302</v>
      </c>
      <c r="AB257" s="10">
        <f t="shared" si="45"/>
        <v>-0.14225984875741493</v>
      </c>
      <c r="AC257" s="10">
        <f t="shared" si="45"/>
        <v>-0.14707072370587337</v>
      </c>
      <c r="AD257" s="10">
        <f t="shared" si="45"/>
        <v>-0.15163662129231925</v>
      </c>
      <c r="AE257" s="10">
        <f t="shared" si="45"/>
        <v>-0.15614434461930726</v>
      </c>
      <c r="AF257" s="10">
        <f t="shared" si="45"/>
        <v>-0.16074920436848772</v>
      </c>
      <c r="AG257" s="10">
        <f t="shared" si="45"/>
        <v>-0.16553347504959748</v>
      </c>
      <c r="AH257" s="10">
        <f t="shared" si="45"/>
        <v>-0.17031817759304813</v>
      </c>
      <c r="AI257" s="10">
        <f t="shared" si="45"/>
        <v>-0.17503385575768493</v>
      </c>
      <c r="AJ257" s="10">
        <f t="shared" si="45"/>
        <v>-0.17960748222130996</v>
      </c>
      <c r="AK257" s="10">
        <f t="shared" si="45"/>
        <v>-0.18396422920310795</v>
      </c>
      <c r="AL257" s="10">
        <f t="shared" si="45"/>
        <v>-0.18803648599079559</v>
      </c>
    </row>
    <row r="258" spans="1:38" x14ac:dyDescent="0.35">
      <c r="B258" t="s">
        <v>7</v>
      </c>
      <c r="C258" s="10">
        <f>(C239/C134)/(C248/C123)-1</f>
        <v>0</v>
      </c>
      <c r="D258" s="10">
        <f t="shared" ref="D258:AL258" si="46">(D239/D134)/(D248/D123)-1</f>
        <v>0</v>
      </c>
      <c r="E258" s="10">
        <f t="shared" si="46"/>
        <v>-2.0002521861073319E-10</v>
      </c>
      <c r="F258" s="10">
        <f t="shared" si="46"/>
        <v>-4.0464465111966774E-10</v>
      </c>
      <c r="G258" s="10">
        <f t="shared" si="46"/>
        <v>-5.7940563458203087E-10</v>
      </c>
      <c r="H258" s="10">
        <f t="shared" si="46"/>
        <v>-5.7650806351006167E-10</v>
      </c>
      <c r="I258" s="10">
        <f t="shared" si="46"/>
        <v>5.8162283843721241E-4</v>
      </c>
      <c r="J258" s="10">
        <f t="shared" si="46"/>
        <v>-1.6475106818856222E-3</v>
      </c>
      <c r="K258" s="10">
        <f t="shared" si="46"/>
        <v>-8.063298566320265E-3</v>
      </c>
      <c r="L258" s="10">
        <f t="shared" si="46"/>
        <v>-1.8986460307317765E-2</v>
      </c>
      <c r="M258" s="10">
        <f t="shared" si="46"/>
        <v>-3.3870374148251448E-2</v>
      </c>
      <c r="N258" s="10">
        <f t="shared" si="46"/>
        <v>-4.6161786003563798E-2</v>
      </c>
      <c r="O258" s="10">
        <f t="shared" si="46"/>
        <v>-5.5938311230056215E-2</v>
      </c>
      <c r="P258" s="10">
        <f t="shared" si="46"/>
        <v>-6.3797867534440833E-2</v>
      </c>
      <c r="Q258" s="10">
        <f t="shared" si="46"/>
        <v>-7.0286925635230313E-2</v>
      </c>
      <c r="R258" s="10">
        <f t="shared" si="46"/>
        <v>-7.5827330193349862E-2</v>
      </c>
      <c r="S258" s="10">
        <f t="shared" si="46"/>
        <v>-8.139351532988448E-2</v>
      </c>
      <c r="T258" s="10">
        <f t="shared" si="46"/>
        <v>-8.7365642631902607E-2</v>
      </c>
      <c r="U258" s="10">
        <f t="shared" si="46"/>
        <v>-9.3756111648730323E-2</v>
      </c>
      <c r="V258" s="10">
        <f t="shared" si="46"/>
        <v>-0.10021999583591412</v>
      </c>
      <c r="W258" s="10">
        <f t="shared" si="46"/>
        <v>-0.1066403088976875</v>
      </c>
      <c r="X258" s="10">
        <f t="shared" si="46"/>
        <v>-0.11243544346944245</v>
      </c>
      <c r="Y258" s="10">
        <f t="shared" si="46"/>
        <v>-0.11752209962904769</v>
      </c>
      <c r="Z258" s="10">
        <f t="shared" si="46"/>
        <v>-0.12190208817865722</v>
      </c>
      <c r="AA258" s="10">
        <f t="shared" si="46"/>
        <v>-0.12561457802309695</v>
      </c>
      <c r="AB258" s="10">
        <f t="shared" si="46"/>
        <v>-0.12871436222475141</v>
      </c>
      <c r="AC258" s="10">
        <f t="shared" si="46"/>
        <v>-0.13077069224124693</v>
      </c>
      <c r="AD258" s="10">
        <f t="shared" si="46"/>
        <v>-0.13192729748022802</v>
      </c>
      <c r="AE258" s="10">
        <f t="shared" si="46"/>
        <v>-0.13228698305949982</v>
      </c>
      <c r="AF258" s="10">
        <f t="shared" si="46"/>
        <v>-0.13191428062693067</v>
      </c>
      <c r="AG258" s="10">
        <f t="shared" si="46"/>
        <v>-0.13081345332938732</v>
      </c>
      <c r="AH258" s="10">
        <f t="shared" si="46"/>
        <v>-0.12873445016119422</v>
      </c>
      <c r="AI258" s="10">
        <f t="shared" si="46"/>
        <v>-0.12558885356572846</v>
      </c>
      <c r="AJ258" s="10">
        <f t="shared" si="46"/>
        <v>-0.12129769194905871</v>
      </c>
      <c r="AK258" s="10">
        <f t="shared" si="46"/>
        <v>-0.11579798649533091</v>
      </c>
      <c r="AL258" s="10">
        <f t="shared" si="46"/>
        <v>-0.10905629439646247</v>
      </c>
    </row>
    <row r="259" spans="1:38" x14ac:dyDescent="0.35">
      <c r="B259" t="s">
        <v>33</v>
      </c>
      <c r="C259" s="10">
        <f>(C240/C135)/(C249/C124)-1</f>
        <v>-6.8440142442227625E-10</v>
      </c>
      <c r="D259" s="10">
        <f t="shared" ref="D259:AL259" si="47">(D240/D135)/(D249/D124)-1</f>
        <v>-1.7958772247084198E-9</v>
      </c>
      <c r="E259" s="10">
        <f t="shared" si="47"/>
        <v>-2.7146133119160254E-9</v>
      </c>
      <c r="F259" s="10">
        <f t="shared" si="47"/>
        <v>-3.5508684881335739E-9</v>
      </c>
      <c r="G259" s="10">
        <f t="shared" si="47"/>
        <v>-4.5914316793016496E-9</v>
      </c>
      <c r="H259" s="10">
        <f t="shared" si="47"/>
        <v>-5.1904887055087556E-9</v>
      </c>
      <c r="I259" s="10">
        <f t="shared" si="47"/>
        <v>2.1669218331266116E-3</v>
      </c>
      <c r="J259" s="10">
        <f t="shared" si="47"/>
        <v>-8.5357826439480533E-4</v>
      </c>
      <c r="K259" s="10">
        <f t="shared" si="47"/>
        <v>-9.7885871853555795E-3</v>
      </c>
      <c r="L259" s="10">
        <f t="shared" si="47"/>
        <v>-2.3983533140191415E-2</v>
      </c>
      <c r="M259" s="10">
        <f t="shared" si="47"/>
        <v>-4.3110317288135969E-2</v>
      </c>
      <c r="N259" s="10">
        <f t="shared" si="47"/>
        <v>-5.8628932426704972E-2</v>
      </c>
      <c r="O259" s="10">
        <f t="shared" si="47"/>
        <v>-7.0725047268898167E-2</v>
      </c>
      <c r="P259" s="10">
        <f t="shared" si="47"/>
        <v>-8.0104354484928586E-2</v>
      </c>
      <c r="Q259" s="10">
        <f t="shared" si="47"/>
        <v>-8.7413615523733057E-2</v>
      </c>
      <c r="R259" s="10">
        <f t="shared" si="47"/>
        <v>-9.3239764327579855E-2</v>
      </c>
      <c r="S259" s="10">
        <f t="shared" si="47"/>
        <v>-9.9002038297154926E-2</v>
      </c>
      <c r="T259" s="10">
        <f t="shared" si="47"/>
        <v>-0.10527970617755011</v>
      </c>
      <c r="U259" s="10">
        <f t="shared" si="47"/>
        <v>-0.11211697259474429</v>
      </c>
      <c r="V259" s="10">
        <f t="shared" si="47"/>
        <v>-0.11942266874927132</v>
      </c>
      <c r="W259" s="10">
        <f t="shared" si="47"/>
        <v>-0.12703089975503201</v>
      </c>
      <c r="X259" s="10">
        <f t="shared" si="47"/>
        <v>-0.13432719444105712</v>
      </c>
      <c r="Y259" s="10">
        <f t="shared" si="47"/>
        <v>-0.14118654197287139</v>
      </c>
      <c r="Z259" s="10">
        <f t="shared" si="47"/>
        <v>-0.14765625223808543</v>
      </c>
      <c r="AA259" s="10">
        <f t="shared" si="47"/>
        <v>-0.15388089020589957</v>
      </c>
      <c r="AB259" s="10">
        <f t="shared" si="47"/>
        <v>-0.16007056083950177</v>
      </c>
      <c r="AC259" s="10">
        <f t="shared" si="47"/>
        <v>-0.16614268609873251</v>
      </c>
      <c r="AD259" s="10">
        <f t="shared" si="47"/>
        <v>-0.17213489613555932</v>
      </c>
      <c r="AE259" s="10">
        <f t="shared" si="47"/>
        <v>-0.17824767483622284</v>
      </c>
      <c r="AF259" s="10">
        <f t="shared" si="47"/>
        <v>-0.18466418950511598</v>
      </c>
      <c r="AG259" s="10">
        <f t="shared" si="47"/>
        <v>-0.1914908669004074</v>
      </c>
      <c r="AH259" s="10">
        <f t="shared" si="47"/>
        <v>-0.19854707205998146</v>
      </c>
      <c r="AI259" s="10">
        <f t="shared" si="47"/>
        <v>-0.20575428120549166</v>
      </c>
      <c r="AJ259" s="10">
        <f t="shared" si="47"/>
        <v>-0.21302741926619484</v>
      </c>
      <c r="AK259" s="10">
        <f t="shared" si="47"/>
        <v>-0.2202730037290096</v>
      </c>
      <c r="AL259" s="10">
        <f t="shared" si="47"/>
        <v>-0.22739853681357125</v>
      </c>
    </row>
    <row r="260" spans="1:38" x14ac:dyDescent="0.35">
      <c r="B260" t="s">
        <v>31</v>
      </c>
      <c r="C260" s="10">
        <f>(C241/C136)/(C250/C125)-1</f>
        <v>0</v>
      </c>
      <c r="D260" s="10">
        <f t="shared" ref="D260:AL260" si="48">(D241/D136)/(D250/D125)-1</f>
        <v>-8.099565462771352E-11</v>
      </c>
      <c r="E260" s="10">
        <f t="shared" si="48"/>
        <v>0</v>
      </c>
      <c r="F260" s="10">
        <f t="shared" si="48"/>
        <v>0</v>
      </c>
      <c r="G260" s="10">
        <f t="shared" si="48"/>
        <v>-7.5608297400719948E-11</v>
      </c>
      <c r="H260" s="10">
        <f t="shared" si="48"/>
        <v>0</v>
      </c>
      <c r="I260" s="10">
        <f t="shared" si="48"/>
        <v>1.1077185442931459E-4</v>
      </c>
      <c r="J260" s="10">
        <f t="shared" si="48"/>
        <v>1.2955730944328447E-3</v>
      </c>
      <c r="K260" s="10">
        <f t="shared" si="48"/>
        <v>1.7450506668972299E-3</v>
      </c>
      <c r="L260" s="10">
        <f t="shared" si="48"/>
        <v>7.6438148820634488E-4</v>
      </c>
      <c r="M260" s="10">
        <f t="shared" si="48"/>
        <v>4.3654266865211788E-4</v>
      </c>
      <c r="N260" s="10">
        <f t="shared" si="48"/>
        <v>6.6542042734418771E-4</v>
      </c>
      <c r="O260" s="10">
        <f t="shared" si="48"/>
        <v>1.1117909927100822E-3</v>
      </c>
      <c r="P260" s="10">
        <f t="shared" si="48"/>
        <v>1.5710949251357409E-3</v>
      </c>
      <c r="Q260" s="10">
        <f t="shared" si="48"/>
        <v>1.9507220539076719E-3</v>
      </c>
      <c r="R260" s="10">
        <f t="shared" si="48"/>
        <v>2.2967374335212121E-3</v>
      </c>
      <c r="S260" s="10">
        <f t="shared" si="48"/>
        <v>2.579280240540438E-3</v>
      </c>
      <c r="T260" s="10">
        <f t="shared" si="48"/>
        <v>2.8245753127489337E-3</v>
      </c>
      <c r="U260" s="10">
        <f t="shared" si="48"/>
        <v>3.0086415057091198E-3</v>
      </c>
      <c r="V260" s="10">
        <f t="shared" si="48"/>
        <v>3.1192304602656318E-3</v>
      </c>
      <c r="W260" s="10">
        <f t="shared" si="48"/>
        <v>3.1582128277019006E-3</v>
      </c>
      <c r="X260" s="10">
        <f t="shared" si="48"/>
        <v>3.1255382234702811E-3</v>
      </c>
      <c r="Y260" s="10">
        <f t="shared" si="48"/>
        <v>3.0209401144070114E-3</v>
      </c>
      <c r="Z260" s="10">
        <f t="shared" si="48"/>
        <v>2.862183963125764E-3</v>
      </c>
      <c r="AA260" s="10">
        <f t="shared" si="48"/>
        <v>2.6654905362570869E-3</v>
      </c>
      <c r="AB260" s="10">
        <f t="shared" si="48"/>
        <v>2.4435577381083373E-3</v>
      </c>
      <c r="AC260" s="10">
        <f t="shared" si="48"/>
        <v>2.2121651530944142E-3</v>
      </c>
      <c r="AD260" s="10">
        <f t="shared" si="48"/>
        <v>1.9815923900756705E-3</v>
      </c>
      <c r="AE260" s="10">
        <f t="shared" si="48"/>
        <v>1.7711567064426781E-3</v>
      </c>
      <c r="AF260" s="10">
        <f t="shared" si="48"/>
        <v>1.6098123985184287E-3</v>
      </c>
      <c r="AG260" s="10">
        <f t="shared" si="48"/>
        <v>1.5389309696143272E-3</v>
      </c>
      <c r="AH260" s="10">
        <f t="shared" si="48"/>
        <v>1.6153843562485282E-3</v>
      </c>
      <c r="AI260" s="10">
        <f t="shared" si="48"/>
        <v>1.8894830152789144E-3</v>
      </c>
      <c r="AJ260" s="10">
        <f t="shared" si="48"/>
        <v>2.4186795098557479E-3</v>
      </c>
      <c r="AK260" s="10">
        <f t="shared" si="48"/>
        <v>3.2529799067588794E-3</v>
      </c>
      <c r="AL260" s="10">
        <f t="shared" si="48"/>
        <v>4.4291196771291119E-3</v>
      </c>
    </row>
    <row r="261" spans="1:38" x14ac:dyDescent="0.35">
      <c r="B261" t="s">
        <v>10</v>
      </c>
      <c r="C261" s="10">
        <f>(C242/C137)/(C251/C126)-1</f>
        <v>-1.8349828323493966E-9</v>
      </c>
      <c r="D261" s="10">
        <f t="shared" ref="D261:AL261" si="49">(D242/D137)/(D251/D126)-1</f>
        <v>-4.0188540273433659E-9</v>
      </c>
      <c r="E261" s="10">
        <f t="shared" si="49"/>
        <v>-5.7633009475921426E-9</v>
      </c>
      <c r="F261" s="10">
        <f t="shared" si="49"/>
        <v>-8.3626061631036919E-9</v>
      </c>
      <c r="G261" s="10">
        <f t="shared" si="49"/>
        <v>-1.0391338123305616E-8</v>
      </c>
      <c r="H261" s="10">
        <f t="shared" si="49"/>
        <v>-1.1099861030317015E-8</v>
      </c>
      <c r="I261" s="10">
        <f t="shared" si="49"/>
        <v>2.6041121678774815E-3</v>
      </c>
      <c r="J261" s="10">
        <f t="shared" si="49"/>
        <v>-6.1029282750602043E-4</v>
      </c>
      <c r="K261" s="10">
        <f t="shared" si="49"/>
        <v>-1.102154525489929E-2</v>
      </c>
      <c r="L261" s="10">
        <f t="shared" si="49"/>
        <v>-2.8358797962992677E-2</v>
      </c>
      <c r="M261" s="10">
        <f t="shared" si="49"/>
        <v>-5.0750823462358707E-2</v>
      </c>
      <c r="N261" s="10">
        <f t="shared" si="49"/>
        <v>-6.8519182430615611E-2</v>
      </c>
      <c r="O261" s="10">
        <f t="shared" si="49"/>
        <v>-8.2210324103126342E-2</v>
      </c>
      <c r="P261" s="10">
        <f t="shared" si="49"/>
        <v>-9.2773846765614287E-2</v>
      </c>
      <c r="Q261" s="10">
        <f t="shared" si="49"/>
        <v>-0.10105707281729315</v>
      </c>
      <c r="R261" s="10">
        <f t="shared" si="49"/>
        <v>-0.10775180786737382</v>
      </c>
      <c r="S261" s="10">
        <f t="shared" si="49"/>
        <v>-0.11453462654748792</v>
      </c>
      <c r="T261" s="10">
        <f t="shared" si="49"/>
        <v>-0.12172045359026873</v>
      </c>
      <c r="U261" s="10">
        <f t="shared" si="49"/>
        <v>-0.12939489180896357</v>
      </c>
      <c r="V261" s="10">
        <f t="shared" si="49"/>
        <v>-0.13756803003003271</v>
      </c>
      <c r="W261" s="10">
        <f t="shared" si="49"/>
        <v>-0.1460503675396313</v>
      </c>
      <c r="X261" s="10">
        <f t="shared" si="49"/>
        <v>-0.15422724585589542</v>
      </c>
      <c r="Y261" s="10">
        <f t="shared" si="49"/>
        <v>-0.1618828706344615</v>
      </c>
      <c r="Z261" s="10">
        <f t="shared" si="49"/>
        <v>-0.16904494889799981</v>
      </c>
      <c r="AA261" s="10">
        <f t="shared" si="49"/>
        <v>-0.17591704713439182</v>
      </c>
      <c r="AB261" s="10">
        <f t="shared" si="49"/>
        <v>-0.18282233041546403</v>
      </c>
      <c r="AC261" s="10">
        <f t="shared" si="49"/>
        <v>-0.18941570783247541</v>
      </c>
      <c r="AD261" s="10">
        <f t="shared" si="49"/>
        <v>-0.19601405639185698</v>
      </c>
      <c r="AE261" s="10">
        <f t="shared" si="49"/>
        <v>-0.20301976186110271</v>
      </c>
      <c r="AF261" s="10">
        <f t="shared" si="49"/>
        <v>-0.21074980733080473</v>
      </c>
      <c r="AG261" s="10">
        <f t="shared" si="49"/>
        <v>-0.21935733604050434</v>
      </c>
      <c r="AH261" s="10">
        <f t="shared" si="49"/>
        <v>-0.22860705074623922</v>
      </c>
      <c r="AI261" s="10">
        <f t="shared" si="49"/>
        <v>-0.23830671676324866</v>
      </c>
      <c r="AJ261" s="10">
        <f t="shared" si="49"/>
        <v>-0.24824474601728008</v>
      </c>
      <c r="AK261" s="10">
        <f t="shared" si="49"/>
        <v>-0.25821158777638664</v>
      </c>
      <c r="AL261" s="10">
        <f t="shared" si="49"/>
        <v>-0.2680190565161954</v>
      </c>
    </row>
    <row r="262" spans="1:38" x14ac:dyDescent="0.35">
      <c r="B262" t="s">
        <v>27</v>
      </c>
      <c r="C262" s="10">
        <f>(C243/C58)/(C252/C57)-1</f>
        <v>0</v>
      </c>
      <c r="D262" s="10">
        <f t="shared" ref="D262:AL262" si="50">(D243/D58)/(D252/D57)-1</f>
        <v>-1.5644888717858407E-9</v>
      </c>
      <c r="E262" s="10">
        <f t="shared" si="50"/>
        <v>-2.5229538458404477E-9</v>
      </c>
      <c r="F262" s="10">
        <f t="shared" si="50"/>
        <v>-3.4962182038356104E-9</v>
      </c>
      <c r="G262" s="10">
        <f t="shared" si="50"/>
        <v>-3.8300048688100219E-9</v>
      </c>
      <c r="H262" s="10">
        <f t="shared" si="50"/>
        <v>-3.9957205322238565E-9</v>
      </c>
      <c r="I262" s="10">
        <f t="shared" si="50"/>
        <v>1.5469898126718729E-3</v>
      </c>
      <c r="J262" s="10">
        <f t="shared" si="50"/>
        <v>7.4416102057828226E-4</v>
      </c>
      <c r="K262" s="10">
        <f t="shared" si="50"/>
        <v>-2.4687296863012964E-3</v>
      </c>
      <c r="L262" s="10">
        <f t="shared" si="50"/>
        <v>-9.7288797926817772E-3</v>
      </c>
      <c r="M262" s="10">
        <f t="shared" si="50"/>
        <v>-2.1290243137647824E-2</v>
      </c>
      <c r="N262" s="10">
        <f t="shared" si="50"/>
        <v>-2.9025830839330968E-2</v>
      </c>
      <c r="O262" s="10">
        <f t="shared" si="50"/>
        <v>-3.4524976557083309E-2</v>
      </c>
      <c r="P262" s="10">
        <f t="shared" si="50"/>
        <v>-3.8557493885715166E-2</v>
      </c>
      <c r="Q262" s="10">
        <f t="shared" si="50"/>
        <v>-4.1750670132597811E-2</v>
      </c>
      <c r="R262" s="10">
        <f t="shared" si="50"/>
        <v>-4.4604545747890856E-2</v>
      </c>
      <c r="S262" s="10">
        <f t="shared" si="50"/>
        <v>-4.7918002209591859E-2</v>
      </c>
      <c r="T262" s="10">
        <f t="shared" si="50"/>
        <v>-5.1464291506703619E-2</v>
      </c>
      <c r="U262" s="10">
        <f t="shared" si="50"/>
        <v>-5.5108590223439946E-2</v>
      </c>
      <c r="V262" s="10">
        <f t="shared" si="50"/>
        <v>-5.8576908074085776E-2</v>
      </c>
      <c r="W262" s="10">
        <f t="shared" si="50"/>
        <v>-6.1765514680818145E-2</v>
      </c>
      <c r="X262" s="10">
        <f t="shared" si="50"/>
        <v>-6.4244474231136106E-2</v>
      </c>
      <c r="Y262" s="10">
        <f t="shared" si="50"/>
        <v>-6.604949278051564E-2</v>
      </c>
      <c r="Z262" s="10">
        <f t="shared" si="50"/>
        <v>-6.7289587459655742E-2</v>
      </c>
      <c r="AA262" s="10">
        <f t="shared" si="50"/>
        <v>-6.8147054424194442E-2</v>
      </c>
      <c r="AB262" s="10">
        <f t="shared" si="50"/>
        <v>-6.8867244774615921E-2</v>
      </c>
      <c r="AC262" s="10">
        <f t="shared" si="50"/>
        <v>-6.9144314959907138E-2</v>
      </c>
      <c r="AD262" s="10">
        <f t="shared" si="50"/>
        <v>-6.9457163338807915E-2</v>
      </c>
      <c r="AE262" s="10">
        <f t="shared" si="50"/>
        <v>-7.022485737456774E-2</v>
      </c>
      <c r="AF262" s="10">
        <f t="shared" si="50"/>
        <v>-7.1713994578798901E-2</v>
      </c>
      <c r="AG262" s="10">
        <f t="shared" si="50"/>
        <v>-7.4022752425348504E-2</v>
      </c>
      <c r="AH262" s="10">
        <f t="shared" si="50"/>
        <v>-7.6923704331053E-2</v>
      </c>
      <c r="AI262" s="10">
        <f t="shared" si="50"/>
        <v>-8.0335920400568805E-2</v>
      </c>
      <c r="AJ262" s="10">
        <f t="shared" si="50"/>
        <v>-8.4151298949260878E-2</v>
      </c>
      <c r="AK262" s="10">
        <f t="shared" si="50"/>
        <v>-8.8275585463350015E-2</v>
      </c>
      <c r="AL262" s="10">
        <f t="shared" si="50"/>
        <v>-9.2638693397628646E-2</v>
      </c>
    </row>
    <row r="263" spans="1:38" x14ac:dyDescent="0.35">
      <c r="B263" t="s">
        <v>52</v>
      </c>
      <c r="C263" s="10">
        <f>(C244/C58)/(C253/C57)-1</f>
        <v>0</v>
      </c>
      <c r="D263" s="10">
        <f t="shared" ref="D263:AL263" si="51">(D244/D58)/(D253/D57)-1</f>
        <v>-2.1207960942959403E-9</v>
      </c>
      <c r="E263" s="10">
        <f t="shared" si="51"/>
        <v>-4.0400638390281074E-9</v>
      </c>
      <c r="F263" s="10">
        <f t="shared" si="51"/>
        <v>-5.2859052690479302E-9</v>
      </c>
      <c r="G263" s="10">
        <f t="shared" si="51"/>
        <v>-6.0534192103389728E-9</v>
      </c>
      <c r="H263" s="10">
        <f t="shared" si="51"/>
        <v>-6.3299498975766255E-9</v>
      </c>
      <c r="I263" s="10">
        <f t="shared" si="51"/>
        <v>2.4741321148200601E-3</v>
      </c>
      <c r="J263" s="10">
        <f t="shared" si="51"/>
        <v>1.7388266472222469E-3</v>
      </c>
      <c r="K263" s="10">
        <f t="shared" si="51"/>
        <v>-2.1962135713147202E-3</v>
      </c>
      <c r="L263" s="10">
        <f t="shared" si="51"/>
        <v>-1.1061625284894738E-2</v>
      </c>
      <c r="M263" s="10">
        <f t="shared" si="51"/>
        <v>-2.4728057157353156E-2</v>
      </c>
      <c r="N263" s="10">
        <f t="shared" si="51"/>
        <v>-3.3137553663113439E-2</v>
      </c>
      <c r="O263" s="10">
        <f t="shared" si="51"/>
        <v>-3.8557282390969116E-2</v>
      </c>
      <c r="P263" s="10">
        <f t="shared" si="51"/>
        <v>-4.2008444585867943E-2</v>
      </c>
      <c r="Q263" s="10">
        <f t="shared" si="51"/>
        <v>-4.4315378946584327E-2</v>
      </c>
      <c r="R263" s="10">
        <f t="shared" si="51"/>
        <v>-4.6120359888801365E-2</v>
      </c>
      <c r="S263" s="10">
        <f t="shared" si="51"/>
        <v>-4.8460832606895154E-2</v>
      </c>
      <c r="T263" s="10">
        <f t="shared" si="51"/>
        <v>-5.0900762450981629E-2</v>
      </c>
      <c r="U263" s="10">
        <f t="shared" si="51"/>
        <v>-5.3242552070392524E-2</v>
      </c>
      <c r="V263" s="10">
        <f t="shared" si="51"/>
        <v>-5.5216000883948513E-2</v>
      </c>
      <c r="W263" s="10">
        <f t="shared" si="51"/>
        <v>-5.663126944257435E-2</v>
      </c>
      <c r="X263" s="10">
        <f t="shared" si="51"/>
        <v>-5.7175067485095599E-2</v>
      </c>
      <c r="Y263" s="10">
        <f t="shared" si="51"/>
        <v>-5.6835657129267858E-2</v>
      </c>
      <c r="Z263" s="10">
        <f t="shared" si="51"/>
        <v>-5.5744888064319986E-2</v>
      </c>
      <c r="AA263" s="10">
        <f t="shared" si="51"/>
        <v>-5.4173656241870982E-2</v>
      </c>
      <c r="AB263" s="10">
        <f t="shared" si="51"/>
        <v>-5.248188705456569E-2</v>
      </c>
      <c r="AC263" s="10">
        <f t="shared" si="51"/>
        <v>-5.0457320245774651E-2</v>
      </c>
      <c r="AD263" s="10">
        <f t="shared" si="51"/>
        <v>-4.8814965146625866E-2</v>
      </c>
      <c r="AE263" s="10">
        <f t="shared" si="51"/>
        <v>-4.8173863057659361E-2</v>
      </c>
      <c r="AF263" s="10">
        <f t="shared" si="51"/>
        <v>-4.8921529583970114E-2</v>
      </c>
      <c r="AG263" s="10">
        <f t="shared" si="51"/>
        <v>-5.1176257330949104E-2</v>
      </c>
      <c r="AH263" s="10">
        <f t="shared" si="51"/>
        <v>-5.4630143333636139E-2</v>
      </c>
      <c r="AI263" s="10">
        <f t="shared" si="51"/>
        <v>-5.9050971250478423E-2</v>
      </c>
      <c r="AJ263" s="10">
        <f t="shared" si="51"/>
        <v>-6.4176589327655575E-2</v>
      </c>
      <c r="AK263" s="10">
        <f t="shared" si="51"/>
        <v>-6.97795418688687E-2</v>
      </c>
      <c r="AL263" s="10">
        <f t="shared" si="51"/>
        <v>-7.568229659444381E-2</v>
      </c>
    </row>
    <row r="264" spans="1:38" x14ac:dyDescent="0.35">
      <c r="B264" t="s">
        <v>53</v>
      </c>
      <c r="C264" s="10">
        <f>(C245/C58)/(C254/C57)-1</f>
        <v>0</v>
      </c>
      <c r="D264" s="10">
        <f t="shared" ref="D264:AL264" si="52">(D245/D58)/(D254/D57)-1</f>
        <v>0</v>
      </c>
      <c r="E264" s="10">
        <f t="shared" si="52"/>
        <v>0</v>
      </c>
      <c r="F264" s="10">
        <f t="shared" si="52"/>
        <v>0</v>
      </c>
      <c r="G264" s="10">
        <f t="shared" si="52"/>
        <v>0</v>
      </c>
      <c r="H264" s="10">
        <f t="shared" si="52"/>
        <v>0</v>
      </c>
      <c r="I264" s="10">
        <f t="shared" si="52"/>
        <v>-1.9849443688857438E-4</v>
      </c>
      <c r="J264" s="10">
        <f t="shared" si="52"/>
        <v>-1.0967329887290322E-3</v>
      </c>
      <c r="K264" s="10">
        <f t="shared" si="52"/>
        <v>-2.9641549953907109E-3</v>
      </c>
      <c r="L264" s="10">
        <f t="shared" si="52"/>
        <v>-7.3496713278604631E-3</v>
      </c>
      <c r="M264" s="10">
        <f t="shared" si="52"/>
        <v>-1.5260507377163113E-2</v>
      </c>
      <c r="N264" s="10">
        <f t="shared" si="52"/>
        <v>-2.1937929411973367E-2</v>
      </c>
      <c r="O264" s="10">
        <f t="shared" si="52"/>
        <v>-2.7687776436045697E-2</v>
      </c>
      <c r="P264" s="10">
        <f t="shared" si="52"/>
        <v>-3.2795928380877859E-2</v>
      </c>
      <c r="Q264" s="10">
        <f t="shared" si="52"/>
        <v>-3.7530038573460156E-2</v>
      </c>
      <c r="R264" s="10">
        <f t="shared" si="52"/>
        <v>-4.2143306680511694E-2</v>
      </c>
      <c r="S264" s="10">
        <f t="shared" si="52"/>
        <v>-4.7046449274628754E-2</v>
      </c>
      <c r="T264" s="10">
        <f t="shared" si="52"/>
        <v>-5.2359981622587481E-2</v>
      </c>
      <c r="U264" s="10">
        <f t="shared" si="52"/>
        <v>-5.804653506516777E-2</v>
      </c>
      <c r="V264" s="10">
        <f t="shared" si="52"/>
        <v>-6.3820390629686696E-2</v>
      </c>
      <c r="W264" s="10">
        <f t="shared" si="52"/>
        <v>-6.9701902206921407E-2</v>
      </c>
      <c r="X264" s="10">
        <f t="shared" si="52"/>
        <v>-7.5074688524210842E-2</v>
      </c>
      <c r="Y264" s="10">
        <f t="shared" si="52"/>
        <v>-8.0039965468681307E-2</v>
      </c>
      <c r="Z264" s="10">
        <f t="shared" si="52"/>
        <v>-8.4662635728321778E-2</v>
      </c>
      <c r="AA264" s="10">
        <f t="shared" si="52"/>
        <v>-8.8983181129382638E-2</v>
      </c>
      <c r="AB264" s="10">
        <f t="shared" si="52"/>
        <v>-9.3048334867760096E-2</v>
      </c>
      <c r="AC264" s="10">
        <f t="shared" si="52"/>
        <v>-9.6438826745256834E-2</v>
      </c>
      <c r="AD264" s="10">
        <f t="shared" si="52"/>
        <v>-9.9294379707800862E-2</v>
      </c>
      <c r="AE264" s="10">
        <f t="shared" si="52"/>
        <v>-0.10176068683377282</v>
      </c>
      <c r="AF264" s="10">
        <f t="shared" si="52"/>
        <v>-0.10395665568521306</v>
      </c>
      <c r="AG264" s="10">
        <f t="shared" si="52"/>
        <v>-0.10598366910340651</v>
      </c>
      <c r="AH264" s="10">
        <f t="shared" si="52"/>
        <v>-0.10775955963267159</v>
      </c>
      <c r="AI264" s="10">
        <f t="shared" si="52"/>
        <v>-0.10944145671461669</v>
      </c>
      <c r="AJ264" s="10">
        <f t="shared" si="52"/>
        <v>-0.11115319935876278</v>
      </c>
      <c r="AK264" s="10">
        <f t="shared" si="52"/>
        <v>-0.11299452510540464</v>
      </c>
      <c r="AL264" s="10">
        <f t="shared" si="52"/>
        <v>-0.11504627521715272</v>
      </c>
    </row>
    <row r="267" spans="1:38" x14ac:dyDescent="0.35">
      <c r="A267" t="s">
        <v>55</v>
      </c>
      <c r="B267" t="s">
        <v>28</v>
      </c>
      <c r="C267">
        <f>[1]Results!F1600</f>
        <v>472642.1851</v>
      </c>
    </row>
    <row r="268" spans="1:38" x14ac:dyDescent="0.35">
      <c r="A268" t="s">
        <v>41</v>
      </c>
      <c r="B268" t="s">
        <v>7</v>
      </c>
      <c r="C268">
        <f>[1]Results!F1601</f>
        <v>4443.8431529999998</v>
      </c>
    </row>
    <row r="269" spans="1:38" x14ac:dyDescent="0.35">
      <c r="B269" t="s">
        <v>33</v>
      </c>
      <c r="C269">
        <f>[1]Results!F1604</f>
        <v>234846.3744</v>
      </c>
    </row>
    <row r="270" spans="1:38" x14ac:dyDescent="0.35">
      <c r="B270" t="s">
        <v>31</v>
      </c>
      <c r="C270">
        <f>[1]Results!F1616</f>
        <v>8011.6435270000002</v>
      </c>
    </row>
    <row r="271" spans="1:38" x14ac:dyDescent="0.35">
      <c r="B271" t="s">
        <v>10</v>
      </c>
      <c r="C271">
        <f>[1]Results!F1621</f>
        <v>219444.01990000001</v>
      </c>
    </row>
    <row r="272" spans="1:38" x14ac:dyDescent="0.35">
      <c r="B272" t="s">
        <v>34</v>
      </c>
      <c r="C272">
        <f>[1]Results!F1624</f>
        <v>2246.5263770000001</v>
      </c>
    </row>
    <row r="273" spans="1:3" x14ac:dyDescent="0.35">
      <c r="B273" t="s">
        <v>36</v>
      </c>
      <c r="C273">
        <f>[1]Results!F1629</f>
        <v>3649.7777529999998</v>
      </c>
    </row>
    <row r="275" spans="1:3" x14ac:dyDescent="0.35">
      <c r="A275" t="s">
        <v>42</v>
      </c>
      <c r="B275" t="s">
        <v>28</v>
      </c>
    </row>
    <row r="276" spans="1:3" x14ac:dyDescent="0.35">
      <c r="B276" t="s">
        <v>7</v>
      </c>
    </row>
    <row r="277" spans="1:3" x14ac:dyDescent="0.35">
      <c r="B277" t="s">
        <v>33</v>
      </c>
    </row>
    <row r="278" spans="1:3" x14ac:dyDescent="0.35">
      <c r="B278" t="s">
        <v>31</v>
      </c>
    </row>
    <row r="279" spans="1:3" x14ac:dyDescent="0.35">
      <c r="B279" t="s">
        <v>10</v>
      </c>
    </row>
    <row r="280" spans="1:3" x14ac:dyDescent="0.35">
      <c r="B280" t="s">
        <v>34</v>
      </c>
    </row>
    <row r="281" spans="1:3" x14ac:dyDescent="0.35">
      <c r="B281" t="s">
        <v>36</v>
      </c>
    </row>
  </sheetData>
  <mergeCells count="2">
    <mergeCell ref="A60:A61"/>
    <mergeCell ref="A63:A6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10</vt:i4>
      </vt:variant>
    </vt:vector>
  </HeadingPairs>
  <TitlesOfParts>
    <vt:vector size="11" baseType="lpstr">
      <vt:lpstr>Données</vt:lpstr>
      <vt:lpstr>Gr Macro</vt:lpstr>
      <vt:lpstr>Gr inflation</vt:lpstr>
      <vt:lpstr>Gr émissions</vt:lpstr>
      <vt:lpstr>Employment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2022-01-20T16:16:30Z</dcterms:modified>
</cp:coreProperties>
</file>