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mmages" sheetId="1" r:id="rId1"/>
    <sheet name="Graphique1" sheetId="2" r:id="rId2"/>
  </sheets>
  <externalReferences>
    <externalReference r:id="rId3"/>
    <externalReference r:id="rId4"/>
    <externalReference r:id="rId5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1" l="1"/>
  <c r="C2" i="1"/>
  <c r="D2" i="1"/>
  <c r="E2" i="1"/>
  <c r="F2" i="1"/>
  <c r="G2" i="1"/>
  <c r="H2" i="1"/>
  <c r="H7" i="1" s="1"/>
  <c r="I2" i="1"/>
  <c r="I7" i="1" s="1"/>
  <c r="J2" i="1"/>
  <c r="K2" i="1"/>
  <c r="L2" i="1"/>
  <c r="M2" i="1"/>
  <c r="N2" i="1"/>
  <c r="O2" i="1"/>
  <c r="P2" i="1"/>
  <c r="P7" i="1" s="1"/>
  <c r="Q2" i="1"/>
  <c r="Q7" i="1" s="1"/>
  <c r="R2" i="1"/>
  <c r="S2" i="1"/>
  <c r="T2" i="1"/>
  <c r="U2" i="1"/>
  <c r="V2" i="1"/>
  <c r="V7" i="1" s="1"/>
  <c r="W2" i="1"/>
  <c r="X2" i="1"/>
  <c r="X7" i="1" s="1"/>
  <c r="Y2" i="1"/>
  <c r="Y7" i="1" s="1"/>
  <c r="Z2" i="1"/>
  <c r="AA2" i="1"/>
  <c r="AB2" i="1"/>
  <c r="AC2" i="1"/>
  <c r="AD2" i="1"/>
  <c r="AD7" i="1" s="1"/>
  <c r="AE2" i="1"/>
  <c r="AF2" i="1"/>
  <c r="AF7" i="1" s="1"/>
  <c r="AG2" i="1"/>
  <c r="AH2" i="1"/>
  <c r="AI2" i="1"/>
  <c r="AJ2" i="1"/>
  <c r="AK2" i="1"/>
  <c r="AL2" i="1"/>
  <c r="AL7" i="1" s="1"/>
  <c r="AM2" i="1"/>
  <c r="AN2" i="1"/>
  <c r="AO2" i="1"/>
  <c r="AO7" i="1" s="1"/>
  <c r="AP2" i="1"/>
  <c r="AQ2" i="1"/>
  <c r="AR2" i="1"/>
  <c r="AS2" i="1"/>
  <c r="AT2" i="1"/>
  <c r="AT7" i="1" s="1"/>
  <c r="AU2" i="1"/>
  <c r="AV2" i="1"/>
  <c r="AV7" i="1" s="1"/>
  <c r="AW2" i="1"/>
  <c r="AW7" i="1" s="1"/>
  <c r="AX2" i="1"/>
  <c r="AY2" i="1"/>
  <c r="AZ2" i="1"/>
  <c r="BA2" i="1"/>
  <c r="BB2" i="1"/>
  <c r="BC2" i="1"/>
  <c r="BD2" i="1"/>
  <c r="BE2" i="1"/>
  <c r="BE7" i="1" s="1"/>
  <c r="B3" i="1"/>
  <c r="C3" i="1"/>
  <c r="D3" i="1"/>
  <c r="E3" i="1"/>
  <c r="F3" i="1"/>
  <c r="F8" i="1" s="1"/>
  <c r="G3" i="1"/>
  <c r="H3" i="1"/>
  <c r="I3" i="1"/>
  <c r="I8" i="1" s="1"/>
  <c r="J3" i="1"/>
  <c r="K3" i="1"/>
  <c r="L3" i="1"/>
  <c r="M3" i="1"/>
  <c r="N3" i="1"/>
  <c r="O3" i="1"/>
  <c r="P3" i="1"/>
  <c r="P8" i="1" s="1"/>
  <c r="Q3" i="1"/>
  <c r="Q8" i="1" s="1"/>
  <c r="R3" i="1"/>
  <c r="S3" i="1"/>
  <c r="T3" i="1"/>
  <c r="U3" i="1"/>
  <c r="V3" i="1"/>
  <c r="W3" i="1"/>
  <c r="X3" i="1"/>
  <c r="X8" i="1" s="1"/>
  <c r="Y3" i="1"/>
  <c r="Y8" i="1" s="1"/>
  <c r="Z3" i="1"/>
  <c r="AA3" i="1"/>
  <c r="AB3" i="1"/>
  <c r="AC3" i="1"/>
  <c r="AD3" i="1"/>
  <c r="AD8" i="1" s="1"/>
  <c r="AE3" i="1"/>
  <c r="AF3" i="1"/>
  <c r="AF8" i="1" s="1"/>
  <c r="AG3" i="1"/>
  <c r="AG8" i="1" s="1"/>
  <c r="AH3" i="1"/>
  <c r="AI3" i="1"/>
  <c r="AJ3" i="1"/>
  <c r="AK3" i="1"/>
  <c r="AL3" i="1"/>
  <c r="AL8" i="1" s="1"/>
  <c r="AM3" i="1"/>
  <c r="AN3" i="1"/>
  <c r="AN8" i="1" s="1"/>
  <c r="AO3" i="1"/>
  <c r="AP3" i="1"/>
  <c r="AQ3" i="1"/>
  <c r="AR3" i="1"/>
  <c r="AS3" i="1"/>
  <c r="AT3" i="1"/>
  <c r="AT8" i="1" s="1"/>
  <c r="AU3" i="1"/>
  <c r="AV3" i="1"/>
  <c r="AW3" i="1"/>
  <c r="AW8" i="1" s="1"/>
  <c r="AX3" i="1"/>
  <c r="AY3" i="1"/>
  <c r="AZ3" i="1"/>
  <c r="BA3" i="1"/>
  <c r="BB3" i="1"/>
  <c r="BB8" i="1" s="1"/>
  <c r="BC3" i="1"/>
  <c r="BD3" i="1"/>
  <c r="BD8" i="1" s="1"/>
  <c r="BE3" i="1"/>
  <c r="BE8" i="1" s="1"/>
  <c r="B4" i="1"/>
  <c r="C4" i="1"/>
  <c r="D4" i="1"/>
  <c r="E4" i="1"/>
  <c r="F4" i="1"/>
  <c r="F9" i="1" s="1"/>
  <c r="G4" i="1"/>
  <c r="H4" i="1"/>
  <c r="H9" i="1" s="1"/>
  <c r="I4" i="1"/>
  <c r="I9" i="1" s="1"/>
  <c r="J4" i="1"/>
  <c r="K4" i="1"/>
  <c r="L4" i="1"/>
  <c r="M4" i="1"/>
  <c r="N4" i="1"/>
  <c r="N9" i="1" s="1"/>
  <c r="O4" i="1"/>
  <c r="P4" i="1"/>
  <c r="P9" i="1" s="1"/>
  <c r="Q4" i="1"/>
  <c r="Q9" i="1" s="1"/>
  <c r="R4" i="1"/>
  <c r="S4" i="1"/>
  <c r="T4" i="1"/>
  <c r="U4" i="1"/>
  <c r="V4" i="1"/>
  <c r="V9" i="1" s="1"/>
  <c r="W4" i="1"/>
  <c r="X4" i="1"/>
  <c r="X9" i="1" s="1"/>
  <c r="Y4" i="1"/>
  <c r="Y9" i="1" s="1"/>
  <c r="Z4" i="1"/>
  <c r="AA4" i="1"/>
  <c r="AB4" i="1"/>
  <c r="AC4" i="1"/>
  <c r="AD4" i="1"/>
  <c r="AD9" i="1" s="1"/>
  <c r="AE4" i="1"/>
  <c r="AF4" i="1"/>
  <c r="AF9" i="1" s="1"/>
  <c r="AG4" i="1"/>
  <c r="AG9" i="1" s="1"/>
  <c r="AH4" i="1"/>
  <c r="AI4" i="1"/>
  <c r="AJ4" i="1"/>
  <c r="AK4" i="1"/>
  <c r="AL4" i="1"/>
  <c r="AL9" i="1" s="1"/>
  <c r="AM4" i="1"/>
  <c r="AN4" i="1"/>
  <c r="AN9" i="1" s="1"/>
  <c r="AO4" i="1"/>
  <c r="AO9" i="1" s="1"/>
  <c r="AP4" i="1"/>
  <c r="AQ4" i="1"/>
  <c r="AR4" i="1"/>
  <c r="AS4" i="1"/>
  <c r="AT4" i="1"/>
  <c r="AT9" i="1" s="1"/>
  <c r="AU4" i="1"/>
  <c r="AV4" i="1"/>
  <c r="AV9" i="1" s="1"/>
  <c r="AW4" i="1"/>
  <c r="AW9" i="1" s="1"/>
  <c r="AX4" i="1"/>
  <c r="AY4" i="1"/>
  <c r="AZ4" i="1"/>
  <c r="BA4" i="1"/>
  <c r="BB4" i="1"/>
  <c r="BB9" i="1" s="1"/>
  <c r="BC4" i="1"/>
  <c r="BD4" i="1"/>
  <c r="BD9" i="1" s="1"/>
  <c r="BE4" i="1"/>
  <c r="BE9" i="1" s="1"/>
  <c r="B9" i="1"/>
  <c r="BA8" i="1"/>
  <c r="AX8" i="1"/>
  <c r="AS8" i="1"/>
  <c r="AP8" i="1"/>
  <c r="AO8" i="1"/>
  <c r="AK8" i="1"/>
  <c r="AH8" i="1"/>
  <c r="AC8" i="1"/>
  <c r="Z8" i="1"/>
  <c r="U8" i="1"/>
  <c r="R8" i="1"/>
  <c r="M8" i="1"/>
  <c r="J8" i="1"/>
  <c r="E8" i="1"/>
  <c r="B8" i="1"/>
  <c r="BA7" i="1"/>
  <c r="AX7" i="1"/>
  <c r="AS7" i="1"/>
  <c r="AP7" i="1"/>
  <c r="AK7" i="1"/>
  <c r="AH7" i="1"/>
  <c r="AG7" i="1"/>
  <c r="AC7" i="1"/>
  <c r="Z7" i="1"/>
  <c r="U7" i="1"/>
  <c r="R7" i="1"/>
  <c r="M7" i="1"/>
  <c r="J7" i="1"/>
  <c r="E7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BC9" i="1"/>
  <c r="BA9" i="1"/>
  <c r="AZ9" i="1"/>
  <c r="AY9" i="1"/>
  <c r="AX9" i="1"/>
  <c r="AU9" i="1"/>
  <c r="AS9" i="1"/>
  <c r="AR9" i="1"/>
  <c r="AQ9" i="1"/>
  <c r="AP9" i="1"/>
  <c r="AM9" i="1"/>
  <c r="AK9" i="1"/>
  <c r="AJ9" i="1"/>
  <c r="AI9" i="1"/>
  <c r="AH9" i="1"/>
  <c r="AE9" i="1"/>
  <c r="AC9" i="1"/>
  <c r="AB9" i="1"/>
  <c r="AA9" i="1"/>
  <c r="Z9" i="1"/>
  <c r="W9" i="1"/>
  <c r="U9" i="1"/>
  <c r="T9" i="1"/>
  <c r="S9" i="1"/>
  <c r="R9" i="1"/>
  <c r="O9" i="1"/>
  <c r="M9" i="1"/>
  <c r="L9" i="1"/>
  <c r="K9" i="1"/>
  <c r="J9" i="1"/>
  <c r="G9" i="1"/>
  <c r="E9" i="1"/>
  <c r="D9" i="1"/>
  <c r="C9" i="1"/>
  <c r="BC8" i="1"/>
  <c r="AZ8" i="1"/>
  <c r="AY8" i="1"/>
  <c r="AV8" i="1"/>
  <c r="AU8" i="1"/>
  <c r="AR8" i="1"/>
  <c r="AQ8" i="1"/>
  <c r="AM8" i="1"/>
  <c r="AJ8" i="1"/>
  <c r="AI8" i="1"/>
  <c r="AE8" i="1"/>
  <c r="AB8" i="1"/>
  <c r="AA8" i="1"/>
  <c r="W8" i="1"/>
  <c r="V8" i="1"/>
  <c r="T8" i="1"/>
  <c r="S8" i="1"/>
  <c r="O8" i="1"/>
  <c r="N8" i="1"/>
  <c r="L8" i="1"/>
  <c r="K8" i="1"/>
  <c r="H8" i="1"/>
  <c r="G8" i="1"/>
  <c r="D8" i="1"/>
  <c r="C8" i="1"/>
  <c r="BD7" i="1"/>
  <c r="BC7" i="1"/>
  <c r="BB7" i="1"/>
  <c r="AZ7" i="1"/>
  <c r="AY7" i="1"/>
  <c r="AU7" i="1"/>
  <c r="AR7" i="1"/>
  <c r="AQ7" i="1"/>
  <c r="AN7" i="1"/>
  <c r="AM7" i="1"/>
  <c r="AJ7" i="1"/>
  <c r="AI7" i="1"/>
  <c r="AE7" i="1"/>
  <c r="AB7" i="1"/>
  <c r="AA7" i="1"/>
  <c r="W7" i="1"/>
  <c r="T7" i="1"/>
  <c r="S7" i="1"/>
  <c r="O7" i="1"/>
  <c r="N7" i="1"/>
  <c r="L7" i="1"/>
  <c r="K7" i="1"/>
  <c r="G7" i="1"/>
  <c r="F7" i="1"/>
  <c r="D7" i="1"/>
  <c r="C7" i="1"/>
  <c r="B7" i="1"/>
  <c r="BE1" i="1" l="1"/>
  <c r="AQ1" i="1"/>
  <c r="AR1" i="1"/>
  <c r="AS1" i="1"/>
  <c r="AT1" i="1"/>
  <c r="AU1" i="1"/>
  <c r="AV1" i="1"/>
  <c r="AW1" i="1"/>
  <c r="AX1" i="1"/>
  <c r="AY1" i="1"/>
  <c r="AZ1" i="1"/>
  <c r="BA1" i="1"/>
  <c r="BB1" i="1"/>
  <c r="BC1" i="1"/>
  <c r="BD1" i="1"/>
  <c r="C1" i="1"/>
  <c r="D1" i="1"/>
  <c r="E1" i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K1" i="1"/>
  <c r="AL1" i="1"/>
  <c r="AM1" i="1"/>
  <c r="AN1" i="1"/>
  <c r="AO1" i="1"/>
  <c r="AP1" i="1"/>
  <c r="B1" i="1"/>
</calcChain>
</file>

<file path=xl/sharedStrings.xml><?xml version="1.0" encoding="utf-8"?>
<sst xmlns="http://schemas.openxmlformats.org/spreadsheetml/2006/main" count="6" uniqueCount="4">
  <si>
    <t>Dommages</t>
  </si>
  <si>
    <t>Température</t>
  </si>
  <si>
    <t>Chaîne logistique</t>
  </si>
  <si>
    <t>Autres risques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</si>
</sst>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r>
              <a:rPr lang="fr-FR" sz="2400"/>
              <a:t>Coût</a:t>
            </a:r>
            <a:r>
              <a:rPr lang="fr-FR" sz="2400" baseline="0"/>
              <a:t> des dommages (en % du PIB)</a:t>
            </a:r>
            <a:endParaRPr lang="fr-FR" sz="24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Dommages!$A$7</c:f>
              <c:strCache>
                <c:ptCount val="1"/>
                <c:pt idx="0">
                  <c:v>Chaîne logistique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Dommages!$B$6:$BE$6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Dommages!$B$7:$BE$7</c:f>
              <c:numCache>
                <c:formatCode>0.0%</c:formatCode>
                <c:ptCount val="56"/>
                <c:pt idx="0">
                  <c:v>-1.266072864198553E-3</c:v>
                </c:pt>
                <c:pt idx="1">
                  <c:v>-2.5917392506271675E-3</c:v>
                </c:pt>
                <c:pt idx="2">
                  <c:v>-4.0326000639545612E-3</c:v>
                </c:pt>
                <c:pt idx="3">
                  <c:v>-5.5398882267881921E-3</c:v>
                </c:pt>
                <c:pt idx="4">
                  <c:v>-7.0753521544256737E-3</c:v>
                </c:pt>
                <c:pt idx="5">
                  <c:v>-8.6109377713811108E-3</c:v>
                </c:pt>
                <c:pt idx="6">
                  <c:v>-1.0144740729668866E-2</c:v>
                </c:pt>
                <c:pt idx="7">
                  <c:v>-1.1647558849598894E-2</c:v>
                </c:pt>
                <c:pt idx="8">
                  <c:v>-1.3108699732437334E-2</c:v>
                </c:pt>
                <c:pt idx="9">
                  <c:v>-1.4521609586762518E-2</c:v>
                </c:pt>
                <c:pt idx="10">
                  <c:v>-1.5879614421541621E-2</c:v>
                </c:pt>
                <c:pt idx="11">
                  <c:v>-1.7246794912863739E-2</c:v>
                </c:pt>
                <c:pt idx="12">
                  <c:v>-1.856728984472833E-2</c:v>
                </c:pt>
                <c:pt idx="13">
                  <c:v>-1.9840005510711523E-2</c:v>
                </c:pt>
                <c:pt idx="14">
                  <c:v>-2.1064153683655107E-2</c:v>
                </c:pt>
                <c:pt idx="15">
                  <c:v>-2.2240101557918446E-2</c:v>
                </c:pt>
                <c:pt idx="16">
                  <c:v>-2.3427369804605025E-2</c:v>
                </c:pt>
                <c:pt idx="17">
                  <c:v>-2.4576642800835713E-2</c:v>
                </c:pt>
                <c:pt idx="18">
                  <c:v>-2.5689675345346386E-2</c:v>
                </c:pt>
                <c:pt idx="19">
                  <c:v>-2.6767820412278209E-2</c:v>
                </c:pt>
                <c:pt idx="20">
                  <c:v>-2.7815086689841229E-2</c:v>
                </c:pt>
                <c:pt idx="21">
                  <c:v>-2.8827773151122837E-2</c:v>
                </c:pt>
                <c:pt idx="22">
                  <c:v>-2.9810370857266899E-2</c:v>
                </c:pt>
                <c:pt idx="23">
                  <c:v>-3.0765609291796503E-2</c:v>
                </c:pt>
                <c:pt idx="24">
                  <c:v>-3.1696101481516137E-2</c:v>
                </c:pt>
                <c:pt idx="25">
                  <c:v>-3.261048090505636E-2</c:v>
                </c:pt>
                <c:pt idx="26">
                  <c:v>-3.3479270837039277E-2</c:v>
                </c:pt>
                <c:pt idx="27">
                  <c:v>-3.43266459642948E-2</c:v>
                </c:pt>
                <c:pt idx="28">
                  <c:v>-3.5156542306031047E-2</c:v>
                </c:pt>
                <c:pt idx="29">
                  <c:v>-3.5972365891299485E-2</c:v>
                </c:pt>
                <c:pt idx="30">
                  <c:v>-3.677661276628974E-2</c:v>
                </c:pt>
                <c:pt idx="31">
                  <c:v>-3.7560475373298097E-2</c:v>
                </c:pt>
                <c:pt idx="32">
                  <c:v>-3.8333996431981987E-2</c:v>
                </c:pt>
                <c:pt idx="33">
                  <c:v>-3.9097743338236013E-2</c:v>
                </c:pt>
                <c:pt idx="34">
                  <c:v>-3.9852007191780725E-2</c:v>
                </c:pt>
                <c:pt idx="35">
                  <c:v>-4.0596735508986799E-2</c:v>
                </c:pt>
                <c:pt idx="36">
                  <c:v>-4.1246932839789426E-2</c:v>
                </c:pt>
                <c:pt idx="37">
                  <c:v>-4.1875993547512709E-2</c:v>
                </c:pt>
                <c:pt idx="38">
                  <c:v>-4.2484618386982136E-2</c:v>
                </c:pt>
                <c:pt idx="39">
                  <c:v>-4.3075432912364493E-2</c:v>
                </c:pt>
                <c:pt idx="40">
                  <c:v>-4.3651236796108946E-2</c:v>
                </c:pt>
                <c:pt idx="41">
                  <c:v>-4.42014486513208E-2</c:v>
                </c:pt>
                <c:pt idx="42">
                  <c:v>-4.4738996919088558E-2</c:v>
                </c:pt>
                <c:pt idx="43">
                  <c:v>-4.5265541607199984E-2</c:v>
                </c:pt>
                <c:pt idx="44">
                  <c:v>-4.5781799152661673E-2</c:v>
                </c:pt>
                <c:pt idx="45">
                  <c:v>-4.6288400899773825E-2</c:v>
                </c:pt>
                <c:pt idx="46">
                  <c:v>-4.6744839222177322E-2</c:v>
                </c:pt>
                <c:pt idx="47">
                  <c:v>-4.7186985694255945E-2</c:v>
                </c:pt>
                <c:pt idx="48">
                  <c:v>-4.7616235314381417E-2</c:v>
                </c:pt>
                <c:pt idx="49">
                  <c:v>-4.8034529350900357E-2</c:v>
                </c:pt>
                <c:pt idx="50">
                  <c:v>-4.8443625976066669E-2</c:v>
                </c:pt>
                <c:pt idx="51">
                  <c:v>-4.8820978767775906E-2</c:v>
                </c:pt>
                <c:pt idx="52">
                  <c:v>-4.9188573097843073E-2</c:v>
                </c:pt>
                <c:pt idx="53">
                  <c:v>-4.9548004893138382E-2</c:v>
                </c:pt>
                <c:pt idx="54">
                  <c:v>-4.9901043179792381E-2</c:v>
                </c:pt>
                <c:pt idx="55">
                  <c:v>-5.0249201356903479E-2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EC8-8433-CD6511F1540E}"/>
            </c:ext>
          </c:extLst>
        </c:ser>
        <c:ser>
          <c:idx val="1"/>
          <c:order val="1"/>
          <c:tx>
            <c:strRef>
              <c:f>Dommages!$A$8</c:f>
              <c:strCache>
                <c:ptCount val="1"/>
                <c:pt idx="0">
                  <c:v>Température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Dommages!$B$6:$BE$6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Dommages!$B$8:$BE$8</c:f>
              <c:numCache>
                <c:formatCode>0.0%</c:formatCode>
                <c:ptCount val="56"/>
                <c:pt idx="0">
                  <c:v>-9.7918243057160126E-6</c:v>
                </c:pt>
                <c:pt idx="1">
                  <c:v>-2.808163346990078E-5</c:v>
                </c:pt>
                <c:pt idx="2">
                  <c:v>-5.1425394389958967E-5</c:v>
                </c:pt>
                <c:pt idx="3">
                  <c:v>-7.6835517343942783E-5</c:v>
                </c:pt>
                <c:pt idx="4">
                  <c:v>-1.0307311318846768E-4</c:v>
                </c:pt>
                <c:pt idx="5">
                  <c:v>-1.3017207009036191E-4</c:v>
                </c:pt>
                <c:pt idx="6">
                  <c:v>-1.5893840397063208E-4</c:v>
                </c:pt>
                <c:pt idx="7">
                  <c:v>-1.900957509812784E-4</c:v>
                </c:pt>
                <c:pt idx="8">
                  <c:v>-2.2405515147039257E-4</c:v>
                </c:pt>
                <c:pt idx="9">
                  <c:v>-2.6120984226385424E-4</c:v>
                </c:pt>
                <c:pt idx="10">
                  <c:v>-3.0136230370669814E-4</c:v>
                </c:pt>
                <c:pt idx="11">
                  <c:v>-3.4507215634838051E-4</c:v>
                </c:pt>
                <c:pt idx="12">
                  <c:v>-3.9191995531873136E-4</c:v>
                </c:pt>
                <c:pt idx="13">
                  <c:v>-4.4114990896770845E-4</c:v>
                </c:pt>
                <c:pt idx="14">
                  <c:v>-4.9215842053884629E-4</c:v>
                </c:pt>
                <c:pt idx="15">
                  <c:v>-5.4467441744643352E-4</c:v>
                </c:pt>
                <c:pt idx="16">
                  <c:v>-5.9988147260625624E-4</c:v>
                </c:pt>
                <c:pt idx="17">
                  <c:v>-6.5783344658254528E-4</c:v>
                </c:pt>
                <c:pt idx="18">
                  <c:v>-7.1810884898160232E-4</c:v>
                </c:pt>
                <c:pt idx="19">
                  <c:v>-7.8037089716820329E-4</c:v>
                </c:pt>
                <c:pt idx="20">
                  <c:v>-8.444333458824671E-4</c:v>
                </c:pt>
                <c:pt idx="21">
                  <c:v>-9.1049501542794786E-4</c:v>
                </c:pt>
                <c:pt idx="22">
                  <c:v>-9.7870515529852042E-4</c:v>
                </c:pt>
                <c:pt idx="23">
                  <c:v>-1.049388186096234E-3</c:v>
                </c:pt>
                <c:pt idx="24">
                  <c:v>-1.1227904989230542E-3</c:v>
                </c:pt>
                <c:pt idx="25">
                  <c:v>-1.1986558011504167E-3</c:v>
                </c:pt>
                <c:pt idx="26">
                  <c:v>-1.2764895022373546E-3</c:v>
                </c:pt>
                <c:pt idx="27">
                  <c:v>-1.3560705527247974E-3</c:v>
                </c:pt>
                <c:pt idx="28">
                  <c:v>-1.437541955118915E-3</c:v>
                </c:pt>
                <c:pt idx="29">
                  <c:v>-1.5210217514883828E-3</c:v>
                </c:pt>
                <c:pt idx="30">
                  <c:v>-1.6064580242231008E-3</c:v>
                </c:pt>
                <c:pt idx="31">
                  <c:v>-1.6932692563298435E-3</c:v>
                </c:pt>
                <c:pt idx="32">
                  <c:v>-1.7812715975512664E-3</c:v>
                </c:pt>
                <c:pt idx="33">
                  <c:v>-1.8704921625820603E-3</c:v>
                </c:pt>
                <c:pt idx="34">
                  <c:v>-1.9609740786158472E-3</c:v>
                </c:pt>
                <c:pt idx="35">
                  <c:v>-2.052726693418272E-3</c:v>
                </c:pt>
                <c:pt idx="36">
                  <c:v>-2.1415867908399708E-3</c:v>
                </c:pt>
                <c:pt idx="37">
                  <c:v>-2.2277185472585614E-3</c:v>
                </c:pt>
                <c:pt idx="38">
                  <c:v>-2.3130713765548983E-3</c:v>
                </c:pt>
                <c:pt idx="39">
                  <c:v>-2.399165040325002E-3</c:v>
                </c:pt>
                <c:pt idx="40">
                  <c:v>-2.4865986947451013E-3</c:v>
                </c:pt>
                <c:pt idx="41">
                  <c:v>-2.574581717191618E-3</c:v>
                </c:pt>
                <c:pt idx="42">
                  <c:v>-2.6627405756573033E-3</c:v>
                </c:pt>
                <c:pt idx="43">
                  <c:v>-2.751034449388623E-3</c:v>
                </c:pt>
                <c:pt idx="44">
                  <c:v>-2.8395133235213851E-3</c:v>
                </c:pt>
                <c:pt idx="45">
                  <c:v>-2.928251737951193E-3</c:v>
                </c:pt>
                <c:pt idx="46">
                  <c:v>-3.0148603633889312E-3</c:v>
                </c:pt>
                <c:pt idx="47">
                  <c:v>-3.0994813738940419E-3</c:v>
                </c:pt>
                <c:pt idx="48">
                  <c:v>-3.1834509889060517E-3</c:v>
                </c:pt>
                <c:pt idx="49">
                  <c:v>-3.2678653013855641E-3</c:v>
                </c:pt>
                <c:pt idx="50">
                  <c:v>-3.3532388624071124E-3</c:v>
                </c:pt>
                <c:pt idx="51">
                  <c:v>-3.4380184925244528E-3</c:v>
                </c:pt>
                <c:pt idx="52">
                  <c:v>-3.5220648948561945E-3</c:v>
                </c:pt>
                <c:pt idx="53">
                  <c:v>-3.6059800267032038E-3</c:v>
                </c:pt>
                <c:pt idx="54">
                  <c:v>-3.6902752450919049E-3</c:v>
                </c:pt>
                <c:pt idx="55">
                  <c:v>-3.775179817056544E-3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EC8-8433-CD6511F1540E}"/>
            </c:ext>
          </c:extLst>
        </c:ser>
        <c:ser>
          <c:idx val="2"/>
          <c:order val="2"/>
          <c:tx>
            <c:strRef>
              <c:f>Dommages!$A$9</c:f>
              <c:strCache>
                <c:ptCount val="1"/>
                <c:pt idx="0">
                  <c:v>Autres risques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Dommages!$B$6:$BE$6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Dommages!$B$9:$BE$9</c:f>
              <c:numCache>
                <c:formatCode>0.0%</c:formatCode>
                <c:ptCount val="56"/>
                <c:pt idx="0">
                  <c:v>-2.8767437052490408E-6</c:v>
                </c:pt>
                <c:pt idx="1">
                  <c:v>-7.6996036485477148E-6</c:v>
                </c:pt>
                <c:pt idx="2">
                  <c:v>-1.3528907525373057E-5</c:v>
                </c:pt>
                <c:pt idx="3">
                  <c:v>-1.9801261958773964E-5</c:v>
                </c:pt>
                <c:pt idx="4">
                  <c:v>-2.6119598913743047E-5</c:v>
                </c:pt>
                <c:pt idx="5">
                  <c:v>-3.2083843975572179E-5</c:v>
                </c:pt>
                <c:pt idx="6">
                  <c:v>-3.6954970511149376E-5</c:v>
                </c:pt>
                <c:pt idx="7">
                  <c:v>-4.0289119702885401E-5</c:v>
                </c:pt>
                <c:pt idx="8">
                  <c:v>-4.223457660024188E-5</c:v>
                </c:pt>
                <c:pt idx="9">
                  <c:v>-4.2707972871203204E-5</c:v>
                </c:pt>
                <c:pt idx="10">
                  <c:v>-4.3030631782681183E-5</c:v>
                </c:pt>
                <c:pt idx="11">
                  <c:v>-4.3118690705390428E-5</c:v>
                </c:pt>
                <c:pt idx="12">
                  <c:v>-4.3503423099222616E-5</c:v>
                </c:pt>
                <c:pt idx="13">
                  <c:v>-4.438984078114494E-5</c:v>
                </c:pt>
                <c:pt idx="14">
                  <c:v>-4.593109875450363E-5</c:v>
                </c:pt>
                <c:pt idx="15">
                  <c:v>-4.8243963762795161E-5</c:v>
                </c:pt>
                <c:pt idx="16">
                  <c:v>-5.1435177144898425E-5</c:v>
                </c:pt>
                <c:pt idx="17">
                  <c:v>-5.5684867826810702E-5</c:v>
                </c:pt>
                <c:pt idx="18">
                  <c:v>-6.0834283375221787E-5</c:v>
                </c:pt>
                <c:pt idx="19">
                  <c:v>-6.6685293010126934E-5</c:v>
                </c:pt>
                <c:pt idx="20">
                  <c:v>-7.2785899666971687E-5</c:v>
                </c:pt>
                <c:pt idx="21">
                  <c:v>-7.9434000149869455E-5</c:v>
                </c:pt>
                <c:pt idx="22">
                  <c:v>-8.6276343460700566E-5</c:v>
                </c:pt>
                <c:pt idx="23">
                  <c:v>-9.3321111052757644E-5</c:v>
                </c:pt>
                <c:pt idx="24">
                  <c:v>-1.0078355224740765E-4</c:v>
                </c:pt>
                <c:pt idx="25">
                  <c:v>-1.0811630780882542E-4</c:v>
                </c:pt>
                <c:pt idx="26">
                  <c:v>-1.1657258102559798E-4</c:v>
                </c:pt>
                <c:pt idx="27">
                  <c:v>-1.2548500949127739E-4</c:v>
                </c:pt>
                <c:pt idx="28">
                  <c:v>-1.3453573633059879E-4</c:v>
                </c:pt>
                <c:pt idx="29">
                  <c:v>-1.4339361988013888E-4</c:v>
                </c:pt>
                <c:pt idx="30">
                  <c:v>-1.5180230519962201E-4</c:v>
                </c:pt>
                <c:pt idx="31">
                  <c:v>-1.5958921700154338E-4</c:v>
                </c:pt>
                <c:pt idx="32">
                  <c:v>-1.6663922126813197E-4</c:v>
                </c:pt>
                <c:pt idx="33">
                  <c:v>-1.7299561583250522E-4</c:v>
                </c:pt>
                <c:pt idx="34">
                  <c:v>-1.7875910808606149E-4</c:v>
                </c:pt>
                <c:pt idx="35">
                  <c:v>-1.8405739646330799E-4</c:v>
                </c:pt>
                <c:pt idx="36">
                  <c:v>-1.8875378573913332E-4</c:v>
                </c:pt>
                <c:pt idx="37">
                  <c:v>-1.9271771197747894E-4</c:v>
                </c:pt>
                <c:pt idx="38">
                  <c:v>-1.9625133834611647E-4</c:v>
                </c:pt>
                <c:pt idx="39">
                  <c:v>-1.9963216349482699E-4</c:v>
                </c:pt>
                <c:pt idx="40">
                  <c:v>-2.0306784493927948E-4</c:v>
                </c:pt>
                <c:pt idx="41">
                  <c:v>-2.0667942651330512E-4</c:v>
                </c:pt>
                <c:pt idx="42">
                  <c:v>-2.104643640076162E-4</c:v>
                </c:pt>
                <c:pt idx="43">
                  <c:v>-2.144920037425585E-4</c:v>
                </c:pt>
                <c:pt idx="44">
                  <c:v>-2.1882182280963391E-4</c:v>
                </c:pt>
                <c:pt idx="45">
                  <c:v>-2.235034261962518E-4</c:v>
                </c:pt>
                <c:pt idx="46">
                  <c:v>-2.2856850453423228E-4</c:v>
                </c:pt>
                <c:pt idx="47">
                  <c:v>-2.337926166070467E-4</c:v>
                </c:pt>
                <c:pt idx="48">
                  <c:v>-2.393172554430098E-4</c:v>
                </c:pt>
                <c:pt idx="49">
                  <c:v>-2.4528627438380468E-4</c:v>
                </c:pt>
                <c:pt idx="50">
                  <c:v>-2.51812905748168E-4</c:v>
                </c:pt>
                <c:pt idx="51">
                  <c:v>-2.589500631655639E-4</c:v>
                </c:pt>
                <c:pt idx="52">
                  <c:v>-2.6658755750685187E-4</c:v>
                </c:pt>
                <c:pt idx="53">
                  <c:v>-2.7481049540266367E-4</c:v>
                </c:pt>
                <c:pt idx="54">
                  <c:v>-2.836954198700628E-4</c:v>
                </c:pt>
                <c:pt idx="55">
                  <c:v>-2.9330113904658256E-4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EC8-8433-CD6511F154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153232"/>
        <c:axId val="582155528"/>
      </c:areaChart>
      <c:dateAx>
        <c:axId val="58215323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5528"/>
        <c:crosses val="autoZero"/>
        <c:auto val="1"/>
        <c:lblOffset val="100"/>
        <c:baseTimeUnit val="years"/>
        <c:majorUnit val="5"/>
        <c:majorTimeUnit val="years"/>
      </c:dateAx>
      <c:valAx>
        <c:axId val="582155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3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  <a:ea typeface="Verdana" panose="020B0604030504040204" pitchFamily="34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Currentse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Currentsep%20-%20WD+Pro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Currentsep%20-%20W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  <cell r="BB4">
            <v>60633</v>
          </cell>
          <cell r="BC4">
            <v>60998</v>
          </cell>
          <cell r="BD4">
            <v>61363</v>
          </cell>
          <cell r="BE4">
            <v>61729</v>
          </cell>
          <cell r="BF4">
            <v>62094</v>
          </cell>
        </row>
        <row r="5">
          <cell r="C5">
            <v>-0.12787414322095181</v>
          </cell>
          <cell r="D5">
            <v>-0.2627520487745616</v>
          </cell>
          <cell r="E5">
            <v>-0.40975543658698932</v>
          </cell>
          <cell r="F5">
            <v>-0.56365250060909089</v>
          </cell>
          <cell r="G5">
            <v>-0.72045448665278844</v>
          </cell>
          <cell r="H5">
            <v>-0.87731936854470449</v>
          </cell>
          <cell r="I5">
            <v>-1.0340634104150648</v>
          </cell>
          <cell r="J5">
            <v>-1.1877943720283057</v>
          </cell>
          <cell r="K5">
            <v>-1.3374989460507969</v>
          </cell>
          <cell r="L5">
            <v>-1.4825527401897576</v>
          </cell>
          <cell r="M5">
            <v>-1.6224007357031001</v>
          </cell>
          <cell r="N5">
            <v>-1.763498575991751</v>
          </cell>
          <cell r="O5">
            <v>-1.9002713223146284</v>
          </cell>
          <cell r="P5">
            <v>-2.0325545260460376</v>
          </cell>
          <cell r="Q5">
            <v>-2.1602243202948457</v>
          </cell>
          <cell r="R5">
            <v>-2.2833019939127674</v>
          </cell>
          <cell r="S5">
            <v>-2.407868645435618</v>
          </cell>
          <cell r="T5">
            <v>-2.5290161115245069</v>
          </cell>
          <cell r="U5">
            <v>-2.646861847770321</v>
          </cell>
          <cell r="V5">
            <v>-2.761487660245654</v>
          </cell>
          <cell r="W5">
            <v>-2.8732305935390667</v>
          </cell>
          <cell r="X5">
            <v>-2.9817702166700655</v>
          </cell>
          <cell r="Y5">
            <v>-3.087535235602612</v>
          </cell>
          <cell r="Z5">
            <v>-3.1908318588945495</v>
          </cell>
          <cell r="AA5">
            <v>-3.2919675532686599</v>
          </cell>
          <cell r="AB5">
            <v>-3.3917253014015603</v>
          </cell>
          <cell r="AC5">
            <v>-3.4872332920302229</v>
          </cell>
          <cell r="AD5">
            <v>-3.5808201526510874</v>
          </cell>
          <cell r="AE5">
            <v>-3.672861999748056</v>
          </cell>
          <cell r="AF5">
            <v>-3.7636781262668006</v>
          </cell>
          <cell r="AG5">
            <v>-3.8534873095712463</v>
          </cell>
          <cell r="AH5">
            <v>-3.9413333846629484</v>
          </cell>
          <cell r="AI5">
            <v>-4.0281907250801385</v>
          </cell>
          <cell r="AJ5">
            <v>-4.1141231116650578</v>
          </cell>
          <cell r="AK5">
            <v>-4.1991740378482634</v>
          </cell>
          <cell r="AL5">
            <v>-4.2833519598868381</v>
          </cell>
          <cell r="AM5">
            <v>-4.3577273416368527</v>
          </cell>
          <cell r="AN5">
            <v>-4.4296429806748749</v>
          </cell>
          <cell r="AO5">
            <v>-4.499394110188315</v>
          </cell>
          <cell r="AP5">
            <v>-4.5674230116184322</v>
          </cell>
          <cell r="AQ5">
            <v>-4.6340903335793326</v>
          </cell>
          <cell r="AR5">
            <v>-4.6982709795025723</v>
          </cell>
          <cell r="AS5">
            <v>-4.7612201858753478</v>
          </cell>
          <cell r="AT5">
            <v>-4.8231068060331168</v>
          </cell>
          <cell r="AU5">
            <v>-4.8840134298992695</v>
          </cell>
          <cell r="AV5">
            <v>-4.944015606392127</v>
          </cell>
          <cell r="AW5">
            <v>-4.9988268090100485</v>
          </cell>
          <cell r="AX5">
            <v>-5.0520259684757036</v>
          </cell>
          <cell r="AY5">
            <v>-5.1039003558730478</v>
          </cell>
          <cell r="AZ5">
            <v>-5.1547680926669726</v>
          </cell>
          <cell r="BA5">
            <v>-5.2048677744221949</v>
          </cell>
          <cell r="BB5">
            <v>-5.2517947323465926</v>
          </cell>
          <cell r="BC5">
            <v>-5.297722555020612</v>
          </cell>
          <cell r="BD5">
            <v>-5.3428795415244252</v>
          </cell>
          <cell r="BE5">
            <v>-5.3875013844754349</v>
          </cell>
          <cell r="BF5">
            <v>-5.4317682313006603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-0.1275864688504269</v>
          </cell>
          <cell r="D5">
            <v>-0.26198208840970683</v>
          </cell>
          <cell r="E5">
            <v>-0.40840254583445201</v>
          </cell>
          <cell r="F5">
            <v>-0.56167237441321349</v>
          </cell>
          <cell r="G5">
            <v>-0.71784252676141413</v>
          </cell>
          <cell r="H5">
            <v>-0.87411098414714727</v>
          </cell>
          <cell r="I5">
            <v>-1.0303679133639498</v>
          </cell>
          <cell r="J5">
            <v>-1.1837654600580172</v>
          </cell>
          <cell r="K5">
            <v>-1.3332754883907727</v>
          </cell>
          <cell r="L5">
            <v>-1.4782819429026373</v>
          </cell>
          <cell r="M5">
            <v>-1.6180976725248319</v>
          </cell>
          <cell r="N5">
            <v>-1.7591867069212119</v>
          </cell>
          <cell r="O5">
            <v>-1.8959209800047061</v>
          </cell>
          <cell r="P5">
            <v>-2.0281155419679231</v>
          </cell>
          <cell r="Q5">
            <v>-2.1556312104193953</v>
          </cell>
          <cell r="R5">
            <v>-2.2784775975364879</v>
          </cell>
          <cell r="S5">
            <v>-2.4027251277211281</v>
          </cell>
          <cell r="T5">
            <v>-2.5234476247418258</v>
          </cell>
          <cell r="U5">
            <v>-2.6407784194327988</v>
          </cell>
          <cell r="V5">
            <v>-2.7548191309446413</v>
          </cell>
          <cell r="W5">
            <v>-2.8659520035723696</v>
          </cell>
          <cell r="X5">
            <v>-2.9738268166550785</v>
          </cell>
          <cell r="Y5">
            <v>-3.0789076012565419</v>
          </cell>
          <cell r="Z5">
            <v>-3.1814997477892737</v>
          </cell>
          <cell r="AA5">
            <v>-3.2818891980439191</v>
          </cell>
          <cell r="AB5">
            <v>-3.3809136706206777</v>
          </cell>
          <cell r="AC5">
            <v>-3.4755760339276631</v>
          </cell>
          <cell r="AD5">
            <v>-3.5682716517019597</v>
          </cell>
          <cell r="AE5">
            <v>-3.6594084261149962</v>
          </cell>
          <cell r="AF5">
            <v>-3.7493387642787868</v>
          </cell>
          <cell r="AG5">
            <v>-3.8383070790512841</v>
          </cell>
          <cell r="AH5">
            <v>-3.925374462962794</v>
          </cell>
          <cell r="AI5">
            <v>-4.0115268029533251</v>
          </cell>
          <cell r="AJ5">
            <v>-4.0968235500818073</v>
          </cell>
          <cell r="AK5">
            <v>-4.181298127039657</v>
          </cell>
          <cell r="AL5">
            <v>-4.2649462202405068</v>
          </cell>
          <cell r="AM5">
            <v>-4.3388519630629396</v>
          </cell>
          <cell r="AN5">
            <v>-4.4103712094771268</v>
          </cell>
          <cell r="AO5">
            <v>-4.4797689763537036</v>
          </cell>
          <cell r="AP5">
            <v>-4.5474597952689493</v>
          </cell>
          <cell r="AQ5">
            <v>-4.6137835490854044</v>
          </cell>
          <cell r="AR5">
            <v>-4.6776030368512416</v>
          </cell>
          <cell r="AS5">
            <v>-4.7401737494745859</v>
          </cell>
          <cell r="AT5">
            <v>-4.8016576056588605</v>
          </cell>
          <cell r="AU5">
            <v>-4.8621312476183061</v>
          </cell>
          <cell r="AV5">
            <v>-4.9216652637725016</v>
          </cell>
          <cell r="AW5">
            <v>-4.9759699585566253</v>
          </cell>
          <cell r="AX5">
            <v>-5.0286467068149987</v>
          </cell>
          <cell r="AY5">
            <v>-5.0799686303287466</v>
          </cell>
          <cell r="AZ5">
            <v>-5.1302394652285921</v>
          </cell>
          <cell r="BA5">
            <v>-5.1796864838473784</v>
          </cell>
          <cell r="BB5">
            <v>-5.2258997260300362</v>
          </cell>
          <cell r="BC5">
            <v>-5.2710637992699265</v>
          </cell>
          <cell r="BD5">
            <v>-5.3153984919841584</v>
          </cell>
          <cell r="BE5">
            <v>-5.3591318424884289</v>
          </cell>
          <cell r="BF5">
            <v>-5.4024381173960023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-0.1266072864198553</v>
          </cell>
          <cell r="D5">
            <v>-0.25917392506271675</v>
          </cell>
          <cell r="E5">
            <v>-0.40326000639545612</v>
          </cell>
          <cell r="F5">
            <v>-0.55398882267881921</v>
          </cell>
          <cell r="G5">
            <v>-0.70753521544256737</v>
          </cell>
          <cell r="H5">
            <v>-0.86109377713811108</v>
          </cell>
          <cell r="I5">
            <v>-1.0144740729668866</v>
          </cell>
          <cell r="J5">
            <v>-1.1647558849598894</v>
          </cell>
          <cell r="K5">
            <v>-1.3108699732437334</v>
          </cell>
          <cell r="L5">
            <v>-1.4521609586762518</v>
          </cell>
          <cell r="M5">
            <v>-1.5879614421541621</v>
          </cell>
          <cell r="N5">
            <v>-1.7246794912863739</v>
          </cell>
          <cell r="O5">
            <v>-1.856728984472833</v>
          </cell>
          <cell r="P5">
            <v>-1.9840005510711523</v>
          </cell>
          <cell r="Q5">
            <v>-2.1064153683655107</v>
          </cell>
          <cell r="R5">
            <v>-2.2240101557918446</v>
          </cell>
          <cell r="S5">
            <v>-2.3427369804605025</v>
          </cell>
          <cell r="T5">
            <v>-2.4576642800835713</v>
          </cell>
          <cell r="U5">
            <v>-2.5689675345346386</v>
          </cell>
          <cell r="V5">
            <v>-2.6767820412278209</v>
          </cell>
          <cell r="W5">
            <v>-2.7815086689841229</v>
          </cell>
          <cell r="X5">
            <v>-2.8827773151122837</v>
          </cell>
          <cell r="Y5">
            <v>-2.9810370857266899</v>
          </cell>
          <cell r="Z5">
            <v>-3.0765609291796503</v>
          </cell>
          <cell r="AA5">
            <v>-3.1696101481516137</v>
          </cell>
          <cell r="AB5">
            <v>-3.261048090505636</v>
          </cell>
          <cell r="AC5">
            <v>-3.3479270837039277</v>
          </cell>
          <cell r="AD5">
            <v>-3.43266459642948</v>
          </cell>
          <cell r="AE5">
            <v>-3.5156542306031047</v>
          </cell>
          <cell r="AF5">
            <v>-3.5972365891299485</v>
          </cell>
          <cell r="AG5">
            <v>-3.677661276628974</v>
          </cell>
          <cell r="AH5">
            <v>-3.7560475373298097</v>
          </cell>
          <cell r="AI5">
            <v>-3.8333996431981987</v>
          </cell>
          <cell r="AJ5">
            <v>-3.9097743338236013</v>
          </cell>
          <cell r="AK5">
            <v>-3.9852007191780725</v>
          </cell>
          <cell r="AL5">
            <v>-4.0596735508986797</v>
          </cell>
          <cell r="AM5">
            <v>-4.1246932839789423</v>
          </cell>
          <cell r="AN5">
            <v>-4.1875993547512707</v>
          </cell>
          <cell r="AO5">
            <v>-4.2484618386982138</v>
          </cell>
          <cell r="AP5">
            <v>-4.3075432912364491</v>
          </cell>
          <cell r="AQ5">
            <v>-4.3651236796108943</v>
          </cell>
          <cell r="AR5">
            <v>-4.4201448651320803</v>
          </cell>
          <cell r="AS5">
            <v>-4.4738996919088558</v>
          </cell>
          <cell r="AT5">
            <v>-4.5265541607199982</v>
          </cell>
          <cell r="AU5">
            <v>-4.5781799152661673</v>
          </cell>
          <cell r="AV5">
            <v>-4.6288400899773823</v>
          </cell>
          <cell r="AW5">
            <v>-4.6744839222177319</v>
          </cell>
          <cell r="AX5">
            <v>-4.7186985694255945</v>
          </cell>
          <cell r="AY5">
            <v>-4.7616235314381417</v>
          </cell>
          <cell r="AZ5">
            <v>-4.8034529350900357</v>
          </cell>
          <cell r="BA5">
            <v>-4.8443625976066667</v>
          </cell>
          <cell r="BB5">
            <v>-4.8820978767775909</v>
          </cell>
          <cell r="BC5">
            <v>-4.9188573097843076</v>
          </cell>
          <cell r="BD5">
            <v>-4.954800489313838</v>
          </cell>
          <cell r="BE5">
            <v>-4.9901043179792381</v>
          </cell>
          <cell r="BF5">
            <v>-5.0249201356903477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9"/>
  <sheetViews>
    <sheetView workbookViewId="0">
      <selection activeCell="B7" sqref="B7:BE9"/>
    </sheetView>
  </sheetViews>
  <sheetFormatPr baseColWidth="10" defaultRowHeight="14.5" x14ac:dyDescent="0.35"/>
  <cols>
    <col min="1" max="1" width="15" bestFit="1" customWidth="1"/>
  </cols>
  <sheetData>
    <row r="1" spans="1:57" x14ac:dyDescent="0.35">
      <c r="B1" s="1">
        <f>[1]Données!C4</f>
        <v>42005</v>
      </c>
      <c r="C1" s="1">
        <f>[1]Données!D4</f>
        <v>42370</v>
      </c>
      <c r="D1" s="1">
        <f>[1]Données!E4</f>
        <v>42736</v>
      </c>
      <c r="E1" s="1">
        <f>[1]Données!F4</f>
        <v>43101</v>
      </c>
      <c r="F1" s="1">
        <f>[1]Données!G4</f>
        <v>43466</v>
      </c>
      <c r="G1" s="1">
        <f>[1]Données!H4</f>
        <v>43831</v>
      </c>
      <c r="H1" s="1">
        <f>[1]Données!I4</f>
        <v>44197</v>
      </c>
      <c r="I1" s="1">
        <f>[1]Données!J4</f>
        <v>44562</v>
      </c>
      <c r="J1" s="1">
        <f>[1]Données!K4</f>
        <v>44927</v>
      </c>
      <c r="K1" s="1">
        <f>[1]Données!L4</f>
        <v>45292</v>
      </c>
      <c r="L1" s="1">
        <f>[1]Données!M4</f>
        <v>45658</v>
      </c>
      <c r="M1" s="1">
        <f>[1]Données!N4</f>
        <v>46023</v>
      </c>
      <c r="N1" s="1">
        <f>[1]Données!O4</f>
        <v>46388</v>
      </c>
      <c r="O1" s="1">
        <f>[1]Données!P4</f>
        <v>46753</v>
      </c>
      <c r="P1" s="1">
        <f>[1]Données!Q4</f>
        <v>47119</v>
      </c>
      <c r="Q1" s="1">
        <f>[1]Données!R4</f>
        <v>47484</v>
      </c>
      <c r="R1" s="1">
        <f>[1]Données!S4</f>
        <v>47849</v>
      </c>
      <c r="S1" s="1">
        <f>[1]Données!T4</f>
        <v>48214</v>
      </c>
      <c r="T1" s="1">
        <f>[1]Données!U4</f>
        <v>48580</v>
      </c>
      <c r="U1" s="1">
        <f>[1]Données!V4</f>
        <v>48945</v>
      </c>
      <c r="V1" s="1">
        <f>[1]Données!W4</f>
        <v>49310</v>
      </c>
      <c r="W1" s="1">
        <f>[1]Données!X4</f>
        <v>49675</v>
      </c>
      <c r="X1" s="1">
        <f>[1]Données!Y4</f>
        <v>50041</v>
      </c>
      <c r="Y1" s="1">
        <f>[1]Données!Z4</f>
        <v>50406</v>
      </c>
      <c r="Z1" s="1">
        <f>[1]Données!AA4</f>
        <v>50771</v>
      </c>
      <c r="AA1" s="1">
        <f>[1]Données!AB4</f>
        <v>51136</v>
      </c>
      <c r="AB1" s="1">
        <f>[1]Données!AC4</f>
        <v>51502</v>
      </c>
      <c r="AC1" s="1">
        <f>[1]Données!AD4</f>
        <v>51867</v>
      </c>
      <c r="AD1" s="1">
        <f>[1]Données!AE4</f>
        <v>52232</v>
      </c>
      <c r="AE1" s="1">
        <f>[1]Données!AF4</f>
        <v>52597</v>
      </c>
      <c r="AF1" s="1">
        <f>[1]Données!AG4</f>
        <v>52963</v>
      </c>
      <c r="AG1" s="1">
        <f>[1]Données!AH4</f>
        <v>53328</v>
      </c>
      <c r="AH1" s="1">
        <f>[1]Données!AI4</f>
        <v>53693</v>
      </c>
      <c r="AI1" s="1">
        <f>[1]Données!AJ4</f>
        <v>54058</v>
      </c>
      <c r="AJ1" s="1">
        <f>[1]Données!AK4</f>
        <v>54424</v>
      </c>
      <c r="AK1" s="1">
        <f>[1]Données!AL4</f>
        <v>54789</v>
      </c>
      <c r="AL1" s="1">
        <f>[1]Données!AM4</f>
        <v>55154</v>
      </c>
      <c r="AM1" s="1">
        <f>[1]Données!AN4</f>
        <v>55519</v>
      </c>
      <c r="AN1" s="1">
        <f>[1]Données!AO4</f>
        <v>55885</v>
      </c>
      <c r="AO1" s="1">
        <f>[1]Données!AP4</f>
        <v>56250</v>
      </c>
      <c r="AP1" s="1">
        <f>[1]Données!AQ4</f>
        <v>56615</v>
      </c>
      <c r="AQ1" s="1">
        <f>[1]Données!AR4</f>
        <v>56980</v>
      </c>
      <c r="AR1" s="1">
        <f>[1]Données!AS4</f>
        <v>57346</v>
      </c>
      <c r="AS1" s="1">
        <f>[1]Données!AT4</f>
        <v>57711</v>
      </c>
      <c r="AT1" s="1">
        <f>[1]Données!AU4</f>
        <v>58076</v>
      </c>
      <c r="AU1" s="1">
        <f>[1]Données!AV4</f>
        <v>58441</v>
      </c>
      <c r="AV1" s="1">
        <f>[1]Données!AW4</f>
        <v>58807</v>
      </c>
      <c r="AW1" s="1">
        <f>[1]Données!AX4</f>
        <v>59172</v>
      </c>
      <c r="AX1" s="1">
        <f>[1]Données!AY4</f>
        <v>59537</v>
      </c>
      <c r="AY1" s="1">
        <f>[1]Données!AZ4</f>
        <v>59902</v>
      </c>
      <c r="AZ1" s="1">
        <f>[1]Données!BA4</f>
        <v>60268</v>
      </c>
      <c r="BA1" s="1">
        <f>[1]Données!BB4</f>
        <v>60633</v>
      </c>
      <c r="BB1" s="1">
        <f>[1]Données!BC4</f>
        <v>60998</v>
      </c>
      <c r="BC1" s="1">
        <f>[1]Données!BD4</f>
        <v>61363</v>
      </c>
      <c r="BD1" s="1">
        <f>[1]Données!BE4</f>
        <v>61729</v>
      </c>
      <c r="BE1" s="1">
        <f>[1]Données!BF4</f>
        <v>62094</v>
      </c>
    </row>
    <row r="2" spans="1:57" x14ac:dyDescent="0.35">
      <c r="A2" t="s">
        <v>2</v>
      </c>
      <c r="B2" s="2">
        <f>([3]Données!C5)/100</f>
        <v>-1.266072864198553E-3</v>
      </c>
      <c r="C2" s="2">
        <f>([3]Données!D5)/100</f>
        <v>-2.5917392506271675E-3</v>
      </c>
      <c r="D2" s="2">
        <f>([3]Données!E5)/100</f>
        <v>-4.0326000639545612E-3</v>
      </c>
      <c r="E2" s="2">
        <f>([3]Données!F5)/100</f>
        <v>-5.5398882267881921E-3</v>
      </c>
      <c r="F2" s="2">
        <f>([3]Données!G5)/100</f>
        <v>-7.0753521544256737E-3</v>
      </c>
      <c r="G2" s="2">
        <f>([3]Données!H5)/100</f>
        <v>-8.6109377713811108E-3</v>
      </c>
      <c r="H2" s="2">
        <f>([3]Données!I5)/100</f>
        <v>-1.0144740729668866E-2</v>
      </c>
      <c r="I2" s="2">
        <f>([3]Données!J5)/100</f>
        <v>-1.1647558849598894E-2</v>
      </c>
      <c r="J2" s="2">
        <f>([3]Données!K5)/100</f>
        <v>-1.3108699732437334E-2</v>
      </c>
      <c r="K2" s="2">
        <f>([3]Données!L5)/100</f>
        <v>-1.4521609586762518E-2</v>
      </c>
      <c r="L2" s="2">
        <f>([3]Données!M5)/100</f>
        <v>-1.5879614421541621E-2</v>
      </c>
      <c r="M2" s="2">
        <f>([3]Données!N5)/100</f>
        <v>-1.7246794912863739E-2</v>
      </c>
      <c r="N2" s="2">
        <f>([3]Données!O5)/100</f>
        <v>-1.856728984472833E-2</v>
      </c>
      <c r="O2" s="2">
        <f>([3]Données!P5)/100</f>
        <v>-1.9840005510711523E-2</v>
      </c>
      <c r="P2" s="2">
        <f>([3]Données!Q5)/100</f>
        <v>-2.1064153683655107E-2</v>
      </c>
      <c r="Q2" s="2">
        <f>([3]Données!R5)/100</f>
        <v>-2.2240101557918446E-2</v>
      </c>
      <c r="R2" s="2">
        <f>([3]Données!S5)/100</f>
        <v>-2.3427369804605025E-2</v>
      </c>
      <c r="S2" s="2">
        <f>([3]Données!T5)/100</f>
        <v>-2.4576642800835713E-2</v>
      </c>
      <c r="T2" s="2">
        <f>([3]Données!U5)/100</f>
        <v>-2.5689675345346386E-2</v>
      </c>
      <c r="U2" s="2">
        <f>([3]Données!V5)/100</f>
        <v>-2.6767820412278209E-2</v>
      </c>
      <c r="V2" s="2">
        <f>([3]Données!W5)/100</f>
        <v>-2.7815086689841229E-2</v>
      </c>
      <c r="W2" s="2">
        <f>([3]Données!X5)/100</f>
        <v>-2.8827773151122837E-2</v>
      </c>
      <c r="X2" s="2">
        <f>([3]Données!Y5)/100</f>
        <v>-2.9810370857266899E-2</v>
      </c>
      <c r="Y2" s="2">
        <f>([3]Données!Z5)/100</f>
        <v>-3.0765609291796503E-2</v>
      </c>
      <c r="Z2" s="2">
        <f>([3]Données!AA5)/100</f>
        <v>-3.1696101481516137E-2</v>
      </c>
      <c r="AA2" s="2">
        <f>([3]Données!AB5)/100</f>
        <v>-3.261048090505636E-2</v>
      </c>
      <c r="AB2" s="2">
        <f>([3]Données!AC5)/100</f>
        <v>-3.3479270837039277E-2</v>
      </c>
      <c r="AC2" s="2">
        <f>([3]Données!AD5)/100</f>
        <v>-3.43266459642948E-2</v>
      </c>
      <c r="AD2" s="2">
        <f>([3]Données!AE5)/100</f>
        <v>-3.5156542306031047E-2</v>
      </c>
      <c r="AE2" s="2">
        <f>([3]Données!AF5)/100</f>
        <v>-3.5972365891299485E-2</v>
      </c>
      <c r="AF2" s="2">
        <f>([3]Données!AG5)/100</f>
        <v>-3.677661276628974E-2</v>
      </c>
      <c r="AG2" s="2">
        <f>([3]Données!AH5)/100</f>
        <v>-3.7560475373298097E-2</v>
      </c>
      <c r="AH2" s="2">
        <f>([3]Données!AI5)/100</f>
        <v>-3.8333996431981987E-2</v>
      </c>
      <c r="AI2" s="2">
        <f>([3]Données!AJ5)/100</f>
        <v>-3.9097743338236013E-2</v>
      </c>
      <c r="AJ2" s="2">
        <f>([3]Données!AK5)/100</f>
        <v>-3.9852007191780725E-2</v>
      </c>
      <c r="AK2" s="2">
        <f>([3]Données!AL5)/100</f>
        <v>-4.0596735508986799E-2</v>
      </c>
      <c r="AL2" s="2">
        <f>([3]Données!AM5)/100</f>
        <v>-4.1246932839789426E-2</v>
      </c>
      <c r="AM2" s="2">
        <f>([3]Données!AN5)/100</f>
        <v>-4.1875993547512709E-2</v>
      </c>
      <c r="AN2" s="2">
        <f>([3]Données!AO5)/100</f>
        <v>-4.2484618386982136E-2</v>
      </c>
      <c r="AO2" s="2">
        <f>([3]Données!AP5)/100</f>
        <v>-4.3075432912364493E-2</v>
      </c>
      <c r="AP2" s="2">
        <f>([3]Données!AQ5)/100</f>
        <v>-4.3651236796108946E-2</v>
      </c>
      <c r="AQ2" s="2">
        <f>([3]Données!AR5)/100</f>
        <v>-4.42014486513208E-2</v>
      </c>
      <c r="AR2" s="2">
        <f>([3]Données!AS5)/100</f>
        <v>-4.4738996919088558E-2</v>
      </c>
      <c r="AS2" s="2">
        <f>([3]Données!AT5)/100</f>
        <v>-4.5265541607199984E-2</v>
      </c>
      <c r="AT2" s="2">
        <f>([3]Données!AU5)/100</f>
        <v>-4.5781799152661673E-2</v>
      </c>
      <c r="AU2" s="2">
        <f>([3]Données!AV5)/100</f>
        <v>-4.6288400899773825E-2</v>
      </c>
      <c r="AV2" s="2">
        <f>([3]Données!AW5)/100</f>
        <v>-4.6744839222177322E-2</v>
      </c>
      <c r="AW2" s="2">
        <f>([3]Données!AX5)/100</f>
        <v>-4.7186985694255945E-2</v>
      </c>
      <c r="AX2" s="2">
        <f>([3]Données!AY5)/100</f>
        <v>-4.7616235314381417E-2</v>
      </c>
      <c r="AY2" s="2">
        <f>([3]Données!AZ5)/100</f>
        <v>-4.8034529350900357E-2</v>
      </c>
      <c r="AZ2" s="2">
        <f>([3]Données!BA5)/100</f>
        <v>-4.8443625976066669E-2</v>
      </c>
      <c r="BA2" s="2">
        <f>([3]Données!BB5)/100</f>
        <v>-4.8820978767775906E-2</v>
      </c>
      <c r="BB2" s="2">
        <f>([3]Données!BC5)/100</f>
        <v>-4.9188573097843073E-2</v>
      </c>
      <c r="BC2" s="2">
        <f>([3]Données!BD5)/100</f>
        <v>-4.9548004893138382E-2</v>
      </c>
      <c r="BD2" s="2">
        <f>([3]Données!BE5)/100</f>
        <v>-4.9901043179792381E-2</v>
      </c>
      <c r="BE2" s="2">
        <f>([3]Données!BF5)/100</f>
        <v>-5.0249201356903479E-2</v>
      </c>
    </row>
    <row r="3" spans="1:57" x14ac:dyDescent="0.35">
      <c r="A3" t="s">
        <v>1</v>
      </c>
      <c r="B3" s="2">
        <f>([2]Données!C5)/100</f>
        <v>-1.275864688504269E-3</v>
      </c>
      <c r="C3" s="2">
        <f>([2]Données!D5)/100</f>
        <v>-2.6198208840970683E-3</v>
      </c>
      <c r="D3" s="2">
        <f>([2]Données!E5)/100</f>
        <v>-4.0840254583445201E-3</v>
      </c>
      <c r="E3" s="2">
        <f>([2]Données!F5)/100</f>
        <v>-5.6167237441321349E-3</v>
      </c>
      <c r="F3" s="2">
        <f>([2]Données!G5)/100</f>
        <v>-7.1784252676141413E-3</v>
      </c>
      <c r="G3" s="2">
        <f>([2]Données!H5)/100</f>
        <v>-8.7411098414714727E-3</v>
      </c>
      <c r="H3" s="2">
        <f>([2]Données!I5)/100</f>
        <v>-1.0303679133639498E-2</v>
      </c>
      <c r="I3" s="2">
        <f>([2]Données!J5)/100</f>
        <v>-1.1837654600580172E-2</v>
      </c>
      <c r="J3" s="2">
        <f>([2]Données!K5)/100</f>
        <v>-1.3332754883907727E-2</v>
      </c>
      <c r="K3" s="2">
        <f>([2]Données!L5)/100</f>
        <v>-1.4782819429026373E-2</v>
      </c>
      <c r="L3" s="2">
        <f>([2]Données!M5)/100</f>
        <v>-1.6180976725248319E-2</v>
      </c>
      <c r="M3" s="2">
        <f>([2]Données!N5)/100</f>
        <v>-1.7591867069212119E-2</v>
      </c>
      <c r="N3" s="2">
        <f>([2]Données!O5)/100</f>
        <v>-1.8959209800047061E-2</v>
      </c>
      <c r="O3" s="2">
        <f>([2]Données!P5)/100</f>
        <v>-2.0281155419679231E-2</v>
      </c>
      <c r="P3" s="2">
        <f>([2]Données!Q5)/100</f>
        <v>-2.1556312104193953E-2</v>
      </c>
      <c r="Q3" s="2">
        <f>([2]Données!R5)/100</f>
        <v>-2.2784775975364879E-2</v>
      </c>
      <c r="R3" s="2">
        <f>([2]Données!S5)/100</f>
        <v>-2.4027251277211281E-2</v>
      </c>
      <c r="S3" s="2">
        <f>([2]Données!T5)/100</f>
        <v>-2.5234476247418258E-2</v>
      </c>
      <c r="T3" s="2">
        <f>([2]Données!U5)/100</f>
        <v>-2.6407784194327988E-2</v>
      </c>
      <c r="U3" s="2">
        <f>([2]Données!V5)/100</f>
        <v>-2.7548191309446413E-2</v>
      </c>
      <c r="V3" s="2">
        <f>([2]Données!W5)/100</f>
        <v>-2.8659520035723696E-2</v>
      </c>
      <c r="W3" s="2">
        <f>([2]Données!X5)/100</f>
        <v>-2.9738268166550785E-2</v>
      </c>
      <c r="X3" s="2">
        <f>([2]Données!Y5)/100</f>
        <v>-3.0789076012565419E-2</v>
      </c>
      <c r="Y3" s="2">
        <f>([2]Données!Z5)/100</f>
        <v>-3.1814997477892737E-2</v>
      </c>
      <c r="Z3" s="2">
        <f>([2]Données!AA5)/100</f>
        <v>-3.2818891980439191E-2</v>
      </c>
      <c r="AA3" s="2">
        <f>([2]Données!AB5)/100</f>
        <v>-3.3809136706206777E-2</v>
      </c>
      <c r="AB3" s="2">
        <f>([2]Données!AC5)/100</f>
        <v>-3.4755760339276631E-2</v>
      </c>
      <c r="AC3" s="2">
        <f>([2]Données!AD5)/100</f>
        <v>-3.5682716517019597E-2</v>
      </c>
      <c r="AD3" s="2">
        <f>([2]Données!AE5)/100</f>
        <v>-3.6594084261149962E-2</v>
      </c>
      <c r="AE3" s="2">
        <f>([2]Données!AF5)/100</f>
        <v>-3.7493387642787868E-2</v>
      </c>
      <c r="AF3" s="2">
        <f>([2]Données!AG5)/100</f>
        <v>-3.8383070790512841E-2</v>
      </c>
      <c r="AG3" s="2">
        <f>([2]Données!AH5)/100</f>
        <v>-3.925374462962794E-2</v>
      </c>
      <c r="AH3" s="2">
        <f>([2]Données!AI5)/100</f>
        <v>-4.0115268029533253E-2</v>
      </c>
      <c r="AI3" s="2">
        <f>([2]Données!AJ5)/100</f>
        <v>-4.0968235500818073E-2</v>
      </c>
      <c r="AJ3" s="2">
        <f>([2]Données!AK5)/100</f>
        <v>-4.1812981270396572E-2</v>
      </c>
      <c r="AK3" s="2">
        <f>([2]Données!AL5)/100</f>
        <v>-4.2649462202405071E-2</v>
      </c>
      <c r="AL3" s="2">
        <f>([2]Données!AM5)/100</f>
        <v>-4.3388519630629396E-2</v>
      </c>
      <c r="AM3" s="2">
        <f>([2]Données!AN5)/100</f>
        <v>-4.410371209477127E-2</v>
      </c>
      <c r="AN3" s="2">
        <f>([2]Données!AO5)/100</f>
        <v>-4.4797689763537034E-2</v>
      </c>
      <c r="AO3" s="2">
        <f>([2]Données!AP5)/100</f>
        <v>-4.5474597952689495E-2</v>
      </c>
      <c r="AP3" s="2">
        <f>([2]Données!AQ5)/100</f>
        <v>-4.6137835490854047E-2</v>
      </c>
      <c r="AQ3" s="2">
        <f>([2]Données!AR5)/100</f>
        <v>-4.6776030368512418E-2</v>
      </c>
      <c r="AR3" s="2">
        <f>([2]Données!AS5)/100</f>
        <v>-4.7401737494745862E-2</v>
      </c>
      <c r="AS3" s="2">
        <f>([2]Données!AT5)/100</f>
        <v>-4.8016576056588607E-2</v>
      </c>
      <c r="AT3" s="2">
        <f>([2]Données!AU5)/100</f>
        <v>-4.8621312476183058E-2</v>
      </c>
      <c r="AU3" s="2">
        <f>([2]Données!AV5)/100</f>
        <v>-4.9216652637725018E-2</v>
      </c>
      <c r="AV3" s="2">
        <f>([2]Données!AW5)/100</f>
        <v>-4.9759699585566253E-2</v>
      </c>
      <c r="AW3" s="2">
        <f>([2]Données!AX5)/100</f>
        <v>-5.0286467068149987E-2</v>
      </c>
      <c r="AX3" s="2">
        <f>([2]Données!AY5)/100</f>
        <v>-5.0799686303287468E-2</v>
      </c>
      <c r="AY3" s="2">
        <f>([2]Données!AZ5)/100</f>
        <v>-5.1302394652285921E-2</v>
      </c>
      <c r="AZ3" s="2">
        <f>([2]Données!BA5)/100</f>
        <v>-5.1796864838473781E-2</v>
      </c>
      <c r="BA3" s="2">
        <f>([2]Données!BB5)/100</f>
        <v>-5.2258997260300359E-2</v>
      </c>
      <c r="BB3" s="2">
        <f>([2]Données!BC5)/100</f>
        <v>-5.2710637992699268E-2</v>
      </c>
      <c r="BC3" s="2">
        <f>([2]Données!BD5)/100</f>
        <v>-5.3153984919841586E-2</v>
      </c>
      <c r="BD3" s="2">
        <f>([2]Données!BE5)/100</f>
        <v>-5.3591318424884286E-2</v>
      </c>
      <c r="BE3" s="2">
        <f>([2]Données!BF5)/100</f>
        <v>-5.4024381173960023E-2</v>
      </c>
    </row>
    <row r="4" spans="1:57" x14ac:dyDescent="0.35">
      <c r="A4" t="s">
        <v>0</v>
      </c>
      <c r="B4" s="2">
        <f>([1]Données!C5)/100</f>
        <v>-1.2787414322095181E-3</v>
      </c>
      <c r="C4" s="2">
        <f>([1]Données!D5)/100</f>
        <v>-2.627520487745616E-3</v>
      </c>
      <c r="D4" s="2">
        <f>([1]Données!E5)/100</f>
        <v>-4.0975543658698932E-3</v>
      </c>
      <c r="E4" s="2">
        <f>([1]Données!F5)/100</f>
        <v>-5.6365250060909089E-3</v>
      </c>
      <c r="F4" s="2">
        <f>([1]Données!G5)/100</f>
        <v>-7.2045448665278844E-3</v>
      </c>
      <c r="G4" s="2">
        <f>([1]Données!H5)/100</f>
        <v>-8.7731936854470449E-3</v>
      </c>
      <c r="H4" s="2">
        <f>([1]Données!I5)/100</f>
        <v>-1.0340634104150648E-2</v>
      </c>
      <c r="I4" s="2">
        <f>([1]Données!J5)/100</f>
        <v>-1.1877943720283057E-2</v>
      </c>
      <c r="J4" s="2">
        <f>([1]Données!K5)/100</f>
        <v>-1.3374989460507969E-2</v>
      </c>
      <c r="K4" s="2">
        <f>([1]Données!L5)/100</f>
        <v>-1.4825527401897576E-2</v>
      </c>
      <c r="L4" s="2">
        <f>([1]Données!M5)/100</f>
        <v>-1.6224007357031001E-2</v>
      </c>
      <c r="M4" s="2">
        <f>([1]Données!N5)/100</f>
        <v>-1.763498575991751E-2</v>
      </c>
      <c r="N4" s="2">
        <f>([1]Données!O5)/100</f>
        <v>-1.9002713223146284E-2</v>
      </c>
      <c r="O4" s="2">
        <f>([1]Données!P5)/100</f>
        <v>-2.0325545260460376E-2</v>
      </c>
      <c r="P4" s="2">
        <f>([1]Données!Q5)/100</f>
        <v>-2.1602243202948457E-2</v>
      </c>
      <c r="Q4" s="2">
        <f>([1]Données!R5)/100</f>
        <v>-2.2833019939127674E-2</v>
      </c>
      <c r="R4" s="2">
        <f>([1]Données!S5)/100</f>
        <v>-2.407868645435618E-2</v>
      </c>
      <c r="S4" s="2">
        <f>([1]Données!T5)/100</f>
        <v>-2.5290161115245069E-2</v>
      </c>
      <c r="T4" s="2">
        <f>([1]Données!U5)/100</f>
        <v>-2.646861847770321E-2</v>
      </c>
      <c r="U4" s="2">
        <f>([1]Données!V5)/100</f>
        <v>-2.761487660245654E-2</v>
      </c>
      <c r="V4" s="2">
        <f>([1]Données!W5)/100</f>
        <v>-2.8732305935390667E-2</v>
      </c>
      <c r="W4" s="2">
        <f>([1]Données!X5)/100</f>
        <v>-2.9817702166700655E-2</v>
      </c>
      <c r="X4" s="2">
        <f>([1]Données!Y5)/100</f>
        <v>-3.087535235602612E-2</v>
      </c>
      <c r="Y4" s="2">
        <f>([1]Données!Z5)/100</f>
        <v>-3.1908318588945495E-2</v>
      </c>
      <c r="Z4" s="2">
        <f>([1]Données!AA5)/100</f>
        <v>-3.2919675532686599E-2</v>
      </c>
      <c r="AA4" s="2">
        <f>([1]Données!AB5)/100</f>
        <v>-3.3917253014015603E-2</v>
      </c>
      <c r="AB4" s="2">
        <f>([1]Données!AC5)/100</f>
        <v>-3.4872332920302229E-2</v>
      </c>
      <c r="AC4" s="2">
        <f>([1]Données!AD5)/100</f>
        <v>-3.5808201526510874E-2</v>
      </c>
      <c r="AD4" s="2">
        <f>([1]Données!AE5)/100</f>
        <v>-3.672861999748056E-2</v>
      </c>
      <c r="AE4" s="2">
        <f>([1]Données!AF5)/100</f>
        <v>-3.7636781262668006E-2</v>
      </c>
      <c r="AF4" s="2">
        <f>([1]Données!AG5)/100</f>
        <v>-3.8534873095712463E-2</v>
      </c>
      <c r="AG4" s="2">
        <f>([1]Données!AH5)/100</f>
        <v>-3.9413333846629484E-2</v>
      </c>
      <c r="AH4" s="2">
        <f>([1]Données!AI5)/100</f>
        <v>-4.0281907250801385E-2</v>
      </c>
      <c r="AI4" s="2">
        <f>([1]Données!AJ5)/100</f>
        <v>-4.1141231116650578E-2</v>
      </c>
      <c r="AJ4" s="2">
        <f>([1]Données!AK5)/100</f>
        <v>-4.1991740378482634E-2</v>
      </c>
      <c r="AK4" s="2">
        <f>([1]Données!AL5)/100</f>
        <v>-4.2833519598868379E-2</v>
      </c>
      <c r="AL4" s="2">
        <f>([1]Données!AM5)/100</f>
        <v>-4.357727341636853E-2</v>
      </c>
      <c r="AM4" s="2">
        <f>([1]Données!AN5)/100</f>
        <v>-4.4296429806748749E-2</v>
      </c>
      <c r="AN4" s="2">
        <f>([1]Données!AO5)/100</f>
        <v>-4.499394110188315E-2</v>
      </c>
      <c r="AO4" s="2">
        <f>([1]Données!AP5)/100</f>
        <v>-4.5674230116184322E-2</v>
      </c>
      <c r="AP4" s="2">
        <f>([1]Données!AQ5)/100</f>
        <v>-4.6340903335793326E-2</v>
      </c>
      <c r="AQ4" s="2">
        <f>([1]Données!AR5)/100</f>
        <v>-4.6982709795025723E-2</v>
      </c>
      <c r="AR4" s="2">
        <f>([1]Données!AS5)/100</f>
        <v>-4.7612201858753478E-2</v>
      </c>
      <c r="AS4" s="2">
        <f>([1]Données!AT5)/100</f>
        <v>-4.8231068060331166E-2</v>
      </c>
      <c r="AT4" s="2">
        <f>([1]Données!AU5)/100</f>
        <v>-4.8840134298992692E-2</v>
      </c>
      <c r="AU4" s="2">
        <f>([1]Données!AV5)/100</f>
        <v>-4.944015606392127E-2</v>
      </c>
      <c r="AV4" s="2">
        <f>([1]Données!AW5)/100</f>
        <v>-4.9988268090100485E-2</v>
      </c>
      <c r="AW4" s="2">
        <f>([1]Données!AX5)/100</f>
        <v>-5.0520259684757034E-2</v>
      </c>
      <c r="AX4" s="2">
        <f>([1]Données!AY5)/100</f>
        <v>-5.1039003558730478E-2</v>
      </c>
      <c r="AY4" s="2">
        <f>([1]Données!AZ5)/100</f>
        <v>-5.1547680926669726E-2</v>
      </c>
      <c r="AZ4" s="2">
        <f>([1]Données!BA5)/100</f>
        <v>-5.2048677744221949E-2</v>
      </c>
      <c r="BA4" s="2">
        <f>([1]Données!BB5)/100</f>
        <v>-5.2517947323465923E-2</v>
      </c>
      <c r="BB4" s="2">
        <f>([1]Données!BC5)/100</f>
        <v>-5.297722555020612E-2</v>
      </c>
      <c r="BC4" s="2">
        <f>([1]Données!BD5)/100</f>
        <v>-5.342879541524425E-2</v>
      </c>
      <c r="BD4" s="2">
        <f>([1]Données!BE5)/100</f>
        <v>-5.3875013844754349E-2</v>
      </c>
      <c r="BE4" s="2">
        <f>([1]Données!BF5)/100</f>
        <v>-5.4317682313006606E-2</v>
      </c>
    </row>
    <row r="6" spans="1:57" x14ac:dyDescent="0.35">
      <c r="B6" s="1">
        <f>B1</f>
        <v>42005</v>
      </c>
      <c r="C6" s="1">
        <f t="shared" ref="C6:BE6" si="0">C1</f>
        <v>42370</v>
      </c>
      <c r="D6" s="1">
        <f t="shared" si="0"/>
        <v>42736</v>
      </c>
      <c r="E6" s="1">
        <f t="shared" si="0"/>
        <v>43101</v>
      </c>
      <c r="F6" s="1">
        <f t="shared" si="0"/>
        <v>43466</v>
      </c>
      <c r="G6" s="1">
        <f t="shared" si="0"/>
        <v>43831</v>
      </c>
      <c r="H6" s="1">
        <f t="shared" si="0"/>
        <v>44197</v>
      </c>
      <c r="I6" s="1">
        <f t="shared" si="0"/>
        <v>44562</v>
      </c>
      <c r="J6" s="1">
        <f t="shared" si="0"/>
        <v>44927</v>
      </c>
      <c r="K6" s="1">
        <f t="shared" si="0"/>
        <v>45292</v>
      </c>
      <c r="L6" s="1">
        <f t="shared" si="0"/>
        <v>45658</v>
      </c>
      <c r="M6" s="1">
        <f t="shared" si="0"/>
        <v>46023</v>
      </c>
      <c r="N6" s="1">
        <f t="shared" si="0"/>
        <v>46388</v>
      </c>
      <c r="O6" s="1">
        <f t="shared" si="0"/>
        <v>46753</v>
      </c>
      <c r="P6" s="1">
        <f t="shared" si="0"/>
        <v>47119</v>
      </c>
      <c r="Q6" s="1">
        <f t="shared" si="0"/>
        <v>47484</v>
      </c>
      <c r="R6" s="1">
        <f t="shared" si="0"/>
        <v>47849</v>
      </c>
      <c r="S6" s="1">
        <f t="shared" si="0"/>
        <v>48214</v>
      </c>
      <c r="T6" s="1">
        <f t="shared" si="0"/>
        <v>48580</v>
      </c>
      <c r="U6" s="1">
        <f t="shared" si="0"/>
        <v>48945</v>
      </c>
      <c r="V6" s="1">
        <f t="shared" si="0"/>
        <v>49310</v>
      </c>
      <c r="W6" s="1">
        <f t="shared" si="0"/>
        <v>49675</v>
      </c>
      <c r="X6" s="1">
        <f t="shared" si="0"/>
        <v>50041</v>
      </c>
      <c r="Y6" s="1">
        <f t="shared" si="0"/>
        <v>50406</v>
      </c>
      <c r="Z6" s="1">
        <f t="shared" si="0"/>
        <v>50771</v>
      </c>
      <c r="AA6" s="1">
        <f t="shared" si="0"/>
        <v>51136</v>
      </c>
      <c r="AB6" s="1">
        <f t="shared" si="0"/>
        <v>51502</v>
      </c>
      <c r="AC6" s="1">
        <f t="shared" si="0"/>
        <v>51867</v>
      </c>
      <c r="AD6" s="1">
        <f t="shared" si="0"/>
        <v>52232</v>
      </c>
      <c r="AE6" s="1">
        <f t="shared" si="0"/>
        <v>52597</v>
      </c>
      <c r="AF6" s="1">
        <f t="shared" si="0"/>
        <v>52963</v>
      </c>
      <c r="AG6" s="1">
        <f t="shared" si="0"/>
        <v>53328</v>
      </c>
      <c r="AH6" s="1">
        <f t="shared" si="0"/>
        <v>53693</v>
      </c>
      <c r="AI6" s="1">
        <f t="shared" si="0"/>
        <v>54058</v>
      </c>
      <c r="AJ6" s="1">
        <f t="shared" si="0"/>
        <v>54424</v>
      </c>
      <c r="AK6" s="1">
        <f t="shared" si="0"/>
        <v>54789</v>
      </c>
      <c r="AL6" s="1">
        <f t="shared" si="0"/>
        <v>55154</v>
      </c>
      <c r="AM6" s="1">
        <f t="shared" si="0"/>
        <v>55519</v>
      </c>
      <c r="AN6" s="1">
        <f t="shared" si="0"/>
        <v>55885</v>
      </c>
      <c r="AO6" s="1">
        <f t="shared" si="0"/>
        <v>56250</v>
      </c>
      <c r="AP6" s="1">
        <f t="shared" si="0"/>
        <v>56615</v>
      </c>
      <c r="AQ6" s="1">
        <f t="shared" si="0"/>
        <v>56980</v>
      </c>
      <c r="AR6" s="1">
        <f t="shared" si="0"/>
        <v>57346</v>
      </c>
      <c r="AS6" s="1">
        <f t="shared" si="0"/>
        <v>57711</v>
      </c>
      <c r="AT6" s="1">
        <f t="shared" si="0"/>
        <v>58076</v>
      </c>
      <c r="AU6" s="1">
        <f t="shared" si="0"/>
        <v>58441</v>
      </c>
      <c r="AV6" s="1">
        <f t="shared" si="0"/>
        <v>58807</v>
      </c>
      <c r="AW6" s="1">
        <f t="shared" si="0"/>
        <v>59172</v>
      </c>
      <c r="AX6" s="1">
        <f t="shared" si="0"/>
        <v>59537</v>
      </c>
      <c r="AY6" s="1">
        <f t="shared" si="0"/>
        <v>59902</v>
      </c>
      <c r="AZ6" s="1">
        <f t="shared" si="0"/>
        <v>60268</v>
      </c>
      <c r="BA6" s="1">
        <f t="shared" si="0"/>
        <v>60633</v>
      </c>
      <c r="BB6" s="1">
        <f t="shared" si="0"/>
        <v>60998</v>
      </c>
      <c r="BC6" s="1">
        <f t="shared" si="0"/>
        <v>61363</v>
      </c>
      <c r="BD6" s="1">
        <f t="shared" si="0"/>
        <v>61729</v>
      </c>
      <c r="BE6" s="1">
        <f t="shared" si="0"/>
        <v>62094</v>
      </c>
    </row>
    <row r="7" spans="1:57" x14ac:dyDescent="0.35">
      <c r="A7" t="s">
        <v>2</v>
      </c>
      <c r="B7" s="3">
        <f>B2</f>
        <v>-1.266072864198553E-3</v>
      </c>
      <c r="C7" s="3">
        <f t="shared" ref="C7:BE7" si="1">C2</f>
        <v>-2.5917392506271675E-3</v>
      </c>
      <c r="D7" s="3">
        <f t="shared" si="1"/>
        <v>-4.0326000639545612E-3</v>
      </c>
      <c r="E7" s="3">
        <f t="shared" si="1"/>
        <v>-5.5398882267881921E-3</v>
      </c>
      <c r="F7" s="3">
        <f t="shared" si="1"/>
        <v>-7.0753521544256737E-3</v>
      </c>
      <c r="G7" s="3">
        <f t="shared" si="1"/>
        <v>-8.6109377713811108E-3</v>
      </c>
      <c r="H7" s="3">
        <f t="shared" si="1"/>
        <v>-1.0144740729668866E-2</v>
      </c>
      <c r="I7" s="3">
        <f t="shared" si="1"/>
        <v>-1.1647558849598894E-2</v>
      </c>
      <c r="J7" s="3">
        <f t="shared" si="1"/>
        <v>-1.3108699732437334E-2</v>
      </c>
      <c r="K7" s="3">
        <f t="shared" si="1"/>
        <v>-1.4521609586762518E-2</v>
      </c>
      <c r="L7" s="3">
        <f t="shared" si="1"/>
        <v>-1.5879614421541621E-2</v>
      </c>
      <c r="M7" s="3">
        <f t="shared" si="1"/>
        <v>-1.7246794912863739E-2</v>
      </c>
      <c r="N7" s="3">
        <f t="shared" si="1"/>
        <v>-1.856728984472833E-2</v>
      </c>
      <c r="O7" s="3">
        <f t="shared" si="1"/>
        <v>-1.9840005510711523E-2</v>
      </c>
      <c r="P7" s="3">
        <f t="shared" si="1"/>
        <v>-2.1064153683655107E-2</v>
      </c>
      <c r="Q7" s="3">
        <f t="shared" si="1"/>
        <v>-2.2240101557918446E-2</v>
      </c>
      <c r="R7" s="3">
        <f t="shared" si="1"/>
        <v>-2.3427369804605025E-2</v>
      </c>
      <c r="S7" s="3">
        <f t="shared" si="1"/>
        <v>-2.4576642800835713E-2</v>
      </c>
      <c r="T7" s="3">
        <f t="shared" si="1"/>
        <v>-2.5689675345346386E-2</v>
      </c>
      <c r="U7" s="3">
        <f t="shared" si="1"/>
        <v>-2.6767820412278209E-2</v>
      </c>
      <c r="V7" s="3">
        <f t="shared" si="1"/>
        <v>-2.7815086689841229E-2</v>
      </c>
      <c r="W7" s="3">
        <f t="shared" si="1"/>
        <v>-2.8827773151122837E-2</v>
      </c>
      <c r="X7" s="3">
        <f t="shared" si="1"/>
        <v>-2.9810370857266899E-2</v>
      </c>
      <c r="Y7" s="3">
        <f t="shared" si="1"/>
        <v>-3.0765609291796503E-2</v>
      </c>
      <c r="Z7" s="3">
        <f t="shared" si="1"/>
        <v>-3.1696101481516137E-2</v>
      </c>
      <c r="AA7" s="3">
        <f t="shared" si="1"/>
        <v>-3.261048090505636E-2</v>
      </c>
      <c r="AB7" s="3">
        <f t="shared" si="1"/>
        <v>-3.3479270837039277E-2</v>
      </c>
      <c r="AC7" s="3">
        <f t="shared" si="1"/>
        <v>-3.43266459642948E-2</v>
      </c>
      <c r="AD7" s="3">
        <f t="shared" si="1"/>
        <v>-3.5156542306031047E-2</v>
      </c>
      <c r="AE7" s="3">
        <f t="shared" si="1"/>
        <v>-3.5972365891299485E-2</v>
      </c>
      <c r="AF7" s="3">
        <f t="shared" si="1"/>
        <v>-3.677661276628974E-2</v>
      </c>
      <c r="AG7" s="3">
        <f t="shared" si="1"/>
        <v>-3.7560475373298097E-2</v>
      </c>
      <c r="AH7" s="3">
        <f t="shared" si="1"/>
        <v>-3.8333996431981987E-2</v>
      </c>
      <c r="AI7" s="3">
        <f t="shared" si="1"/>
        <v>-3.9097743338236013E-2</v>
      </c>
      <c r="AJ7" s="3">
        <f t="shared" si="1"/>
        <v>-3.9852007191780725E-2</v>
      </c>
      <c r="AK7" s="3">
        <f t="shared" si="1"/>
        <v>-4.0596735508986799E-2</v>
      </c>
      <c r="AL7" s="3">
        <f t="shared" si="1"/>
        <v>-4.1246932839789426E-2</v>
      </c>
      <c r="AM7" s="3">
        <f t="shared" si="1"/>
        <v>-4.1875993547512709E-2</v>
      </c>
      <c r="AN7" s="3">
        <f t="shared" si="1"/>
        <v>-4.2484618386982136E-2</v>
      </c>
      <c r="AO7" s="3">
        <f t="shared" si="1"/>
        <v>-4.3075432912364493E-2</v>
      </c>
      <c r="AP7" s="3">
        <f t="shared" si="1"/>
        <v>-4.3651236796108946E-2</v>
      </c>
      <c r="AQ7" s="3">
        <f t="shared" si="1"/>
        <v>-4.42014486513208E-2</v>
      </c>
      <c r="AR7" s="3">
        <f t="shared" si="1"/>
        <v>-4.4738996919088558E-2</v>
      </c>
      <c r="AS7" s="3">
        <f t="shared" si="1"/>
        <v>-4.5265541607199984E-2</v>
      </c>
      <c r="AT7" s="3">
        <f t="shared" si="1"/>
        <v>-4.5781799152661673E-2</v>
      </c>
      <c r="AU7" s="3">
        <f t="shared" si="1"/>
        <v>-4.6288400899773825E-2</v>
      </c>
      <c r="AV7" s="3">
        <f t="shared" si="1"/>
        <v>-4.6744839222177322E-2</v>
      </c>
      <c r="AW7" s="3">
        <f t="shared" si="1"/>
        <v>-4.7186985694255945E-2</v>
      </c>
      <c r="AX7" s="3">
        <f t="shared" si="1"/>
        <v>-4.7616235314381417E-2</v>
      </c>
      <c r="AY7" s="3">
        <f t="shared" si="1"/>
        <v>-4.8034529350900357E-2</v>
      </c>
      <c r="AZ7" s="3">
        <f t="shared" si="1"/>
        <v>-4.8443625976066669E-2</v>
      </c>
      <c r="BA7" s="3">
        <f t="shared" si="1"/>
        <v>-4.8820978767775906E-2</v>
      </c>
      <c r="BB7" s="3">
        <f t="shared" si="1"/>
        <v>-4.9188573097843073E-2</v>
      </c>
      <c r="BC7" s="3">
        <f t="shared" si="1"/>
        <v>-4.9548004893138382E-2</v>
      </c>
      <c r="BD7" s="3">
        <f t="shared" si="1"/>
        <v>-4.9901043179792381E-2</v>
      </c>
      <c r="BE7" s="3">
        <f t="shared" si="1"/>
        <v>-5.0249201356903479E-2</v>
      </c>
    </row>
    <row r="8" spans="1:57" x14ac:dyDescent="0.35">
      <c r="A8" t="s">
        <v>1</v>
      </c>
      <c r="B8" s="3">
        <f>B3-B2</f>
        <v>-9.7918243057160126E-6</v>
      </c>
      <c r="C8" s="3">
        <f t="shared" ref="C8:BE8" si="2">C3-C2</f>
        <v>-2.808163346990078E-5</v>
      </c>
      <c r="D8" s="3">
        <f t="shared" si="2"/>
        <v>-5.1425394389958967E-5</v>
      </c>
      <c r="E8" s="3">
        <f t="shared" si="2"/>
        <v>-7.6835517343942783E-5</v>
      </c>
      <c r="F8" s="3">
        <f t="shared" si="2"/>
        <v>-1.0307311318846768E-4</v>
      </c>
      <c r="G8" s="3">
        <f t="shared" si="2"/>
        <v>-1.3017207009036191E-4</v>
      </c>
      <c r="H8" s="3">
        <f t="shared" si="2"/>
        <v>-1.5893840397063208E-4</v>
      </c>
      <c r="I8" s="3">
        <f t="shared" si="2"/>
        <v>-1.900957509812784E-4</v>
      </c>
      <c r="J8" s="3">
        <f t="shared" si="2"/>
        <v>-2.2405515147039257E-4</v>
      </c>
      <c r="K8" s="3">
        <f t="shared" si="2"/>
        <v>-2.6120984226385424E-4</v>
      </c>
      <c r="L8" s="3">
        <f t="shared" si="2"/>
        <v>-3.0136230370669814E-4</v>
      </c>
      <c r="M8" s="3">
        <f t="shared" si="2"/>
        <v>-3.4507215634838051E-4</v>
      </c>
      <c r="N8" s="3">
        <f t="shared" si="2"/>
        <v>-3.9191995531873136E-4</v>
      </c>
      <c r="O8" s="3">
        <f t="shared" si="2"/>
        <v>-4.4114990896770845E-4</v>
      </c>
      <c r="P8" s="3">
        <f t="shared" si="2"/>
        <v>-4.9215842053884629E-4</v>
      </c>
      <c r="Q8" s="3">
        <f t="shared" si="2"/>
        <v>-5.4467441744643352E-4</v>
      </c>
      <c r="R8" s="3">
        <f t="shared" si="2"/>
        <v>-5.9988147260625624E-4</v>
      </c>
      <c r="S8" s="3">
        <f t="shared" si="2"/>
        <v>-6.5783344658254528E-4</v>
      </c>
      <c r="T8" s="3">
        <f t="shared" si="2"/>
        <v>-7.1810884898160232E-4</v>
      </c>
      <c r="U8" s="3">
        <f t="shared" si="2"/>
        <v>-7.8037089716820329E-4</v>
      </c>
      <c r="V8" s="3">
        <f t="shared" si="2"/>
        <v>-8.444333458824671E-4</v>
      </c>
      <c r="W8" s="3">
        <f t="shared" si="2"/>
        <v>-9.1049501542794786E-4</v>
      </c>
      <c r="X8" s="3">
        <f t="shared" si="2"/>
        <v>-9.7870515529852042E-4</v>
      </c>
      <c r="Y8" s="3">
        <f t="shared" si="2"/>
        <v>-1.049388186096234E-3</v>
      </c>
      <c r="Z8" s="3">
        <f t="shared" si="2"/>
        <v>-1.1227904989230542E-3</v>
      </c>
      <c r="AA8" s="3">
        <f t="shared" si="2"/>
        <v>-1.1986558011504167E-3</v>
      </c>
      <c r="AB8" s="3">
        <f t="shared" si="2"/>
        <v>-1.2764895022373546E-3</v>
      </c>
      <c r="AC8" s="3">
        <f t="shared" si="2"/>
        <v>-1.3560705527247974E-3</v>
      </c>
      <c r="AD8" s="3">
        <f t="shared" si="2"/>
        <v>-1.437541955118915E-3</v>
      </c>
      <c r="AE8" s="3">
        <f t="shared" si="2"/>
        <v>-1.5210217514883828E-3</v>
      </c>
      <c r="AF8" s="3">
        <f t="shared" si="2"/>
        <v>-1.6064580242231008E-3</v>
      </c>
      <c r="AG8" s="3">
        <f t="shared" si="2"/>
        <v>-1.6932692563298435E-3</v>
      </c>
      <c r="AH8" s="3">
        <f t="shared" si="2"/>
        <v>-1.7812715975512664E-3</v>
      </c>
      <c r="AI8" s="3">
        <f t="shared" si="2"/>
        <v>-1.8704921625820603E-3</v>
      </c>
      <c r="AJ8" s="3">
        <f t="shared" si="2"/>
        <v>-1.9609740786158472E-3</v>
      </c>
      <c r="AK8" s="3">
        <f t="shared" si="2"/>
        <v>-2.052726693418272E-3</v>
      </c>
      <c r="AL8" s="3">
        <f t="shared" si="2"/>
        <v>-2.1415867908399708E-3</v>
      </c>
      <c r="AM8" s="3">
        <f t="shared" si="2"/>
        <v>-2.2277185472585614E-3</v>
      </c>
      <c r="AN8" s="3">
        <f t="shared" si="2"/>
        <v>-2.3130713765548983E-3</v>
      </c>
      <c r="AO8" s="3">
        <f t="shared" si="2"/>
        <v>-2.399165040325002E-3</v>
      </c>
      <c r="AP8" s="3">
        <f t="shared" si="2"/>
        <v>-2.4865986947451013E-3</v>
      </c>
      <c r="AQ8" s="3">
        <f t="shared" si="2"/>
        <v>-2.574581717191618E-3</v>
      </c>
      <c r="AR8" s="3">
        <f t="shared" si="2"/>
        <v>-2.6627405756573033E-3</v>
      </c>
      <c r="AS8" s="3">
        <f t="shared" si="2"/>
        <v>-2.751034449388623E-3</v>
      </c>
      <c r="AT8" s="3">
        <f t="shared" si="2"/>
        <v>-2.8395133235213851E-3</v>
      </c>
      <c r="AU8" s="3">
        <f t="shared" si="2"/>
        <v>-2.928251737951193E-3</v>
      </c>
      <c r="AV8" s="3">
        <f t="shared" si="2"/>
        <v>-3.0148603633889312E-3</v>
      </c>
      <c r="AW8" s="3">
        <f t="shared" si="2"/>
        <v>-3.0994813738940419E-3</v>
      </c>
      <c r="AX8" s="3">
        <f t="shared" si="2"/>
        <v>-3.1834509889060517E-3</v>
      </c>
      <c r="AY8" s="3">
        <f t="shared" si="2"/>
        <v>-3.2678653013855641E-3</v>
      </c>
      <c r="AZ8" s="3">
        <f t="shared" si="2"/>
        <v>-3.3532388624071124E-3</v>
      </c>
      <c r="BA8" s="3">
        <f t="shared" si="2"/>
        <v>-3.4380184925244528E-3</v>
      </c>
      <c r="BB8" s="3">
        <f t="shared" si="2"/>
        <v>-3.5220648948561945E-3</v>
      </c>
      <c r="BC8" s="3">
        <f t="shared" si="2"/>
        <v>-3.6059800267032038E-3</v>
      </c>
      <c r="BD8" s="3">
        <f t="shared" si="2"/>
        <v>-3.6902752450919049E-3</v>
      </c>
      <c r="BE8" s="3">
        <f t="shared" si="2"/>
        <v>-3.775179817056544E-3</v>
      </c>
    </row>
    <row r="9" spans="1:57" x14ac:dyDescent="0.35">
      <c r="A9" t="s">
        <v>3</v>
      </c>
      <c r="B9" s="3">
        <f>B4-B3</f>
        <v>-2.8767437052490408E-6</v>
      </c>
      <c r="C9" s="3">
        <f t="shared" ref="C9:BE9" si="3">C4-C3</f>
        <v>-7.6996036485477148E-6</v>
      </c>
      <c r="D9" s="3">
        <f t="shared" si="3"/>
        <v>-1.3528907525373057E-5</v>
      </c>
      <c r="E9" s="3">
        <f t="shared" si="3"/>
        <v>-1.9801261958773964E-5</v>
      </c>
      <c r="F9" s="3">
        <f t="shared" si="3"/>
        <v>-2.6119598913743047E-5</v>
      </c>
      <c r="G9" s="3">
        <f t="shared" si="3"/>
        <v>-3.2083843975572179E-5</v>
      </c>
      <c r="H9" s="3">
        <f t="shared" si="3"/>
        <v>-3.6954970511149376E-5</v>
      </c>
      <c r="I9" s="3">
        <f t="shared" si="3"/>
        <v>-4.0289119702885401E-5</v>
      </c>
      <c r="J9" s="3">
        <f t="shared" si="3"/>
        <v>-4.223457660024188E-5</v>
      </c>
      <c r="K9" s="3">
        <f t="shared" si="3"/>
        <v>-4.2707972871203204E-5</v>
      </c>
      <c r="L9" s="3">
        <f t="shared" si="3"/>
        <v>-4.3030631782681183E-5</v>
      </c>
      <c r="M9" s="3">
        <f t="shared" si="3"/>
        <v>-4.3118690705390428E-5</v>
      </c>
      <c r="N9" s="3">
        <f t="shared" si="3"/>
        <v>-4.3503423099222616E-5</v>
      </c>
      <c r="O9" s="3">
        <f t="shared" si="3"/>
        <v>-4.438984078114494E-5</v>
      </c>
      <c r="P9" s="3">
        <f t="shared" si="3"/>
        <v>-4.593109875450363E-5</v>
      </c>
      <c r="Q9" s="3">
        <f t="shared" si="3"/>
        <v>-4.8243963762795161E-5</v>
      </c>
      <c r="R9" s="3">
        <f t="shared" si="3"/>
        <v>-5.1435177144898425E-5</v>
      </c>
      <c r="S9" s="3">
        <f t="shared" si="3"/>
        <v>-5.5684867826810702E-5</v>
      </c>
      <c r="T9" s="3">
        <f t="shared" si="3"/>
        <v>-6.0834283375221787E-5</v>
      </c>
      <c r="U9" s="3">
        <f t="shared" si="3"/>
        <v>-6.6685293010126934E-5</v>
      </c>
      <c r="V9" s="3">
        <f t="shared" si="3"/>
        <v>-7.2785899666971687E-5</v>
      </c>
      <c r="W9" s="3">
        <f t="shared" si="3"/>
        <v>-7.9434000149869455E-5</v>
      </c>
      <c r="X9" s="3">
        <f t="shared" si="3"/>
        <v>-8.6276343460700566E-5</v>
      </c>
      <c r="Y9" s="3">
        <f t="shared" si="3"/>
        <v>-9.3321111052757644E-5</v>
      </c>
      <c r="Z9" s="3">
        <f t="shared" si="3"/>
        <v>-1.0078355224740765E-4</v>
      </c>
      <c r="AA9" s="3">
        <f t="shared" si="3"/>
        <v>-1.0811630780882542E-4</v>
      </c>
      <c r="AB9" s="3">
        <f t="shared" si="3"/>
        <v>-1.1657258102559798E-4</v>
      </c>
      <c r="AC9" s="3">
        <f t="shared" si="3"/>
        <v>-1.2548500949127739E-4</v>
      </c>
      <c r="AD9" s="3">
        <f t="shared" si="3"/>
        <v>-1.3453573633059879E-4</v>
      </c>
      <c r="AE9" s="3">
        <f t="shared" si="3"/>
        <v>-1.4339361988013888E-4</v>
      </c>
      <c r="AF9" s="3">
        <f t="shared" si="3"/>
        <v>-1.5180230519962201E-4</v>
      </c>
      <c r="AG9" s="3">
        <f t="shared" si="3"/>
        <v>-1.5958921700154338E-4</v>
      </c>
      <c r="AH9" s="3">
        <f t="shared" si="3"/>
        <v>-1.6663922126813197E-4</v>
      </c>
      <c r="AI9" s="3">
        <f t="shared" si="3"/>
        <v>-1.7299561583250522E-4</v>
      </c>
      <c r="AJ9" s="3">
        <f t="shared" si="3"/>
        <v>-1.7875910808606149E-4</v>
      </c>
      <c r="AK9" s="3">
        <f t="shared" si="3"/>
        <v>-1.8405739646330799E-4</v>
      </c>
      <c r="AL9" s="3">
        <f t="shared" si="3"/>
        <v>-1.8875378573913332E-4</v>
      </c>
      <c r="AM9" s="3">
        <f t="shared" si="3"/>
        <v>-1.9271771197747894E-4</v>
      </c>
      <c r="AN9" s="3">
        <f t="shared" si="3"/>
        <v>-1.9625133834611647E-4</v>
      </c>
      <c r="AO9" s="3">
        <f t="shared" si="3"/>
        <v>-1.9963216349482699E-4</v>
      </c>
      <c r="AP9" s="3">
        <f t="shared" si="3"/>
        <v>-2.0306784493927948E-4</v>
      </c>
      <c r="AQ9" s="3">
        <f t="shared" si="3"/>
        <v>-2.0667942651330512E-4</v>
      </c>
      <c r="AR9" s="3">
        <f t="shared" si="3"/>
        <v>-2.104643640076162E-4</v>
      </c>
      <c r="AS9" s="3">
        <f t="shared" si="3"/>
        <v>-2.144920037425585E-4</v>
      </c>
      <c r="AT9" s="3">
        <f t="shared" si="3"/>
        <v>-2.1882182280963391E-4</v>
      </c>
      <c r="AU9" s="3">
        <f t="shared" si="3"/>
        <v>-2.235034261962518E-4</v>
      </c>
      <c r="AV9" s="3">
        <f t="shared" si="3"/>
        <v>-2.2856850453423228E-4</v>
      </c>
      <c r="AW9" s="3">
        <f t="shared" si="3"/>
        <v>-2.337926166070467E-4</v>
      </c>
      <c r="AX9" s="3">
        <f t="shared" si="3"/>
        <v>-2.393172554430098E-4</v>
      </c>
      <c r="AY9" s="3">
        <f t="shared" si="3"/>
        <v>-2.4528627438380468E-4</v>
      </c>
      <c r="AZ9" s="3">
        <f t="shared" si="3"/>
        <v>-2.51812905748168E-4</v>
      </c>
      <c r="BA9" s="3">
        <f t="shared" si="3"/>
        <v>-2.589500631655639E-4</v>
      </c>
      <c r="BB9" s="3">
        <f t="shared" si="3"/>
        <v>-2.6658755750685187E-4</v>
      </c>
      <c r="BC9" s="3">
        <f t="shared" si="3"/>
        <v>-2.7481049540266367E-4</v>
      </c>
      <c r="BD9" s="3">
        <f t="shared" si="3"/>
        <v>-2.836954198700628E-4</v>
      </c>
      <c r="BE9" s="3">
        <f t="shared" si="3"/>
        <v>-2.9330113904658256E-4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Dommages</vt:lpstr>
      <vt:lpstr>Graphique1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2022-02-25T15:13:25Z</dcterms:created>
  <dcterms:modified xsi:type="dcterms:W3CDTF">2022-02-25T15:22:07Z</dcterms:modified>
</cp:coreProperties>
</file>