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heets/sheet1.xml" ContentType="application/vnd.openxmlformats-officedocument.spreadsheetml.chart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JACQUETINF\Documents\documents\ThreeME_V3-ADEME\results\"/>
    </mc:Choice>
  </mc:AlternateContent>
  <bookViews>
    <workbookView xWindow="0" yWindow="0" windowWidth="19200" windowHeight="5890" activeTab="1"/>
  </bookViews>
  <sheets>
    <sheet name="Décompo" sheetId="1" r:id="rId1"/>
    <sheet name="Gr Décompo" sheetId="2" r:id="rId2"/>
  </sheets>
  <externalReferences>
    <externalReference r:id="rId3"/>
    <externalReference r:id="rId4"/>
    <externalReference r:id="rId5"/>
    <externalReference r:id="rId6"/>
  </externalReferences>
  <calcPr calcId="162913" calcMode="manual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Z5" i="1" l="1"/>
  <c r="AY5" i="1"/>
  <c r="AX5" i="1"/>
  <c r="AW5" i="1"/>
  <c r="AV5" i="1"/>
  <c r="AU5" i="1"/>
  <c r="AT5" i="1"/>
  <c r="AT11" i="1" s="1"/>
  <c r="AS5" i="1"/>
  <c r="AR5" i="1"/>
  <c r="AQ5" i="1"/>
  <c r="AP5" i="1"/>
  <c r="AO5" i="1"/>
  <c r="AN5" i="1"/>
  <c r="AM5" i="1"/>
  <c r="AL5" i="1"/>
  <c r="AL11" i="1" s="1"/>
  <c r="AK5" i="1"/>
  <c r="AJ5" i="1"/>
  <c r="AI5" i="1"/>
  <c r="AH5" i="1"/>
  <c r="AG5" i="1"/>
  <c r="AF5" i="1"/>
  <c r="AE5" i="1"/>
  <c r="AD5" i="1"/>
  <c r="AD11" i="1" s="1"/>
  <c r="AC5" i="1"/>
  <c r="AB5" i="1"/>
  <c r="AA5" i="1"/>
  <c r="Z5" i="1"/>
  <c r="Y5" i="1"/>
  <c r="X5" i="1"/>
  <c r="W5" i="1"/>
  <c r="V5" i="1"/>
  <c r="V11" i="1" s="1"/>
  <c r="U5" i="1"/>
  <c r="T5" i="1"/>
  <c r="S5" i="1"/>
  <c r="R5" i="1"/>
  <c r="Q5" i="1"/>
  <c r="P5" i="1"/>
  <c r="O5" i="1"/>
  <c r="N5" i="1"/>
  <c r="N11" i="1" s="1"/>
  <c r="M5" i="1"/>
  <c r="L5" i="1"/>
  <c r="K5" i="1"/>
  <c r="J5" i="1"/>
  <c r="I5" i="1"/>
  <c r="H5" i="1"/>
  <c r="G5" i="1"/>
  <c r="F5" i="1"/>
  <c r="F11" i="1" s="1"/>
  <c r="E5" i="1"/>
  <c r="D5" i="1"/>
  <c r="C5" i="1"/>
  <c r="B5" i="1"/>
  <c r="AZ4" i="1"/>
  <c r="AY4" i="1"/>
  <c r="AX4" i="1"/>
  <c r="AW4" i="1"/>
  <c r="AW11" i="1" s="1"/>
  <c r="AV4" i="1"/>
  <c r="AU4" i="1"/>
  <c r="AT4" i="1"/>
  <c r="AS4" i="1"/>
  <c r="AR4" i="1"/>
  <c r="AQ4" i="1"/>
  <c r="AP4" i="1"/>
  <c r="AO4" i="1"/>
  <c r="AO11" i="1" s="1"/>
  <c r="AN4" i="1"/>
  <c r="AM4" i="1"/>
  <c r="AL4" i="1"/>
  <c r="AK4" i="1"/>
  <c r="AJ4" i="1"/>
  <c r="AI4" i="1"/>
  <c r="AH4" i="1"/>
  <c r="AG4" i="1"/>
  <c r="AG11" i="1" s="1"/>
  <c r="AF4" i="1"/>
  <c r="AE4" i="1"/>
  <c r="AD4" i="1"/>
  <c r="AC4" i="1"/>
  <c r="AB4" i="1"/>
  <c r="AA4" i="1"/>
  <c r="Z4" i="1"/>
  <c r="Y4" i="1"/>
  <c r="Y11" i="1" s="1"/>
  <c r="X4" i="1"/>
  <c r="W4" i="1"/>
  <c r="V4" i="1"/>
  <c r="U4" i="1"/>
  <c r="T4" i="1"/>
  <c r="S4" i="1"/>
  <c r="R4" i="1"/>
  <c r="Q4" i="1"/>
  <c r="Q11" i="1" s="1"/>
  <c r="P4" i="1"/>
  <c r="O4" i="1"/>
  <c r="N4" i="1"/>
  <c r="M4" i="1"/>
  <c r="L4" i="1"/>
  <c r="K4" i="1"/>
  <c r="J4" i="1"/>
  <c r="I4" i="1"/>
  <c r="I11" i="1" s="1"/>
  <c r="H4" i="1"/>
  <c r="G4" i="1"/>
  <c r="F4" i="1"/>
  <c r="E4" i="1"/>
  <c r="D4" i="1"/>
  <c r="C4" i="1"/>
  <c r="B4" i="1"/>
  <c r="AZ3" i="1"/>
  <c r="AZ9" i="1" s="1"/>
  <c r="AY3" i="1"/>
  <c r="AX3" i="1"/>
  <c r="AW3" i="1"/>
  <c r="AV3" i="1"/>
  <c r="AU3" i="1"/>
  <c r="AT3" i="1"/>
  <c r="AS3" i="1"/>
  <c r="AR3" i="1"/>
  <c r="AR9" i="1" s="1"/>
  <c r="AQ3" i="1"/>
  <c r="AP3" i="1"/>
  <c r="AO3" i="1"/>
  <c r="AN3" i="1"/>
  <c r="AM3" i="1"/>
  <c r="AL3" i="1"/>
  <c r="AK3" i="1"/>
  <c r="AJ3" i="1"/>
  <c r="AJ9" i="1" s="1"/>
  <c r="AI3" i="1"/>
  <c r="AH3" i="1"/>
  <c r="AG3" i="1"/>
  <c r="AF3" i="1"/>
  <c r="AE3" i="1"/>
  <c r="AD3" i="1"/>
  <c r="AC3" i="1"/>
  <c r="AB3" i="1"/>
  <c r="AB9" i="1" s="1"/>
  <c r="AA3" i="1"/>
  <c r="Z3" i="1"/>
  <c r="Y3" i="1"/>
  <c r="X3" i="1"/>
  <c r="W3" i="1"/>
  <c r="V3" i="1"/>
  <c r="U3" i="1"/>
  <c r="T3" i="1"/>
  <c r="T9" i="1" s="1"/>
  <c r="S3" i="1"/>
  <c r="R3" i="1"/>
  <c r="Q3" i="1"/>
  <c r="P3" i="1"/>
  <c r="O3" i="1"/>
  <c r="N3" i="1"/>
  <c r="M3" i="1"/>
  <c r="L3" i="1"/>
  <c r="L9" i="1" s="1"/>
  <c r="K3" i="1"/>
  <c r="J3" i="1"/>
  <c r="I3" i="1"/>
  <c r="H3" i="1"/>
  <c r="G3" i="1"/>
  <c r="F3" i="1"/>
  <c r="E3" i="1"/>
  <c r="D3" i="1"/>
  <c r="D9" i="1" s="1"/>
  <c r="C3" i="1"/>
  <c r="B3" i="1"/>
  <c r="AZ2" i="1"/>
  <c r="AY2" i="1"/>
  <c r="AX2" i="1"/>
  <c r="AW2" i="1"/>
  <c r="AV2" i="1"/>
  <c r="AU2" i="1"/>
  <c r="AU9" i="1" s="1"/>
  <c r="AT2" i="1"/>
  <c r="AS2" i="1"/>
  <c r="AR2" i="1"/>
  <c r="AQ2" i="1"/>
  <c r="AP2" i="1"/>
  <c r="AO2" i="1"/>
  <c r="AN2" i="1"/>
  <c r="AM2" i="1"/>
  <c r="AM9" i="1" s="1"/>
  <c r="AL2" i="1"/>
  <c r="AK2" i="1"/>
  <c r="AJ2" i="1"/>
  <c r="AI2" i="1"/>
  <c r="AH2" i="1"/>
  <c r="AG2" i="1"/>
  <c r="AF2" i="1"/>
  <c r="AE2" i="1"/>
  <c r="AE9" i="1" s="1"/>
  <c r="AD2" i="1"/>
  <c r="AC2" i="1"/>
  <c r="AB2" i="1"/>
  <c r="AA2" i="1"/>
  <c r="Z2" i="1"/>
  <c r="Y2" i="1"/>
  <c r="X2" i="1"/>
  <c r="W2" i="1"/>
  <c r="W9" i="1" s="1"/>
  <c r="V2" i="1"/>
  <c r="U2" i="1"/>
  <c r="T2" i="1"/>
  <c r="S2" i="1"/>
  <c r="R2" i="1"/>
  <c r="Q2" i="1"/>
  <c r="P2" i="1"/>
  <c r="O2" i="1"/>
  <c r="O9" i="1" s="1"/>
  <c r="N2" i="1"/>
  <c r="M2" i="1"/>
  <c r="L2" i="1"/>
  <c r="K2" i="1"/>
  <c r="J2" i="1"/>
  <c r="I2" i="1"/>
  <c r="H2" i="1"/>
  <c r="G2" i="1"/>
  <c r="G9" i="1" s="1"/>
  <c r="F2" i="1"/>
  <c r="E2" i="1"/>
  <c r="D2" i="1"/>
  <c r="C2" i="1"/>
  <c r="B2" i="1"/>
  <c r="AZ11" i="1"/>
  <c r="AY11" i="1"/>
  <c r="AX11" i="1"/>
  <c r="AV11" i="1"/>
  <c r="AU11" i="1"/>
  <c r="AS11" i="1"/>
  <c r="AR11" i="1"/>
  <c r="AQ11" i="1"/>
  <c r="AP11" i="1"/>
  <c r="AN11" i="1"/>
  <c r="AM11" i="1"/>
  <c r="AK11" i="1"/>
  <c r="AJ11" i="1"/>
  <c r="AI11" i="1"/>
  <c r="AH11" i="1"/>
  <c r="AF11" i="1"/>
  <c r="AE11" i="1"/>
  <c r="AC11" i="1"/>
  <c r="AB11" i="1"/>
  <c r="AA11" i="1"/>
  <c r="Z11" i="1"/>
  <c r="X11" i="1"/>
  <c r="W11" i="1"/>
  <c r="U11" i="1"/>
  <c r="T11" i="1"/>
  <c r="S11" i="1"/>
  <c r="R11" i="1"/>
  <c r="P11" i="1"/>
  <c r="O11" i="1"/>
  <c r="M11" i="1"/>
  <c r="L11" i="1"/>
  <c r="K11" i="1"/>
  <c r="J11" i="1"/>
  <c r="H11" i="1"/>
  <c r="G11" i="1"/>
  <c r="E11" i="1"/>
  <c r="D11" i="1"/>
  <c r="C11" i="1"/>
  <c r="B11" i="1"/>
  <c r="C9" i="1"/>
  <c r="E9" i="1"/>
  <c r="F9" i="1"/>
  <c r="H9" i="1"/>
  <c r="I9" i="1"/>
  <c r="J9" i="1"/>
  <c r="K9" i="1"/>
  <c r="M9" i="1"/>
  <c r="N9" i="1"/>
  <c r="P9" i="1"/>
  <c r="Q9" i="1"/>
  <c r="R9" i="1"/>
  <c r="S9" i="1"/>
  <c r="U9" i="1"/>
  <c r="V9" i="1"/>
  <c r="X9" i="1"/>
  <c r="Y9" i="1"/>
  <c r="Z9" i="1"/>
  <c r="AA9" i="1"/>
  <c r="AC9" i="1"/>
  <c r="AD9" i="1"/>
  <c r="AF9" i="1"/>
  <c r="AG9" i="1"/>
  <c r="AH9" i="1"/>
  <c r="AI9" i="1"/>
  <c r="AK9" i="1"/>
  <c r="AL9" i="1"/>
  <c r="AN9" i="1"/>
  <c r="AO9" i="1"/>
  <c r="AP9" i="1"/>
  <c r="AQ9" i="1"/>
  <c r="AS9" i="1"/>
  <c r="AT9" i="1"/>
  <c r="AV9" i="1"/>
  <c r="AW9" i="1"/>
  <c r="AX9" i="1"/>
  <c r="AY9" i="1"/>
  <c r="C10" i="1"/>
  <c r="E10" i="1"/>
  <c r="F10" i="1"/>
  <c r="G10" i="1"/>
  <c r="H10" i="1"/>
  <c r="J10" i="1"/>
  <c r="K10" i="1"/>
  <c r="M10" i="1"/>
  <c r="N10" i="1"/>
  <c r="O10" i="1"/>
  <c r="P10" i="1"/>
  <c r="R10" i="1"/>
  <c r="S10" i="1"/>
  <c r="U10" i="1"/>
  <c r="V10" i="1"/>
  <c r="W10" i="1"/>
  <c r="X10" i="1"/>
  <c r="Z10" i="1"/>
  <c r="AA10" i="1"/>
  <c r="AC10" i="1"/>
  <c r="AD10" i="1"/>
  <c r="AE10" i="1"/>
  <c r="AF10" i="1"/>
  <c r="AH10" i="1"/>
  <c r="AI10" i="1"/>
  <c r="AK10" i="1"/>
  <c r="AL10" i="1"/>
  <c r="AM10" i="1"/>
  <c r="AN10" i="1"/>
  <c r="AP10" i="1"/>
  <c r="AQ10" i="1"/>
  <c r="AS10" i="1"/>
  <c r="AT10" i="1"/>
  <c r="AU10" i="1"/>
  <c r="AV10" i="1"/>
  <c r="AX10" i="1"/>
  <c r="AY10" i="1"/>
  <c r="B10" i="1"/>
  <c r="AZ1" i="1"/>
  <c r="AY1" i="1"/>
  <c r="AX1" i="1"/>
  <c r="AW1" i="1"/>
  <c r="AV1" i="1"/>
  <c r="AU1" i="1"/>
  <c r="AT1" i="1"/>
  <c r="AS1" i="1"/>
  <c r="AR1" i="1"/>
  <c r="AQ1" i="1"/>
  <c r="AP1" i="1"/>
  <c r="AO1" i="1"/>
  <c r="AN1" i="1"/>
  <c r="AM1" i="1"/>
  <c r="AL1" i="1"/>
  <c r="AK1" i="1"/>
  <c r="AJ1" i="1"/>
  <c r="AI1" i="1"/>
  <c r="AH1" i="1"/>
  <c r="AG1" i="1"/>
  <c r="AF1" i="1"/>
  <c r="AE1" i="1"/>
  <c r="AD1" i="1"/>
  <c r="AC1" i="1"/>
  <c r="AB1" i="1"/>
  <c r="AA1" i="1"/>
  <c r="Z1" i="1"/>
  <c r="Y1" i="1"/>
  <c r="X1" i="1"/>
  <c r="W1" i="1"/>
  <c r="V1" i="1"/>
  <c r="U1" i="1"/>
  <c r="T1" i="1"/>
  <c r="S1" i="1"/>
  <c r="R1" i="1"/>
  <c r="Q1" i="1"/>
  <c r="P1" i="1"/>
  <c r="O1" i="1"/>
  <c r="N1" i="1"/>
  <c r="M1" i="1"/>
  <c r="L1" i="1"/>
  <c r="K1" i="1"/>
  <c r="J1" i="1"/>
  <c r="I1" i="1"/>
  <c r="H1" i="1"/>
  <c r="G1" i="1"/>
  <c r="F1" i="1"/>
  <c r="E1" i="1"/>
  <c r="D1" i="1"/>
  <c r="C1" i="1"/>
  <c r="B1" i="1"/>
  <c r="AW10" i="1" l="1"/>
  <c r="AO10" i="1"/>
  <c r="AG10" i="1"/>
  <c r="Y10" i="1"/>
  <c r="Q10" i="1"/>
  <c r="I10" i="1"/>
  <c r="AZ10" i="1"/>
  <c r="AR10" i="1"/>
  <c r="AJ10" i="1"/>
  <c r="AB10" i="1"/>
  <c r="T10" i="1"/>
  <c r="L10" i="1"/>
  <c r="D10" i="1"/>
  <c r="H8" i="1" l="1"/>
  <c r="I8" i="1"/>
  <c r="P8" i="1"/>
  <c r="Q8" i="1"/>
  <c r="V8" i="1"/>
  <c r="X8" i="1"/>
  <c r="Y8" i="1"/>
  <c r="AD8" i="1"/>
  <c r="AF8" i="1"/>
  <c r="AL8" i="1"/>
  <c r="AO8" i="1"/>
  <c r="AT8" i="1"/>
  <c r="AV8" i="1"/>
  <c r="AW8" i="1"/>
  <c r="B9" i="1"/>
  <c r="AX8" i="1"/>
  <c r="AS8" i="1"/>
  <c r="AP8" i="1"/>
  <c r="AK8" i="1"/>
  <c r="AH8" i="1"/>
  <c r="AG8" i="1"/>
  <c r="AC8" i="1"/>
  <c r="Z8" i="1"/>
  <c r="U8" i="1"/>
  <c r="R8" i="1"/>
  <c r="M8" i="1"/>
  <c r="J8" i="1"/>
  <c r="E8" i="1"/>
  <c r="AZ7" i="1"/>
  <c r="AY7" i="1"/>
  <c r="AX7" i="1"/>
  <c r="AW7" i="1"/>
  <c r="AV7" i="1"/>
  <c r="AU7" i="1"/>
  <c r="AT7" i="1"/>
  <c r="AS7" i="1"/>
  <c r="AR7" i="1"/>
  <c r="AQ7" i="1"/>
  <c r="AP7" i="1"/>
  <c r="AO7" i="1"/>
  <c r="AN7" i="1"/>
  <c r="AM7" i="1"/>
  <c r="AL7" i="1"/>
  <c r="AK7" i="1"/>
  <c r="AJ7" i="1"/>
  <c r="AI7" i="1"/>
  <c r="AH7" i="1"/>
  <c r="AG7" i="1"/>
  <c r="AF7" i="1"/>
  <c r="AE7" i="1"/>
  <c r="AD7" i="1"/>
  <c r="AC7" i="1"/>
  <c r="AB7" i="1"/>
  <c r="AA7" i="1"/>
  <c r="Z7" i="1"/>
  <c r="Y7" i="1"/>
  <c r="X7" i="1"/>
  <c r="W7" i="1"/>
  <c r="V7" i="1"/>
  <c r="U7" i="1"/>
  <c r="T7" i="1"/>
  <c r="S7" i="1"/>
  <c r="R7" i="1"/>
  <c r="Q7" i="1"/>
  <c r="P7" i="1"/>
  <c r="O7" i="1"/>
  <c r="N7" i="1"/>
  <c r="M7" i="1"/>
  <c r="L7" i="1"/>
  <c r="K7" i="1"/>
  <c r="J7" i="1"/>
  <c r="I7" i="1"/>
  <c r="H7" i="1"/>
  <c r="G7" i="1"/>
  <c r="F7" i="1"/>
  <c r="E7" i="1"/>
  <c r="D7" i="1"/>
  <c r="C7" i="1"/>
  <c r="B7" i="1"/>
  <c r="AZ8" i="1"/>
  <c r="AY8" i="1"/>
  <c r="AU8" i="1"/>
  <c r="AR8" i="1"/>
  <c r="AQ8" i="1"/>
  <c r="AN8" i="1"/>
  <c r="AM8" i="1"/>
  <c r="AJ8" i="1"/>
  <c r="AI8" i="1"/>
  <c r="AE8" i="1"/>
  <c r="AB8" i="1"/>
  <c r="AA8" i="1"/>
  <c r="W8" i="1"/>
  <c r="T8" i="1"/>
  <c r="S8" i="1"/>
  <c r="O8" i="1"/>
  <c r="N8" i="1"/>
  <c r="L8" i="1"/>
  <c r="K8" i="1"/>
  <c r="G8" i="1"/>
  <c r="F8" i="1"/>
  <c r="D8" i="1"/>
  <c r="C8" i="1"/>
  <c r="B8" i="1"/>
</calcChain>
</file>

<file path=xl/sharedStrings.xml><?xml version="1.0" encoding="utf-8"?>
<sst xmlns="http://schemas.openxmlformats.org/spreadsheetml/2006/main" count="8" uniqueCount="5">
  <si>
    <t>Dommages</t>
  </si>
  <si>
    <t>Chaîne logistique</t>
  </si>
  <si>
    <t>Autres risques</t>
  </si>
  <si>
    <t>Rendements agricoles</t>
  </si>
  <si>
    <t>Température de l'air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</si>
</sst>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.0%"/>
    <numFmt numFmtId="168" formatCode="#,##0.00000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4" fontId="0" fillId="0" borderId="0" xfId="0" applyNumberFormat="1"/>
    <xf numFmtId="164" fontId="0" fillId="0" borderId="0" xfId="0" applyNumberFormat="1"/>
    <xf numFmtId="168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externalLink" Target="externalLinks/externalLink1.xml"/><Relationship Id="rId7" Type="http://schemas.openxmlformats.org/officeDocument/2006/relationships/theme" Target="theme/theme1.xml"/><Relationship Id="rId2" Type="http://schemas.openxmlformats.org/officeDocument/2006/relationships/chartsheet" Target="chartsheets/sheet1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5" Type="http://schemas.openxmlformats.org/officeDocument/2006/relationships/externalLink" Target="externalLinks/externalLink3.xml"/><Relationship Id="rId10" Type="http://schemas.openxmlformats.org/officeDocument/2006/relationships/calcChain" Target="calcChain.xml"/><Relationship Id="rId4" Type="http://schemas.openxmlformats.org/officeDocument/2006/relationships/externalLink" Target="externalLinks/externalLink2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fr-F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2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r>
              <a:rPr lang="fr-FR" sz="2400"/>
              <a:t>Coût</a:t>
            </a:r>
            <a:r>
              <a:rPr lang="fr-FR" sz="2400" baseline="0"/>
              <a:t> des dommages (en % du PIB)</a:t>
            </a:r>
            <a:endParaRPr lang="fr-FR" sz="2400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2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title>
    <c:autoTitleDeleted val="0"/>
    <c:plotArea>
      <c:layout/>
      <c:areaChart>
        <c:grouping val="stacked"/>
        <c:varyColors val="0"/>
        <c:ser>
          <c:idx val="0"/>
          <c:order val="0"/>
          <c:tx>
            <c:strRef>
              <c:f>Décompo!$A$8</c:f>
              <c:strCache>
                <c:ptCount val="1"/>
                <c:pt idx="0">
                  <c:v>Chaîne logistique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numRef>
              <c:f>Décompo!$B$7:$AZ$7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Décompo!$B$8:$AZ$8</c:f>
              <c:numCache>
                <c:formatCode>0.0%</c:formatCode>
                <c:ptCount val="51"/>
                <c:pt idx="0">
                  <c:v>1.3538601712600906E-2</c:v>
                </c:pt>
                <c:pt idx="1">
                  <c:v>1.6912679139984843E-2</c:v>
                </c:pt>
                <c:pt idx="2">
                  <c:v>2.0115560050032899E-2</c:v>
                </c:pt>
                <c:pt idx="3">
                  <c:v>2.2943774039713705E-2</c:v>
                </c:pt>
                <c:pt idx="4">
                  <c:v>2.5425308096377663E-2</c:v>
                </c:pt>
                <c:pt idx="5">
                  <c:v>2.7611418605846372E-2</c:v>
                </c:pt>
                <c:pt idx="6">
                  <c:v>2.9576927112697438E-2</c:v>
                </c:pt>
                <c:pt idx="7">
                  <c:v>3.1353239073615535E-2</c:v>
                </c:pt>
                <c:pt idx="8">
                  <c:v>3.2985843392642766E-2</c:v>
                </c:pt>
                <c:pt idx="9">
                  <c:v>3.4516237501799885E-2</c:v>
                </c:pt>
                <c:pt idx="10">
                  <c:v>3.6927247035058564E-2</c:v>
                </c:pt>
                <c:pt idx="11">
                  <c:v>3.7901004681047845E-2</c:v>
                </c:pt>
                <c:pt idx="12">
                  <c:v>3.8748605891280929E-2</c:v>
                </c:pt>
                <c:pt idx="13">
                  <c:v>3.9477051314678935E-2</c:v>
                </c:pt>
                <c:pt idx="14">
                  <c:v>4.0116488877360634E-2</c:v>
                </c:pt>
                <c:pt idx="15">
                  <c:v>4.0694640941231978E-2</c:v>
                </c:pt>
                <c:pt idx="16">
                  <c:v>4.1277964002331198E-2</c:v>
                </c:pt>
                <c:pt idx="17">
                  <c:v>4.1849741026071745E-2</c:v>
                </c:pt>
                <c:pt idx="18">
                  <c:v>4.2425458296820991E-2</c:v>
                </c:pt>
                <c:pt idx="19">
                  <c:v>4.3016340742832782E-2</c:v>
                </c:pt>
                <c:pt idx="20">
                  <c:v>4.3633104309372284E-2</c:v>
                </c:pt>
                <c:pt idx="21">
                  <c:v>4.427314031618601E-2</c:v>
                </c:pt>
                <c:pt idx="22">
                  <c:v>4.4941592404026176E-2</c:v>
                </c:pt>
                <c:pt idx="23">
                  <c:v>4.563947337910957E-2</c:v>
                </c:pt>
                <c:pt idx="24">
                  <c:v>4.6365522950460585E-2</c:v>
                </c:pt>
                <c:pt idx="25">
                  <c:v>4.7123697653551948E-2</c:v>
                </c:pt>
                <c:pt idx="26">
                  <c:v>4.788032119780028E-2</c:v>
                </c:pt>
                <c:pt idx="27">
                  <c:v>4.8649621572917197E-2</c:v>
                </c:pt>
                <c:pt idx="28">
                  <c:v>4.9429610515789646E-2</c:v>
                </c:pt>
                <c:pt idx="29">
                  <c:v>5.0218084317584018E-2</c:v>
                </c:pt>
                <c:pt idx="30">
                  <c:v>5.1012621214923663E-2</c:v>
                </c:pt>
                <c:pt idx="31">
                  <c:v>5.1800471640880197E-2</c:v>
                </c:pt>
                <c:pt idx="32">
                  <c:v>5.2587995224248063E-2</c:v>
                </c:pt>
                <c:pt idx="33">
                  <c:v>5.337331162577863E-2</c:v>
                </c:pt>
                <c:pt idx="34">
                  <c:v>5.4154996240649018E-2</c:v>
                </c:pt>
                <c:pt idx="35">
                  <c:v>5.4931913241978665E-2</c:v>
                </c:pt>
                <c:pt idx="36">
                  <c:v>5.5612806592488247E-2</c:v>
                </c:pt>
                <c:pt idx="37">
                  <c:v>5.6273572035804416E-2</c:v>
                </c:pt>
                <c:pt idx="38">
                  <c:v>5.6914643529708646E-2</c:v>
                </c:pt>
                <c:pt idx="39">
                  <c:v>5.753897634474104E-2</c:v>
                </c:pt>
                <c:pt idx="40">
                  <c:v>5.8149801082812758E-2</c:v>
                </c:pt>
                <c:pt idx="41">
                  <c:v>5.8735596987392939E-2</c:v>
                </c:pt>
                <c:pt idx="42">
                  <c:v>5.9311343796265348E-2</c:v>
                </c:pt>
                <c:pt idx="43">
                  <c:v>5.9879563848025723E-2</c:v>
                </c:pt>
                <c:pt idx="44">
                  <c:v>6.0442828733665251E-2</c:v>
                </c:pt>
                <c:pt idx="45">
                  <c:v>6.1003296850866917E-2</c:v>
                </c:pt>
                <c:pt idx="46">
                  <c:v>6.1513652453118454E-2</c:v>
                </c:pt>
                <c:pt idx="47">
                  <c:v>6.2016559531788203E-2</c:v>
                </c:pt>
                <c:pt idx="48">
                  <c:v>6.251429610217496E-2</c:v>
                </c:pt>
                <c:pt idx="49">
                  <c:v>6.3009329761051225E-2</c:v>
                </c:pt>
                <c:pt idx="50">
                  <c:v>6.3503741189399388E-2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97-4EC8-8433-CD6511F1540E}"/>
            </c:ext>
          </c:extLst>
        </c:ser>
        <c:ser>
          <c:idx val="1"/>
          <c:order val="1"/>
          <c:tx>
            <c:strRef>
              <c:f>Décompo!$A$9</c:f>
              <c:strCache>
                <c:ptCount val="1"/>
                <c:pt idx="0">
                  <c:v>Rendements agricoles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cat>
            <c:numRef>
              <c:f>Décompo!$B$7:$AZ$7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Décompo!$B$9:$AZ$9</c:f>
              <c:numCache>
                <c:formatCode>0.0%</c:formatCode>
                <c:ptCount val="51"/>
                <c:pt idx="0">
                  <c:v>2.7840212279017784E-4</c:v>
                </c:pt>
                <c:pt idx="1">
                  <c:v>5.224525962783666E-4</c:v>
                </c:pt>
                <c:pt idx="2">
                  <c:v>6.9534022194739364E-4</c:v>
                </c:pt>
                <c:pt idx="3">
                  <c:v>8.0445679314089524E-4</c:v>
                </c:pt>
                <c:pt idx="4">
                  <c:v>8.7831374153535258E-4</c:v>
                </c:pt>
                <c:pt idx="5">
                  <c:v>9.4332704387400934E-4</c:v>
                </c:pt>
                <c:pt idx="6">
                  <c:v>1.0147871066616965E-3</c:v>
                </c:pt>
                <c:pt idx="7">
                  <c:v>1.0972397702284642E-3</c:v>
                </c:pt>
                <c:pt idx="8">
                  <c:v>1.189922651713915E-3</c:v>
                </c:pt>
                <c:pt idx="9">
                  <c:v>1.289820743303971E-3</c:v>
                </c:pt>
                <c:pt idx="10">
                  <c:v>1.3906185439738206E-3</c:v>
                </c:pt>
                <c:pt idx="11">
                  <c:v>1.5004994437428643E-3</c:v>
                </c:pt>
                <c:pt idx="12">
                  <c:v>1.6132898073157875E-3</c:v>
                </c:pt>
                <c:pt idx="13">
                  <c:v>1.7274126835205017E-3</c:v>
                </c:pt>
                <c:pt idx="14">
                  <c:v>1.8416524130396919E-3</c:v>
                </c:pt>
                <c:pt idx="15">
                  <c:v>1.9553201850748408E-3</c:v>
                </c:pt>
                <c:pt idx="16">
                  <c:v>2.0706062263154898E-3</c:v>
                </c:pt>
                <c:pt idx="17">
                  <c:v>2.1869310298537961E-3</c:v>
                </c:pt>
                <c:pt idx="18">
                  <c:v>2.303463453985799E-3</c:v>
                </c:pt>
                <c:pt idx="19">
                  <c:v>2.4194115546302061E-3</c:v>
                </c:pt>
                <c:pt idx="20">
                  <c:v>2.5337376518913615E-3</c:v>
                </c:pt>
                <c:pt idx="21">
                  <c:v>2.647006054314123E-3</c:v>
                </c:pt>
                <c:pt idx="22">
                  <c:v>2.7587936974806659E-3</c:v>
                </c:pt>
                <c:pt idx="23">
                  <c:v>2.8691627555110649E-3</c:v>
                </c:pt>
                <c:pt idx="24">
                  <c:v>2.9782513372484942E-3</c:v>
                </c:pt>
                <c:pt idx="25">
                  <c:v>3.0845426854701E-3</c:v>
                </c:pt>
                <c:pt idx="26">
                  <c:v>3.1893081092998557E-3</c:v>
                </c:pt>
                <c:pt idx="27">
                  <c:v>3.2922830336853323E-3</c:v>
                </c:pt>
                <c:pt idx="28">
                  <c:v>3.3939862645634492E-3</c:v>
                </c:pt>
                <c:pt idx="29">
                  <c:v>3.4949579534206826E-3</c:v>
                </c:pt>
                <c:pt idx="30">
                  <c:v>3.5956227016033029E-3</c:v>
                </c:pt>
                <c:pt idx="31">
                  <c:v>3.6957206085608263E-3</c:v>
                </c:pt>
                <c:pt idx="32">
                  <c:v>3.7954412599580031E-3</c:v>
                </c:pt>
                <c:pt idx="33">
                  <c:v>3.8950323936456296E-3</c:v>
                </c:pt>
                <c:pt idx="34">
                  <c:v>3.9947226290580826E-3</c:v>
                </c:pt>
                <c:pt idx="35">
                  <c:v>4.0946887554384886E-3</c:v>
                </c:pt>
                <c:pt idx="36">
                  <c:v>4.1900888256526311E-3</c:v>
                </c:pt>
                <c:pt idx="37">
                  <c:v>4.2817482682538863E-3</c:v>
                </c:pt>
                <c:pt idx="38">
                  <c:v>4.371267291225292E-3</c:v>
                </c:pt>
                <c:pt idx="39">
                  <c:v>4.4602334244469993E-3</c:v>
                </c:pt>
                <c:pt idx="40">
                  <c:v>4.5497829812162216E-3</c:v>
                </c:pt>
                <c:pt idx="41">
                  <c:v>4.6398338524992269E-3</c:v>
                </c:pt>
                <c:pt idx="42">
                  <c:v>4.7306407184012356E-3</c:v>
                </c:pt>
                <c:pt idx="43">
                  <c:v>4.822557023581038E-3</c:v>
                </c:pt>
                <c:pt idx="44">
                  <c:v>4.915672562974531E-3</c:v>
                </c:pt>
                <c:pt idx="45">
                  <c:v>5.0100464855701299E-3</c:v>
                </c:pt>
                <c:pt idx="46">
                  <c:v>5.1035559964569613E-3</c:v>
                </c:pt>
                <c:pt idx="47">
                  <c:v>5.1962276094394896E-3</c:v>
                </c:pt>
                <c:pt idx="48">
                  <c:v>5.2888830168641432E-3</c:v>
                </c:pt>
                <c:pt idx="49">
                  <c:v>5.3824060842524446E-3</c:v>
                </c:pt>
                <c:pt idx="50">
                  <c:v>5.477488980923928E-3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B97-4EC8-8433-CD6511F1540E}"/>
            </c:ext>
          </c:extLst>
        </c:ser>
        <c:ser>
          <c:idx val="2"/>
          <c:order val="2"/>
          <c:tx>
            <c:strRef>
              <c:f>Décompo!$A$10</c:f>
              <c:strCache>
                <c:ptCount val="1"/>
                <c:pt idx="0">
                  <c:v>Température de l'air</c:v>
                </c:pt>
              </c:strCache>
            </c:strRef>
          </c:tx>
          <c:spPr>
            <a:solidFill>
              <a:schemeClr val="accent3"/>
            </a:solidFill>
            <a:ln w="25400">
              <a:noFill/>
            </a:ln>
            <a:effectLst/>
          </c:spPr>
          <c:cat>
            <c:numRef>
              <c:f>Décompo!$B$7:$AZ$7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Décompo!$B$10:$AZ$10</c:f>
              <c:numCache>
                <c:formatCode>0.0%</c:formatCode>
                <c:ptCount val="51"/>
                <c:pt idx="0">
                  <c:v>6.168779579696082E-5</c:v>
                </c:pt>
                <c:pt idx="1">
                  <c:v>1.2415006617638724E-4</c:v>
                </c:pt>
                <c:pt idx="2">
                  <c:v>1.6806397964841402E-4</c:v>
                </c:pt>
                <c:pt idx="3">
                  <c:v>1.9533471300470229E-4</c:v>
                </c:pt>
                <c:pt idx="4">
                  <c:v>2.1561527487090615E-4</c:v>
                </c:pt>
                <c:pt idx="5">
                  <c:v>2.3723164204614289E-4</c:v>
                </c:pt>
                <c:pt idx="6">
                  <c:v>2.6463511131902262E-4</c:v>
                </c:pt>
                <c:pt idx="7">
                  <c:v>2.9862186944706881E-4</c:v>
                </c:pt>
                <c:pt idx="8">
                  <c:v>3.3781094304263792E-4</c:v>
                </c:pt>
                <c:pt idx="9">
                  <c:v>3.8015762570164924E-4</c:v>
                </c:pt>
                <c:pt idx="10">
                  <c:v>4.2303960818368402E-4</c:v>
                </c:pt>
                <c:pt idx="11">
                  <c:v>4.6827398521953612E-4</c:v>
                </c:pt>
                <c:pt idx="12">
                  <c:v>5.1421941050267678E-4</c:v>
                </c:pt>
                <c:pt idx="13">
                  <c:v>5.604412600280842E-4</c:v>
                </c:pt>
                <c:pt idx="14">
                  <c:v>6.0684488432372063E-4</c:v>
                </c:pt>
                <c:pt idx="15">
                  <c:v>6.5365284502870435E-4</c:v>
                </c:pt>
                <c:pt idx="16">
                  <c:v>7.0237722578869038E-4</c:v>
                </c:pt>
                <c:pt idx="17">
                  <c:v>7.5342635216713028E-4</c:v>
                </c:pt>
                <c:pt idx="18">
                  <c:v>8.066844280045643E-4</c:v>
                </c:pt>
                <c:pt idx="19">
                  <c:v>8.6201393587105601E-4</c:v>
                </c:pt>
                <c:pt idx="20">
                  <c:v>9.1932180070708469E-4</c:v>
                </c:pt>
                <c:pt idx="21">
                  <c:v>9.7881014286314849E-4</c:v>
                </c:pt>
                <c:pt idx="22">
                  <c:v>1.0405195746674423E-3</c:v>
                </c:pt>
                <c:pt idx="23">
                  <c:v>1.1045060634298359E-3</c:v>
                </c:pt>
                <c:pt idx="24">
                  <c:v>1.170796694930927E-3</c:v>
                </c:pt>
                <c:pt idx="25">
                  <c:v>1.2390978049161561E-3</c:v>
                </c:pt>
                <c:pt idx="26">
                  <c:v>1.3090452237356359E-3</c:v>
                </c:pt>
                <c:pt idx="27">
                  <c:v>1.3804602482122633E-3</c:v>
                </c:pt>
                <c:pt idx="28">
                  <c:v>1.4534740382222619E-3</c:v>
                </c:pt>
                <c:pt idx="29">
                  <c:v>1.5281965357031371E-3</c:v>
                </c:pt>
                <c:pt idx="30">
                  <c:v>1.6046269659593104E-3</c:v>
                </c:pt>
                <c:pt idx="31">
                  <c:v>1.6822930112380188E-3</c:v>
                </c:pt>
                <c:pt idx="32">
                  <c:v>1.761106602276255E-3</c:v>
                </c:pt>
                <c:pt idx="33">
                  <c:v>1.8411538530372987E-3</c:v>
                </c:pt>
                <c:pt idx="34">
                  <c:v>1.9225128302719011E-3</c:v>
                </c:pt>
                <c:pt idx="35">
                  <c:v>2.0052168885985669E-3</c:v>
                </c:pt>
                <c:pt idx="36">
                  <c:v>2.0854399887522135E-3</c:v>
                </c:pt>
                <c:pt idx="37">
                  <c:v>2.1632975700532908E-3</c:v>
                </c:pt>
                <c:pt idx="38">
                  <c:v>2.2405688385811404E-3</c:v>
                </c:pt>
                <c:pt idx="39">
                  <c:v>2.3186284023730755E-3</c:v>
                </c:pt>
                <c:pt idx="40">
                  <c:v>2.3979986580122681E-3</c:v>
                </c:pt>
                <c:pt idx="41">
                  <c:v>2.4779283908153982E-3</c:v>
                </c:pt>
                <c:pt idx="42">
                  <c:v>2.5580341694070308E-3</c:v>
                </c:pt>
                <c:pt idx="43">
                  <c:v>2.6382558313923221E-3</c:v>
                </c:pt>
                <c:pt idx="44">
                  <c:v>2.7186220593600208E-3</c:v>
                </c:pt>
                <c:pt idx="45">
                  <c:v>2.7991866626791984E-3</c:v>
                </c:pt>
                <c:pt idx="46">
                  <c:v>2.8777843676351944E-3</c:v>
                </c:pt>
                <c:pt idx="47">
                  <c:v>2.9544839735867745E-3</c:v>
                </c:pt>
                <c:pt idx="48">
                  <c:v>3.0305233494897221E-3</c:v>
                </c:pt>
                <c:pt idx="49">
                  <c:v>3.106923302080733E-3</c:v>
                </c:pt>
                <c:pt idx="50">
                  <c:v>3.1841664268963399E-3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B97-4EC8-8433-CD6511F1540E}"/>
            </c:ext>
          </c:extLst>
        </c:ser>
        <c:ser>
          <c:idx val="3"/>
          <c:order val="3"/>
          <c:tx>
            <c:strRef>
              <c:f>Décompo!$A$11</c:f>
              <c:strCache>
                <c:ptCount val="1"/>
                <c:pt idx="0">
                  <c:v>Autres risques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cat>
            <c:numRef>
              <c:f>Décompo!$B$7:$AZ$7</c:f>
              <c:numCache>
                <c:formatCode>m/d/yyyy</c:formatCode>
                <c:ptCount val="51"/>
                <c:pt idx="0">
                  <c:v>42005</c:v>
                </c:pt>
                <c:pt idx="1">
                  <c:v>42370</c:v>
                </c:pt>
                <c:pt idx="2">
                  <c:v>42736</c:v>
                </c:pt>
                <c:pt idx="3">
                  <c:v>43101</c:v>
                </c:pt>
                <c:pt idx="4">
                  <c:v>43466</c:v>
                </c:pt>
                <c:pt idx="5">
                  <c:v>43831</c:v>
                </c:pt>
                <c:pt idx="6">
                  <c:v>44197</c:v>
                </c:pt>
                <c:pt idx="7">
                  <c:v>44562</c:v>
                </c:pt>
                <c:pt idx="8">
                  <c:v>44927</c:v>
                </c:pt>
                <c:pt idx="9">
                  <c:v>45292</c:v>
                </c:pt>
                <c:pt idx="10">
                  <c:v>45658</c:v>
                </c:pt>
                <c:pt idx="11">
                  <c:v>46023</c:v>
                </c:pt>
                <c:pt idx="12">
                  <c:v>46388</c:v>
                </c:pt>
                <c:pt idx="13">
                  <c:v>46753</c:v>
                </c:pt>
                <c:pt idx="14">
                  <c:v>47119</c:v>
                </c:pt>
                <c:pt idx="15">
                  <c:v>47484</c:v>
                </c:pt>
                <c:pt idx="16">
                  <c:v>47849</c:v>
                </c:pt>
                <c:pt idx="17">
                  <c:v>48214</c:v>
                </c:pt>
                <c:pt idx="18">
                  <c:v>48580</c:v>
                </c:pt>
                <c:pt idx="19">
                  <c:v>48945</c:v>
                </c:pt>
                <c:pt idx="20">
                  <c:v>49310</c:v>
                </c:pt>
                <c:pt idx="21">
                  <c:v>49675</c:v>
                </c:pt>
                <c:pt idx="22">
                  <c:v>50041</c:v>
                </c:pt>
                <c:pt idx="23">
                  <c:v>50406</c:v>
                </c:pt>
                <c:pt idx="24">
                  <c:v>50771</c:v>
                </c:pt>
                <c:pt idx="25">
                  <c:v>51136</c:v>
                </c:pt>
                <c:pt idx="26">
                  <c:v>51502</c:v>
                </c:pt>
                <c:pt idx="27">
                  <c:v>51867</c:v>
                </c:pt>
                <c:pt idx="28">
                  <c:v>52232</c:v>
                </c:pt>
                <c:pt idx="29">
                  <c:v>52597</c:v>
                </c:pt>
                <c:pt idx="30">
                  <c:v>52963</c:v>
                </c:pt>
                <c:pt idx="31">
                  <c:v>53328</c:v>
                </c:pt>
                <c:pt idx="32">
                  <c:v>53693</c:v>
                </c:pt>
                <c:pt idx="33">
                  <c:v>54058</c:v>
                </c:pt>
                <c:pt idx="34">
                  <c:v>54424</c:v>
                </c:pt>
                <c:pt idx="35">
                  <c:v>54789</c:v>
                </c:pt>
                <c:pt idx="36">
                  <c:v>55154</c:v>
                </c:pt>
                <c:pt idx="37">
                  <c:v>55519</c:v>
                </c:pt>
                <c:pt idx="38">
                  <c:v>55885</c:v>
                </c:pt>
                <c:pt idx="39">
                  <c:v>56250</c:v>
                </c:pt>
                <c:pt idx="40">
                  <c:v>56615</c:v>
                </c:pt>
                <c:pt idx="41">
                  <c:v>56980</c:v>
                </c:pt>
                <c:pt idx="42">
                  <c:v>57346</c:v>
                </c:pt>
                <c:pt idx="43">
                  <c:v>57711</c:v>
                </c:pt>
                <c:pt idx="44">
                  <c:v>58076</c:v>
                </c:pt>
                <c:pt idx="45">
                  <c:v>58441</c:v>
                </c:pt>
                <c:pt idx="46">
                  <c:v>58807</c:v>
                </c:pt>
                <c:pt idx="47">
                  <c:v>59172</c:v>
                </c:pt>
                <c:pt idx="48">
                  <c:v>59537</c:v>
                </c:pt>
                <c:pt idx="49">
                  <c:v>59902</c:v>
                </c:pt>
                <c:pt idx="50">
                  <c:v>60268</c:v>
                </c:pt>
              </c:numCache>
            </c:numRef>
          </c:cat>
          <c:val>
            <c:numRef>
              <c:f>Décompo!$B$11:$AZ$11</c:f>
              <c:numCache>
                <c:formatCode>0.0%</c:formatCode>
                <c:ptCount val="51"/>
                <c:pt idx="0">
                  <c:v>-7.2669652130707973E-5</c:v>
                </c:pt>
                <c:pt idx="1">
                  <c:v>-7.879551575240562E-5</c:v>
                </c:pt>
                <c:pt idx="2">
                  <c:v>-8.7302778841835682E-5</c:v>
                </c:pt>
                <c:pt idx="3">
                  <c:v>-9.7772507465898606E-5</c:v>
                </c:pt>
                <c:pt idx="4">
                  <c:v>-1.0843370503699212E-4</c:v>
                </c:pt>
                <c:pt idx="5">
                  <c:v>-1.175582647838791E-4</c:v>
                </c:pt>
                <c:pt idx="6">
                  <c:v>-1.2430022394416262E-4</c:v>
                </c:pt>
                <c:pt idx="7">
                  <c:v>-1.2860406736370233E-4</c:v>
                </c:pt>
                <c:pt idx="8">
                  <c:v>-1.3112928915759436E-4</c:v>
                </c:pt>
                <c:pt idx="9">
                  <c:v>-1.3312405400012217E-4</c:v>
                </c:pt>
                <c:pt idx="10">
                  <c:v>-1.3557234589245404E-4</c:v>
                </c:pt>
                <c:pt idx="11">
                  <c:v>-1.3984670744315864E-4</c:v>
                </c:pt>
                <c:pt idx="12">
                  <c:v>-1.4546917841518764E-4</c:v>
                </c:pt>
                <c:pt idx="13">
                  <c:v>-1.520626001153616E-4</c:v>
                </c:pt>
                <c:pt idx="14">
                  <c:v>-1.5909555991312774E-4</c:v>
                </c:pt>
                <c:pt idx="15">
                  <c:v>-1.66077867519758E-4</c:v>
                </c:pt>
                <c:pt idx="16">
                  <c:v>-1.7285141273948312E-4</c:v>
                </c:pt>
                <c:pt idx="17">
                  <c:v>-1.79035250725261E-4</c:v>
                </c:pt>
                <c:pt idx="18">
                  <c:v>-1.84520800972858E-4</c:v>
                </c:pt>
                <c:pt idx="19">
                  <c:v>-1.8927222727184445E-4</c:v>
                </c:pt>
                <c:pt idx="20">
                  <c:v>-1.9342556341384737E-4</c:v>
                </c:pt>
                <c:pt idx="21">
                  <c:v>-1.9685611233777323E-4</c:v>
                </c:pt>
                <c:pt idx="22">
                  <c:v>-1.9975510404212499E-4</c:v>
                </c:pt>
                <c:pt idx="23">
                  <c:v>-2.0224006395475058E-4</c:v>
                </c:pt>
                <c:pt idx="24">
                  <c:v>-2.0441808520754029E-4</c:v>
                </c:pt>
                <c:pt idx="25">
                  <c:v>-2.0670360937535825E-4</c:v>
                </c:pt>
                <c:pt idx="26">
                  <c:v>-2.0859936724437061E-4</c:v>
                </c:pt>
                <c:pt idx="27">
                  <c:v>-2.10377166453668E-4</c:v>
                </c:pt>
                <c:pt idx="28">
                  <c:v>-2.1209909277342121E-4</c:v>
                </c:pt>
                <c:pt idx="29">
                  <c:v>-2.1380935684255781E-4</c:v>
                </c:pt>
                <c:pt idx="30">
                  <c:v>-2.1552686643211416E-4</c:v>
                </c:pt>
                <c:pt idx="31">
                  <c:v>-2.1719691109545886E-4</c:v>
                </c:pt>
                <c:pt idx="32">
                  <c:v>-2.1884168707887036E-4</c:v>
                </c:pt>
                <c:pt idx="33">
                  <c:v>-2.2043630044332047E-4</c:v>
                </c:pt>
                <c:pt idx="34">
                  <c:v>-2.2195763552824987E-4</c:v>
                </c:pt>
                <c:pt idx="35">
                  <c:v>-2.2337942252437237E-4</c:v>
                </c:pt>
                <c:pt idx="36">
                  <c:v>-2.2427381890066656E-4</c:v>
                </c:pt>
                <c:pt idx="37">
                  <c:v>-2.2489407428549074E-4</c:v>
                </c:pt>
                <c:pt idx="38">
                  <c:v>-2.2524427262649027E-4</c:v>
                </c:pt>
                <c:pt idx="39">
                  <c:v>-2.2536862792232881E-4</c:v>
                </c:pt>
                <c:pt idx="40">
                  <c:v>-2.253060154772113E-4</c:v>
                </c:pt>
                <c:pt idx="41">
                  <c:v>-2.2500744033948639E-4</c:v>
                </c:pt>
                <c:pt idx="42">
                  <c:v>-2.2454337015731518E-4</c:v>
                </c:pt>
                <c:pt idx="43">
                  <c:v>-2.2392253051151112E-4</c:v>
                </c:pt>
                <c:pt idx="44">
                  <c:v>-2.2315218908330881E-4</c:v>
                </c:pt>
                <c:pt idx="45">
                  <c:v>-2.2223241794816495E-4</c:v>
                </c:pt>
                <c:pt idx="46">
                  <c:v>-2.2090510750294445E-4</c:v>
                </c:pt>
                <c:pt idx="47">
                  <c:v>-2.1935469415590436E-4</c:v>
                </c:pt>
                <c:pt idx="48">
                  <c:v>-2.1759224127337884E-4</c:v>
                </c:pt>
                <c:pt idx="49">
                  <c:v>-2.1564078073721404E-4</c:v>
                </c:pt>
                <c:pt idx="50">
                  <c:v>-2.135171994367413E-4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C6-4E26-91E0-1E0153E07C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153232"/>
        <c:axId val="582155528"/>
      </c:areaChart>
      <c:dateAx>
        <c:axId val="582153232"/>
        <c:scaling>
          <c:orientation val="minMax"/>
        </c:scaling>
        <c:delete val="0"/>
        <c:axPos val="b"/>
        <c:numFmt formatCode="yyyy" sourceLinked="0"/>
        <c:majorTickMark val="out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5528"/>
        <c:crosses val="autoZero"/>
        <c:auto val="1"/>
        <c:lblOffset val="100"/>
        <c:baseTimeUnit val="years"/>
        <c:majorUnit val="5"/>
        <c:majorTimeUnit val="years"/>
      </c:dateAx>
      <c:valAx>
        <c:axId val="5821555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Marianne Light" panose="02000000000000000000" pitchFamily="50" charset="0"/>
                <a:ea typeface="Verdana" panose="020B0604030504040204" pitchFamily="34" charset="0"/>
                <a:cs typeface="+mn-cs"/>
              </a:defRPr>
            </a:pPr>
            <a:endParaRPr lang="fr-FR"/>
          </a:p>
        </c:txPr>
        <c:crossAx val="582153232"/>
        <c:crosses val="autoZero"/>
        <c:crossBetween val="midCat"/>
      </c:valAx>
      <c:spPr>
        <a:noFill/>
        <a:ln>
          <a:solidFill>
            <a:schemeClr val="tx1"/>
          </a:solidFill>
        </a:ln>
        <a:effectLst/>
      </c:spPr>
    </c:plotArea>
    <c:legend>
      <c:legendPos val="b"/>
      <c:layout/>
      <c:overlay val="0"/>
      <c:spPr>
        <a:noFill/>
        <a:ln>
          <a:solidFill>
            <a:schemeClr val="tx1"/>
          </a:solidFill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Marianne Light" panose="02000000000000000000" pitchFamily="50" charset="0"/>
              <a:ea typeface="Verdana" panose="020B0604030504040204" pitchFamily="34" charset="0"/>
              <a:cs typeface="+mn-cs"/>
            </a:defRPr>
          </a:pPr>
          <a:endParaRPr lang="fr-FR"/>
        </a:p>
      </c:txPr>
    </c:legend>
    <c:plotVisOnly val="1"/>
    <c:dispBlanksAs val="zero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sz="1800">
          <a:latin typeface="Marianne Light" panose="02000000000000000000" pitchFamily="50" charset="0"/>
          <a:ea typeface="Verdana" panose="020B0604030504040204" pitchFamily="34" charset="0"/>
        </a:defRPr>
      </a:pPr>
      <a:endParaRPr lang="fr-FR"/>
    </a:p>
  </c:txPr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chartsheets/sheet1.xml><?xml version="1.0" encoding="utf-8"?>
<chartsheet xmlns="http://schemas.openxmlformats.org/spreadsheetml/2006/main" xmlns:r="http://schemas.openxmlformats.org/officeDocument/2006/relationships">
  <sheetPr/>
  <sheetViews>
    <sheetView tabSelected="1" zoomScale="57" workbookViewId="0" zoomToFit="1"/>
  </sheetViews>
  <pageMargins left="0.7" right="0.7" top="0.75" bottom="0.75" header="0.3" footer="0.3"/>
  <drawing r:id="rId1"/>
</chartsheet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absoluteAnchor>
    <xdr:pos x="0" y="0"/>
    <xdr:ext cx="9297358" cy="6074434"/>
    <xdr:graphicFrame macro="">
      <xdr:nvGraphicFramePr>
        <xdr:cNvPr id="2" name="Graphique 1"/>
        <xdr:cNvGraphicFramePr>
          <a:graphicFrameLocks noGrp="1"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absolute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+agri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.xlsx" TargetMode="External"/></Relationships>
</file>

<file path=xl/externalLinks/_rels/externalLink4.xml.rels><?xml version="1.0" encoding="UTF-8" standalone="yes"?>
<Relationships xmlns="http://schemas.openxmlformats.org/package/2006/relationships"><Relationship Id="rId1" Type="http://schemas.openxmlformats.org/officeDocument/2006/relationships/externalLinkPath" Target="Graphique%20dommages%20-%20WD+agri+air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-1.3538601712600906</v>
          </cell>
          <cell r="D5">
            <v>-1.6912679139984843</v>
          </cell>
          <cell r="E5">
            <v>-2.0115560050032899</v>
          </cell>
          <cell r="F5">
            <v>-2.2943774039713705</v>
          </cell>
          <cell r="G5">
            <v>-2.5425308096377663</v>
          </cell>
          <cell r="H5">
            <v>-2.7611418605846372</v>
          </cell>
          <cell r="I5">
            <v>-2.9576927112697438</v>
          </cell>
          <cell r="J5">
            <v>-3.1353239073615535</v>
          </cell>
          <cell r="K5">
            <v>-3.2985843392642766</v>
          </cell>
          <cell r="L5">
            <v>-3.4516237501799885</v>
          </cell>
          <cell r="M5">
            <v>-3.6927247035058564</v>
          </cell>
          <cell r="N5">
            <v>-3.7901004681047845</v>
          </cell>
          <cell r="O5">
            <v>-3.8748605891280929</v>
          </cell>
          <cell r="P5">
            <v>-3.9477051314678935</v>
          </cell>
          <cell r="Q5">
            <v>-4.0116488877360634</v>
          </cell>
          <cell r="R5">
            <v>-4.0694640941231981</v>
          </cell>
          <cell r="S5">
            <v>-4.1277964002331196</v>
          </cell>
          <cell r="T5">
            <v>-4.1849741026071747</v>
          </cell>
          <cell r="U5">
            <v>-4.2425458296820988</v>
          </cell>
          <cell r="V5">
            <v>-4.3016340742832782</v>
          </cell>
          <cell r="W5">
            <v>-4.3633104309372284</v>
          </cell>
          <cell r="X5">
            <v>-4.427314031618601</v>
          </cell>
          <cell r="Y5">
            <v>-4.4941592404026176</v>
          </cell>
          <cell r="Z5">
            <v>-4.5639473379109567</v>
          </cell>
          <cell r="AA5">
            <v>-4.6365522950460587</v>
          </cell>
          <cell r="AB5">
            <v>-4.712369765355195</v>
          </cell>
          <cell r="AC5">
            <v>-4.788032119780028</v>
          </cell>
          <cell r="AD5">
            <v>-4.8649621572917194</v>
          </cell>
          <cell r="AE5">
            <v>-4.9429610515789646</v>
          </cell>
          <cell r="AF5">
            <v>-5.0218084317584015</v>
          </cell>
          <cell r="AG5">
            <v>-5.1012621214923666</v>
          </cell>
          <cell r="AH5">
            <v>-5.1800471640880197</v>
          </cell>
          <cell r="AI5">
            <v>-5.2587995224248063</v>
          </cell>
          <cell r="AJ5">
            <v>-5.337331162577863</v>
          </cell>
          <cell r="AK5">
            <v>-5.4154996240649016</v>
          </cell>
          <cell r="AL5">
            <v>-5.4931913241978663</v>
          </cell>
          <cell r="AM5">
            <v>-5.5612806592488244</v>
          </cell>
          <cell r="AN5">
            <v>-5.6273572035804413</v>
          </cell>
          <cell r="AO5">
            <v>-5.6914643529708648</v>
          </cell>
          <cell r="AP5">
            <v>-5.7538976344741037</v>
          </cell>
          <cell r="AQ5">
            <v>-5.8149801082812758</v>
          </cell>
          <cell r="AR5">
            <v>-5.8735596987392942</v>
          </cell>
          <cell r="AS5">
            <v>-5.9311343796265348</v>
          </cell>
          <cell r="AT5">
            <v>-5.9879563848025725</v>
          </cell>
          <cell r="AU5">
            <v>-6.0442828733665248</v>
          </cell>
          <cell r="AV5">
            <v>-6.1003296850866917</v>
          </cell>
          <cell r="AW5">
            <v>-6.1513652453118457</v>
          </cell>
          <cell r="AX5">
            <v>-6.20165595317882</v>
          </cell>
          <cell r="AY5">
            <v>-6.251429610217496</v>
          </cell>
          <cell r="AZ5">
            <v>-6.3009329761051225</v>
          </cell>
          <cell r="BA5">
            <v>-6.3503741189399392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-1.3817003835391084</v>
          </cell>
          <cell r="D5">
            <v>-1.743513173626321</v>
          </cell>
          <cell r="E5">
            <v>-2.0810900271980293</v>
          </cell>
          <cell r="F5">
            <v>-2.37482308328546</v>
          </cell>
          <cell r="G5">
            <v>-2.6303621837913016</v>
          </cell>
          <cell r="H5">
            <v>-2.8554745649720381</v>
          </cell>
          <cell r="I5">
            <v>-3.0591714219359134</v>
          </cell>
          <cell r="J5">
            <v>-3.2450478843843999</v>
          </cell>
          <cell r="K5">
            <v>-3.4175766044356681</v>
          </cell>
          <cell r="L5">
            <v>-3.5806058245103856</v>
          </cell>
          <cell r="M5">
            <v>-3.8317865579032384</v>
          </cell>
          <cell r="N5">
            <v>-3.9401504124790709</v>
          </cell>
          <cell r="O5">
            <v>-4.0361895698596717</v>
          </cell>
          <cell r="P5">
            <v>-4.1204463998199437</v>
          </cell>
          <cell r="Q5">
            <v>-4.1958141290400324</v>
          </cell>
          <cell r="R5">
            <v>-4.2649961126306817</v>
          </cell>
          <cell r="S5">
            <v>-4.3348570228646688</v>
          </cell>
          <cell r="T5">
            <v>-4.4036672055925541</v>
          </cell>
          <cell r="U5">
            <v>-4.4728921750806787</v>
          </cell>
          <cell r="V5">
            <v>-4.543575229746299</v>
          </cell>
          <cell r="W5">
            <v>-4.6166841961263643</v>
          </cell>
          <cell r="X5">
            <v>-4.6920146370500131</v>
          </cell>
          <cell r="Y5">
            <v>-4.7700386101506842</v>
          </cell>
          <cell r="Z5">
            <v>-4.8508636134620637</v>
          </cell>
          <cell r="AA5">
            <v>-4.9343774287709081</v>
          </cell>
          <cell r="AB5">
            <v>-5.0208240339022048</v>
          </cell>
          <cell r="AC5">
            <v>-5.1069629307100133</v>
          </cell>
          <cell r="AD5">
            <v>-5.1941904606602529</v>
          </cell>
          <cell r="AE5">
            <v>-5.2823596780353093</v>
          </cell>
          <cell r="AF5">
            <v>-5.3713042271004703</v>
          </cell>
          <cell r="AG5">
            <v>-5.4608243916526966</v>
          </cell>
          <cell r="AH5">
            <v>-5.5496192249441023</v>
          </cell>
          <cell r="AI5">
            <v>-5.6383436484206069</v>
          </cell>
          <cell r="AJ5">
            <v>-5.7268344019424262</v>
          </cell>
          <cell r="AK5">
            <v>-5.8149718869707101</v>
          </cell>
          <cell r="AL5">
            <v>-5.9026601997417156</v>
          </cell>
          <cell r="AM5">
            <v>-5.9802895418140878</v>
          </cell>
          <cell r="AN5">
            <v>-6.0555320304058302</v>
          </cell>
          <cell r="AO5">
            <v>-6.1285910820933935</v>
          </cell>
          <cell r="AP5">
            <v>-6.1999209769188042</v>
          </cell>
          <cell r="AQ5">
            <v>-6.2699584064028979</v>
          </cell>
          <cell r="AR5">
            <v>-6.3375430839892166</v>
          </cell>
          <cell r="AS5">
            <v>-6.4041984514666588</v>
          </cell>
          <cell r="AT5">
            <v>-6.4702120871606761</v>
          </cell>
          <cell r="AU5">
            <v>-6.5358501296639782</v>
          </cell>
          <cell r="AV5">
            <v>-6.6013343336437043</v>
          </cell>
          <cell r="AW5">
            <v>-6.6617208449575411</v>
          </cell>
          <cell r="AX5">
            <v>-6.7212787141227697</v>
          </cell>
          <cell r="AY5">
            <v>-6.7803179119039108</v>
          </cell>
          <cell r="AZ5">
            <v>-6.8391735845303669</v>
          </cell>
          <cell r="BA5">
            <v>-6.8981230170323311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4">
          <cell r="C4">
            <v>42005</v>
          </cell>
          <cell r="D4">
            <v>42370</v>
          </cell>
          <cell r="E4">
            <v>42736</v>
          </cell>
          <cell r="F4">
            <v>43101</v>
          </cell>
          <cell r="G4">
            <v>43466</v>
          </cell>
          <cell r="H4">
            <v>43831</v>
          </cell>
          <cell r="I4">
            <v>44197</v>
          </cell>
          <cell r="J4">
            <v>44562</v>
          </cell>
          <cell r="K4">
            <v>44927</v>
          </cell>
          <cell r="L4">
            <v>45292</v>
          </cell>
          <cell r="M4">
            <v>45658</v>
          </cell>
          <cell r="N4">
            <v>46023</v>
          </cell>
          <cell r="O4">
            <v>46388</v>
          </cell>
          <cell r="P4">
            <v>46753</v>
          </cell>
          <cell r="Q4">
            <v>47119</v>
          </cell>
          <cell r="R4">
            <v>47484</v>
          </cell>
          <cell r="S4">
            <v>47849</v>
          </cell>
          <cell r="T4">
            <v>48214</v>
          </cell>
          <cell r="U4">
            <v>48580</v>
          </cell>
          <cell r="V4">
            <v>48945</v>
          </cell>
          <cell r="W4">
            <v>49310</v>
          </cell>
          <cell r="X4">
            <v>49675</v>
          </cell>
          <cell r="Y4">
            <v>50041</v>
          </cell>
          <cell r="Z4">
            <v>50406</v>
          </cell>
          <cell r="AA4">
            <v>50771</v>
          </cell>
          <cell r="AB4">
            <v>51136</v>
          </cell>
          <cell r="AC4">
            <v>51502</v>
          </cell>
          <cell r="AD4">
            <v>51867</v>
          </cell>
          <cell r="AE4">
            <v>52232</v>
          </cell>
          <cell r="AF4">
            <v>52597</v>
          </cell>
          <cell r="AG4">
            <v>52963</v>
          </cell>
          <cell r="AH4">
            <v>53328</v>
          </cell>
          <cell r="AI4">
            <v>53693</v>
          </cell>
          <cell r="AJ4">
            <v>54058</v>
          </cell>
          <cell r="AK4">
            <v>54424</v>
          </cell>
          <cell r="AL4">
            <v>54789</v>
          </cell>
          <cell r="AM4">
            <v>55154</v>
          </cell>
          <cell r="AN4">
            <v>55519</v>
          </cell>
          <cell r="AO4">
            <v>55885</v>
          </cell>
          <cell r="AP4">
            <v>56250</v>
          </cell>
          <cell r="AQ4">
            <v>56615</v>
          </cell>
          <cell r="AR4">
            <v>56980</v>
          </cell>
          <cell r="AS4">
            <v>57346</v>
          </cell>
          <cell r="AT4">
            <v>57711</v>
          </cell>
          <cell r="AU4">
            <v>58076</v>
          </cell>
          <cell r="AV4">
            <v>58441</v>
          </cell>
          <cell r="AW4">
            <v>58807</v>
          </cell>
          <cell r="AX4">
            <v>59172</v>
          </cell>
          <cell r="AY4">
            <v>59537</v>
          </cell>
          <cell r="AZ4">
            <v>59902</v>
          </cell>
          <cell r="BA4">
            <v>60268</v>
          </cell>
        </row>
        <row r="5">
          <cell r="C5">
            <v>-1.3806021979057337</v>
          </cell>
          <cell r="D5">
            <v>-1.7480486286687191</v>
          </cell>
          <cell r="E5">
            <v>-2.0891661472786871</v>
          </cell>
          <cell r="F5">
            <v>-2.3845793038393404</v>
          </cell>
          <cell r="G5">
            <v>-2.641080340774693</v>
          </cell>
          <cell r="H5">
            <v>-2.8674419026982645</v>
          </cell>
          <cell r="I5">
            <v>-3.0732049106733994</v>
          </cell>
          <cell r="J5">
            <v>-3.2620496645927366</v>
          </cell>
          <cell r="K5">
            <v>-3.4382447698241725</v>
          </cell>
          <cell r="L5">
            <v>-3.6053091816805383</v>
          </cell>
          <cell r="M5">
            <v>-3.8605332841323614</v>
          </cell>
          <cell r="N5">
            <v>-3.9729931402567087</v>
          </cell>
          <cell r="O5">
            <v>-4.0730645930684206</v>
          </cell>
          <cell r="P5">
            <v>-4.1612842658112159</v>
          </cell>
          <cell r="Q5">
            <v>-4.2405890614810922</v>
          </cell>
          <cell r="R5">
            <v>-4.3137536103815766</v>
          </cell>
          <cell r="S5">
            <v>-4.3878096041695898</v>
          </cell>
          <cell r="T5">
            <v>-4.4611063157367408</v>
          </cell>
          <cell r="U5">
            <v>-4.5351085377838496</v>
          </cell>
          <cell r="V5">
            <v>-4.6108494006062202</v>
          </cell>
          <cell r="W5">
            <v>-4.6892738198556883</v>
          </cell>
          <cell r="X5">
            <v>-4.7702100401025511</v>
          </cell>
          <cell r="Y5">
            <v>-4.8541150572132157</v>
          </cell>
          <cell r="Z5">
            <v>-4.9410902134095718</v>
          </cell>
          <cell r="AA5">
            <v>-5.0310152897432463</v>
          </cell>
          <cell r="AB5">
            <v>-5.1240634534562846</v>
          </cell>
          <cell r="AC5">
            <v>-5.2170075163591401</v>
          </cell>
          <cell r="AD5">
            <v>-5.3111987688361122</v>
          </cell>
          <cell r="AE5">
            <v>-5.4064971725801936</v>
          </cell>
          <cell r="AF5">
            <v>-5.5027429449865277</v>
          </cell>
          <cell r="AG5">
            <v>-5.5997344016054162</v>
          </cell>
          <cell r="AH5">
            <v>-5.6961288349583583</v>
          </cell>
          <cell r="AI5">
            <v>-5.7925701399403451</v>
          </cell>
          <cell r="AJ5">
            <v>-5.8889061572018235</v>
          </cell>
          <cell r="AK5">
            <v>-5.9850274064450755</v>
          </cell>
          <cell r="AL5">
            <v>-6.0808439463491348</v>
          </cell>
          <cell r="AM5">
            <v>-6.1664061587992425</v>
          </cell>
          <cell r="AN5">
            <v>-6.24937237998261</v>
          </cell>
          <cell r="AO5">
            <v>-6.3301235386888592</v>
          </cell>
          <cell r="AP5">
            <v>-6.4092469543638781</v>
          </cell>
          <cell r="AQ5">
            <v>-6.487227670656404</v>
          </cell>
          <cell r="AR5">
            <v>-6.5628351790368082</v>
          </cell>
          <cell r="AS5">
            <v>-6.6375475313916299</v>
          </cell>
          <cell r="AT5">
            <v>-6.7116454172487572</v>
          </cell>
          <cell r="AU5">
            <v>-6.7853971166916498</v>
          </cell>
          <cell r="AV5">
            <v>-6.859029758116808</v>
          </cell>
          <cell r="AW5">
            <v>-6.9274087709707661</v>
          </cell>
          <cell r="AX5">
            <v>-6.9947916420658558</v>
          </cell>
          <cell r="AY5">
            <v>-7.0616110227255451</v>
          </cell>
          <cell r="AZ5">
            <v>-7.1283018366647184</v>
          </cell>
          <cell r="BA5">
            <v>-7.1951879397782914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Données"/>
      <sheetName val="Gr Macro"/>
      <sheetName val="Gr inflation"/>
      <sheetName val="Gr émissions"/>
      <sheetName val="Gr conso éner"/>
      <sheetName val="GR macro ener"/>
      <sheetName val="Gr éner prim"/>
      <sheetName val="BUIL (class,base)"/>
      <sheetName val="BUIL (class,shock)"/>
      <sheetName val="Auto (class,base)"/>
      <sheetName val="Auto (class,shock)"/>
      <sheetName val="Auto (ener,shock)"/>
      <sheetName val="Auto (ener,base)"/>
      <sheetName val="Employment"/>
      <sheetName val="Investment"/>
      <sheetName val="Firms' emissions"/>
      <sheetName val="Capital intensity"/>
      <sheetName val="Energy intensity"/>
      <sheetName val="Gr VA secteurs (% dev)"/>
      <sheetName val="Gr VA secteurs (% share)"/>
      <sheetName val="Gr Y secteurs (% dev)"/>
      <sheetName val="Gr Y secteurs (% share)"/>
    </sheetNames>
    <sheetDataSet>
      <sheetData sheetId="0">
        <row r="5">
          <cell r="C5">
            <v>-1.3878691631188045</v>
          </cell>
          <cell r="D5">
            <v>-1.7559281802439597</v>
          </cell>
          <cell r="E5">
            <v>-2.0978964251628707</v>
          </cell>
          <cell r="F5">
            <v>-2.3943565545859302</v>
          </cell>
          <cell r="G5">
            <v>-2.6519237112783922</v>
          </cell>
          <cell r="H5">
            <v>-2.8791977291766524</v>
          </cell>
          <cell r="I5">
            <v>-3.0856349330678157</v>
          </cell>
          <cell r="J5">
            <v>-3.2749100713291068</v>
          </cell>
          <cell r="K5">
            <v>-3.4513576987399319</v>
          </cell>
          <cell r="L5">
            <v>-3.6186215870805505</v>
          </cell>
          <cell r="M5">
            <v>-3.8740905187216068</v>
          </cell>
          <cell r="N5">
            <v>-3.9869778110010246</v>
          </cell>
          <cell r="O5">
            <v>-4.0876115109099391</v>
          </cell>
          <cell r="P5">
            <v>-4.1764905258227518</v>
          </cell>
          <cell r="Q5">
            <v>-4.2564986174724044</v>
          </cell>
          <cell r="R5">
            <v>-4.3303613971335526</v>
          </cell>
          <cell r="S5">
            <v>-4.4050947454435381</v>
          </cell>
          <cell r="T5">
            <v>-4.4790098408092671</v>
          </cell>
          <cell r="U5">
            <v>-4.5535606178811356</v>
          </cell>
          <cell r="V5">
            <v>-4.6297766233334041</v>
          </cell>
          <cell r="W5">
            <v>-4.7086163761970727</v>
          </cell>
          <cell r="X5">
            <v>-4.7898956513363284</v>
          </cell>
          <cell r="Y5">
            <v>-4.8740905676174284</v>
          </cell>
          <cell r="Z5">
            <v>-4.9613142198050468</v>
          </cell>
          <cell r="AA5">
            <v>-5.0514570982640006</v>
          </cell>
          <cell r="AB5">
            <v>-5.1447338143938204</v>
          </cell>
          <cell r="AC5">
            <v>-5.2378674530835774</v>
          </cell>
          <cell r="AD5">
            <v>-5.332236485481479</v>
          </cell>
          <cell r="AE5">
            <v>-5.4277070818575357</v>
          </cell>
          <cell r="AF5">
            <v>-5.5241238806707837</v>
          </cell>
          <cell r="AG5">
            <v>-5.6212870882486277</v>
          </cell>
          <cell r="AH5">
            <v>-5.7178485260679039</v>
          </cell>
          <cell r="AI5">
            <v>-5.8144543086482319</v>
          </cell>
          <cell r="AJ5">
            <v>-5.9109497872461558</v>
          </cell>
          <cell r="AK5">
            <v>-6.0072231699979</v>
          </cell>
          <cell r="AL5">
            <v>-6.1031818886015721</v>
          </cell>
          <cell r="AM5">
            <v>-6.1888335406893091</v>
          </cell>
          <cell r="AN5">
            <v>-6.2718617874111597</v>
          </cell>
          <cell r="AO5">
            <v>-6.3526479659515083</v>
          </cell>
          <cell r="AP5">
            <v>-6.431783817156111</v>
          </cell>
          <cell r="AQ5">
            <v>-6.5097582722041247</v>
          </cell>
          <cell r="AR5">
            <v>-6.5853359230707564</v>
          </cell>
          <cell r="AS5">
            <v>-6.6600018684073614</v>
          </cell>
          <cell r="AT5">
            <v>-6.7340376702999087</v>
          </cell>
          <cell r="AU5">
            <v>-6.8077123355999802</v>
          </cell>
          <cell r="AV5">
            <v>-6.8812529999116245</v>
          </cell>
          <cell r="AW5">
            <v>-6.949499281721061</v>
          </cell>
          <cell r="AX5">
            <v>-7.0167271114814467</v>
          </cell>
          <cell r="AY5">
            <v>-7.0833702468528825</v>
          </cell>
          <cell r="AZ5">
            <v>-7.1498659147384398</v>
          </cell>
          <cell r="BA5">
            <v>-7.2165396597219651</v>
          </cell>
        </row>
      </sheetData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Z14"/>
  <sheetViews>
    <sheetView tabSelected="1" workbookViewId="0">
      <selection activeCell="B2" sqref="B2:AZ5"/>
    </sheetView>
  </sheetViews>
  <sheetFormatPr baseColWidth="10" defaultRowHeight="14.5" x14ac:dyDescent="0.35"/>
  <cols>
    <col min="1" max="1" width="19.81640625" customWidth="1"/>
  </cols>
  <sheetData>
    <row r="1" spans="1:52" x14ac:dyDescent="0.35">
      <c r="B1" s="1">
        <f>[3]Données!C4</f>
        <v>42005</v>
      </c>
      <c r="C1" s="1">
        <f>[3]Données!D4</f>
        <v>42370</v>
      </c>
      <c r="D1" s="1">
        <f>[3]Données!E4</f>
        <v>42736</v>
      </c>
      <c r="E1" s="1">
        <f>[3]Données!F4</f>
        <v>43101</v>
      </c>
      <c r="F1" s="1">
        <f>[3]Données!G4</f>
        <v>43466</v>
      </c>
      <c r="G1" s="1">
        <f>[3]Données!H4</f>
        <v>43831</v>
      </c>
      <c r="H1" s="1">
        <f>[3]Données!I4</f>
        <v>44197</v>
      </c>
      <c r="I1" s="1">
        <f>[3]Données!J4</f>
        <v>44562</v>
      </c>
      <c r="J1" s="1">
        <f>[3]Données!K4</f>
        <v>44927</v>
      </c>
      <c r="K1" s="1">
        <f>[3]Données!L4</f>
        <v>45292</v>
      </c>
      <c r="L1" s="1">
        <f>[3]Données!M4</f>
        <v>45658</v>
      </c>
      <c r="M1" s="1">
        <f>[3]Données!N4</f>
        <v>46023</v>
      </c>
      <c r="N1" s="1">
        <f>[3]Données!O4</f>
        <v>46388</v>
      </c>
      <c r="O1" s="1">
        <f>[3]Données!P4</f>
        <v>46753</v>
      </c>
      <c r="P1" s="1">
        <f>[3]Données!Q4</f>
        <v>47119</v>
      </c>
      <c r="Q1" s="1">
        <f>[3]Données!R4</f>
        <v>47484</v>
      </c>
      <c r="R1" s="1">
        <f>[3]Données!S4</f>
        <v>47849</v>
      </c>
      <c r="S1" s="1">
        <f>[3]Données!T4</f>
        <v>48214</v>
      </c>
      <c r="T1" s="1">
        <f>[3]Données!U4</f>
        <v>48580</v>
      </c>
      <c r="U1" s="1">
        <f>[3]Données!V4</f>
        <v>48945</v>
      </c>
      <c r="V1" s="1">
        <f>[3]Données!W4</f>
        <v>49310</v>
      </c>
      <c r="W1" s="1">
        <f>[3]Données!X4</f>
        <v>49675</v>
      </c>
      <c r="X1" s="1">
        <f>[3]Données!Y4</f>
        <v>50041</v>
      </c>
      <c r="Y1" s="1">
        <f>[3]Données!Z4</f>
        <v>50406</v>
      </c>
      <c r="Z1" s="1">
        <f>[3]Données!AA4</f>
        <v>50771</v>
      </c>
      <c r="AA1" s="1">
        <f>[3]Données!AB4</f>
        <v>51136</v>
      </c>
      <c r="AB1" s="1">
        <f>[3]Données!AC4</f>
        <v>51502</v>
      </c>
      <c r="AC1" s="1">
        <f>[3]Données!AD4</f>
        <v>51867</v>
      </c>
      <c r="AD1" s="1">
        <f>[3]Données!AE4</f>
        <v>52232</v>
      </c>
      <c r="AE1" s="1">
        <f>[3]Données!AF4</f>
        <v>52597</v>
      </c>
      <c r="AF1" s="1">
        <f>[3]Données!AG4</f>
        <v>52963</v>
      </c>
      <c r="AG1" s="1">
        <f>[3]Données!AH4</f>
        <v>53328</v>
      </c>
      <c r="AH1" s="1">
        <f>[3]Données!AI4</f>
        <v>53693</v>
      </c>
      <c r="AI1" s="1">
        <f>[3]Données!AJ4</f>
        <v>54058</v>
      </c>
      <c r="AJ1" s="1">
        <f>[3]Données!AK4</f>
        <v>54424</v>
      </c>
      <c r="AK1" s="1">
        <f>[3]Données!AL4</f>
        <v>54789</v>
      </c>
      <c r="AL1" s="1">
        <f>[3]Données!AM4</f>
        <v>55154</v>
      </c>
      <c r="AM1" s="1">
        <f>[3]Données!AN4</f>
        <v>55519</v>
      </c>
      <c r="AN1" s="1">
        <f>[3]Données!AO4</f>
        <v>55885</v>
      </c>
      <c r="AO1" s="1">
        <f>[3]Données!AP4</f>
        <v>56250</v>
      </c>
      <c r="AP1" s="1">
        <f>[3]Données!AQ4</f>
        <v>56615</v>
      </c>
      <c r="AQ1" s="1">
        <f>[3]Données!AR4</f>
        <v>56980</v>
      </c>
      <c r="AR1" s="1">
        <f>[3]Données!AS4</f>
        <v>57346</v>
      </c>
      <c r="AS1" s="1">
        <f>[3]Données!AT4</f>
        <v>57711</v>
      </c>
      <c r="AT1" s="1">
        <f>[3]Données!AU4</f>
        <v>58076</v>
      </c>
      <c r="AU1" s="1">
        <f>[3]Données!AV4</f>
        <v>58441</v>
      </c>
      <c r="AV1" s="1">
        <f>[3]Données!AW4</f>
        <v>58807</v>
      </c>
      <c r="AW1" s="1">
        <f>[3]Données!AX4</f>
        <v>59172</v>
      </c>
      <c r="AX1" s="1">
        <f>[3]Données!AY4</f>
        <v>59537</v>
      </c>
      <c r="AY1" s="1">
        <f>[3]Données!AZ4</f>
        <v>59902</v>
      </c>
      <c r="AZ1" s="1">
        <f>[3]Données!BA4</f>
        <v>60268</v>
      </c>
    </row>
    <row r="2" spans="1:52" x14ac:dyDescent="0.35">
      <c r="A2" t="s">
        <v>1</v>
      </c>
      <c r="B2" s="2">
        <f>(([1]Données!C5)/100)*-1</f>
        <v>1.3538601712600906E-2</v>
      </c>
      <c r="C2" s="2">
        <f>(([1]Données!D5)/100)*-1</f>
        <v>1.6912679139984843E-2</v>
      </c>
      <c r="D2" s="2">
        <f>(([1]Données!E5)/100)*-1</f>
        <v>2.0115560050032899E-2</v>
      </c>
      <c r="E2" s="2">
        <f>(([1]Données!F5)/100)*-1</f>
        <v>2.2943774039713705E-2</v>
      </c>
      <c r="F2" s="2">
        <f>(([1]Données!G5)/100)*-1</f>
        <v>2.5425308096377663E-2</v>
      </c>
      <c r="G2" s="2">
        <f>(([1]Données!H5)/100)*-1</f>
        <v>2.7611418605846372E-2</v>
      </c>
      <c r="H2" s="2">
        <f>(([1]Données!I5)/100)*-1</f>
        <v>2.9576927112697438E-2</v>
      </c>
      <c r="I2" s="2">
        <f>(([1]Données!J5)/100)*-1</f>
        <v>3.1353239073615535E-2</v>
      </c>
      <c r="J2" s="2">
        <f>(([1]Données!K5)/100)*-1</f>
        <v>3.2985843392642766E-2</v>
      </c>
      <c r="K2" s="2">
        <f>(([1]Données!L5)/100)*-1</f>
        <v>3.4516237501799885E-2</v>
      </c>
      <c r="L2" s="2">
        <f>(([1]Données!M5)/100)*-1</f>
        <v>3.6927247035058564E-2</v>
      </c>
      <c r="M2" s="2">
        <f>(([1]Données!N5)/100)*-1</f>
        <v>3.7901004681047845E-2</v>
      </c>
      <c r="N2" s="2">
        <f>(([1]Données!O5)/100)*-1</f>
        <v>3.8748605891280929E-2</v>
      </c>
      <c r="O2" s="2">
        <f>(([1]Données!P5)/100)*-1</f>
        <v>3.9477051314678935E-2</v>
      </c>
      <c r="P2" s="2">
        <f>(([1]Données!Q5)/100)*-1</f>
        <v>4.0116488877360634E-2</v>
      </c>
      <c r="Q2" s="2">
        <f>(([1]Données!R5)/100)*-1</f>
        <v>4.0694640941231978E-2</v>
      </c>
      <c r="R2" s="2">
        <f>(([1]Données!S5)/100)*-1</f>
        <v>4.1277964002331198E-2</v>
      </c>
      <c r="S2" s="2">
        <f>(([1]Données!T5)/100)*-1</f>
        <v>4.1849741026071745E-2</v>
      </c>
      <c r="T2" s="2">
        <f>(([1]Données!U5)/100)*-1</f>
        <v>4.2425458296820991E-2</v>
      </c>
      <c r="U2" s="2">
        <f>(([1]Données!V5)/100)*-1</f>
        <v>4.3016340742832782E-2</v>
      </c>
      <c r="V2" s="2">
        <f>(([1]Données!W5)/100)*-1</f>
        <v>4.3633104309372284E-2</v>
      </c>
      <c r="W2" s="2">
        <f>(([1]Données!X5)/100)*-1</f>
        <v>4.427314031618601E-2</v>
      </c>
      <c r="X2" s="2">
        <f>(([1]Données!Y5)/100)*-1</f>
        <v>4.4941592404026176E-2</v>
      </c>
      <c r="Y2" s="2">
        <f>(([1]Données!Z5)/100)*-1</f>
        <v>4.563947337910957E-2</v>
      </c>
      <c r="Z2" s="2">
        <f>(([1]Données!AA5)/100)*-1</f>
        <v>4.6365522950460585E-2</v>
      </c>
      <c r="AA2" s="2">
        <f>(([1]Données!AB5)/100)*-1</f>
        <v>4.7123697653551948E-2</v>
      </c>
      <c r="AB2" s="2">
        <f>(([1]Données!AC5)/100)*-1</f>
        <v>4.788032119780028E-2</v>
      </c>
      <c r="AC2" s="2">
        <f>(([1]Données!AD5)/100)*-1</f>
        <v>4.8649621572917197E-2</v>
      </c>
      <c r="AD2" s="2">
        <f>(([1]Données!AE5)/100)*-1</f>
        <v>4.9429610515789646E-2</v>
      </c>
      <c r="AE2" s="2">
        <f>(([1]Données!AF5)/100)*-1</f>
        <v>5.0218084317584018E-2</v>
      </c>
      <c r="AF2" s="2">
        <f>(([1]Données!AG5)/100)*-1</f>
        <v>5.1012621214923663E-2</v>
      </c>
      <c r="AG2" s="2">
        <f>(([1]Données!AH5)/100)*-1</f>
        <v>5.1800471640880197E-2</v>
      </c>
      <c r="AH2" s="2">
        <f>(([1]Données!AI5)/100)*-1</f>
        <v>5.2587995224248063E-2</v>
      </c>
      <c r="AI2" s="2">
        <f>(([1]Données!AJ5)/100)*-1</f>
        <v>5.337331162577863E-2</v>
      </c>
      <c r="AJ2" s="2">
        <f>(([1]Données!AK5)/100)*-1</f>
        <v>5.4154996240649018E-2</v>
      </c>
      <c r="AK2" s="2">
        <f>(([1]Données!AL5)/100)*-1</f>
        <v>5.4931913241978665E-2</v>
      </c>
      <c r="AL2" s="2">
        <f>(([1]Données!AM5)/100)*-1</f>
        <v>5.5612806592488247E-2</v>
      </c>
      <c r="AM2" s="2">
        <f>(([1]Données!AN5)/100)*-1</f>
        <v>5.6273572035804416E-2</v>
      </c>
      <c r="AN2" s="2">
        <f>(([1]Données!AO5)/100)*-1</f>
        <v>5.6914643529708646E-2</v>
      </c>
      <c r="AO2" s="2">
        <f>(([1]Données!AP5)/100)*-1</f>
        <v>5.753897634474104E-2</v>
      </c>
      <c r="AP2" s="2">
        <f>(([1]Données!AQ5)/100)*-1</f>
        <v>5.8149801082812758E-2</v>
      </c>
      <c r="AQ2" s="2">
        <f>(([1]Données!AR5)/100)*-1</f>
        <v>5.8735596987392939E-2</v>
      </c>
      <c r="AR2" s="2">
        <f>(([1]Données!AS5)/100)*-1</f>
        <v>5.9311343796265348E-2</v>
      </c>
      <c r="AS2" s="2">
        <f>(([1]Données!AT5)/100)*-1</f>
        <v>5.9879563848025723E-2</v>
      </c>
      <c r="AT2" s="2">
        <f>(([1]Données!AU5)/100)*-1</f>
        <v>6.0442828733665251E-2</v>
      </c>
      <c r="AU2" s="2">
        <f>(([1]Données!AV5)/100)*-1</f>
        <v>6.1003296850866917E-2</v>
      </c>
      <c r="AV2" s="2">
        <f>(([1]Données!AW5)/100)*-1</f>
        <v>6.1513652453118454E-2</v>
      </c>
      <c r="AW2" s="2">
        <f>(([1]Données!AX5)/100)*-1</f>
        <v>6.2016559531788203E-2</v>
      </c>
      <c r="AX2" s="2">
        <f>(([1]Données!AY5)/100)*-1</f>
        <v>6.251429610217496E-2</v>
      </c>
      <c r="AY2" s="2">
        <f>(([1]Données!AZ5)/100)*-1</f>
        <v>6.3009329761051225E-2</v>
      </c>
      <c r="AZ2" s="4">
        <f>(([1]Données!BA5)/100)*-1</f>
        <v>6.3503741189399388E-2</v>
      </c>
    </row>
    <row r="3" spans="1:52" x14ac:dyDescent="0.35">
      <c r="A3" t="s">
        <v>3</v>
      </c>
      <c r="B3" s="2">
        <f>(([2]Données!C5)/100)*-1</f>
        <v>1.3817003835391084E-2</v>
      </c>
      <c r="C3" s="2">
        <f>(([2]Données!D5)/100)*-1</f>
        <v>1.743513173626321E-2</v>
      </c>
      <c r="D3" s="2">
        <f>(([2]Données!E5)/100)*-1</f>
        <v>2.0810900271980293E-2</v>
      </c>
      <c r="E3" s="2">
        <f>(([2]Données!F5)/100)*-1</f>
        <v>2.37482308328546E-2</v>
      </c>
      <c r="F3" s="2">
        <f>(([2]Données!G5)/100)*-1</f>
        <v>2.6303621837913016E-2</v>
      </c>
      <c r="G3" s="2">
        <f>(([2]Données!H5)/100)*-1</f>
        <v>2.8554745649720381E-2</v>
      </c>
      <c r="H3" s="2">
        <f>(([2]Données!I5)/100)*-1</f>
        <v>3.0591714219359134E-2</v>
      </c>
      <c r="I3" s="2">
        <f>(([2]Données!J5)/100)*-1</f>
        <v>3.2450478843843999E-2</v>
      </c>
      <c r="J3" s="2">
        <f>(([2]Données!K5)/100)*-1</f>
        <v>3.4175766044356681E-2</v>
      </c>
      <c r="K3" s="2">
        <f>(([2]Données!L5)/100)*-1</f>
        <v>3.5806058245103856E-2</v>
      </c>
      <c r="L3" s="2">
        <f>(([2]Données!M5)/100)*-1</f>
        <v>3.8317865579032384E-2</v>
      </c>
      <c r="M3" s="2">
        <f>(([2]Données!N5)/100)*-1</f>
        <v>3.9401504124790709E-2</v>
      </c>
      <c r="N3" s="2">
        <f>(([2]Données!O5)/100)*-1</f>
        <v>4.0361895698596717E-2</v>
      </c>
      <c r="O3" s="2">
        <f>(([2]Données!P5)/100)*-1</f>
        <v>4.1204463998199437E-2</v>
      </c>
      <c r="P3" s="2">
        <f>(([2]Données!Q5)/100)*-1</f>
        <v>4.1958141290400326E-2</v>
      </c>
      <c r="Q3" s="2">
        <f>(([2]Données!R5)/100)*-1</f>
        <v>4.2649961126306819E-2</v>
      </c>
      <c r="R3" s="2">
        <f>(([2]Données!S5)/100)*-1</f>
        <v>4.3348570228646688E-2</v>
      </c>
      <c r="S3" s="2">
        <f>(([2]Données!T5)/100)*-1</f>
        <v>4.4036672055925541E-2</v>
      </c>
      <c r="T3" s="2">
        <f>(([2]Données!U5)/100)*-1</f>
        <v>4.472892175080679E-2</v>
      </c>
      <c r="U3" s="2">
        <f>(([2]Données!V5)/100)*-1</f>
        <v>4.5435752297462988E-2</v>
      </c>
      <c r="V3" s="2">
        <f>(([2]Données!W5)/100)*-1</f>
        <v>4.6166841961263645E-2</v>
      </c>
      <c r="W3" s="2">
        <f>(([2]Données!X5)/100)*-1</f>
        <v>4.6920146370500133E-2</v>
      </c>
      <c r="X3" s="2">
        <f>(([2]Données!Y5)/100)*-1</f>
        <v>4.7700386101506842E-2</v>
      </c>
      <c r="Y3" s="2">
        <f>(([2]Données!Z5)/100)*-1</f>
        <v>4.8508636134620635E-2</v>
      </c>
      <c r="Z3" s="2">
        <f>(([2]Données!AA5)/100)*-1</f>
        <v>4.9343774287709079E-2</v>
      </c>
      <c r="AA3" s="2">
        <f>(([2]Données!AB5)/100)*-1</f>
        <v>5.0208240339022048E-2</v>
      </c>
      <c r="AB3" s="2">
        <f>(([2]Données!AC5)/100)*-1</f>
        <v>5.1069629307100135E-2</v>
      </c>
      <c r="AC3" s="2">
        <f>(([2]Données!AD5)/100)*-1</f>
        <v>5.1941904606602529E-2</v>
      </c>
      <c r="AD3" s="2">
        <f>(([2]Données!AE5)/100)*-1</f>
        <v>5.2823596780353095E-2</v>
      </c>
      <c r="AE3" s="2">
        <f>(([2]Données!AF5)/100)*-1</f>
        <v>5.37130422710047E-2</v>
      </c>
      <c r="AF3" s="2">
        <f>(([2]Données!AG5)/100)*-1</f>
        <v>5.4608243916526966E-2</v>
      </c>
      <c r="AG3" s="2">
        <f>(([2]Données!AH5)/100)*-1</f>
        <v>5.5496192249441023E-2</v>
      </c>
      <c r="AH3" s="2">
        <f>(([2]Données!AI5)/100)*-1</f>
        <v>5.6383436484206066E-2</v>
      </c>
      <c r="AI3" s="2">
        <f>(([2]Données!AJ5)/100)*-1</f>
        <v>5.726834401942426E-2</v>
      </c>
      <c r="AJ3" s="2">
        <f>(([2]Données!AK5)/100)*-1</f>
        <v>5.8149718869707101E-2</v>
      </c>
      <c r="AK3" s="2">
        <f>(([2]Données!AL5)/100)*-1</f>
        <v>5.9026601997417154E-2</v>
      </c>
      <c r="AL3" s="2">
        <f>(([2]Données!AM5)/100)*-1</f>
        <v>5.9802895418140878E-2</v>
      </c>
      <c r="AM3" s="2">
        <f>(([2]Données!AN5)/100)*-1</f>
        <v>6.0555320304058302E-2</v>
      </c>
      <c r="AN3" s="2">
        <f>(([2]Données!AO5)/100)*-1</f>
        <v>6.1285910820933938E-2</v>
      </c>
      <c r="AO3" s="2">
        <f>(([2]Données!AP5)/100)*-1</f>
        <v>6.1999209769188039E-2</v>
      </c>
      <c r="AP3" s="2">
        <f>(([2]Données!AQ5)/100)*-1</f>
        <v>6.2699584064028979E-2</v>
      </c>
      <c r="AQ3" s="2">
        <f>(([2]Données!AR5)/100)*-1</f>
        <v>6.3375430839892166E-2</v>
      </c>
      <c r="AR3" s="2">
        <f>(([2]Données!AS5)/100)*-1</f>
        <v>6.4041984514666583E-2</v>
      </c>
      <c r="AS3" s="2">
        <f>(([2]Données!AT5)/100)*-1</f>
        <v>6.4702120871606761E-2</v>
      </c>
      <c r="AT3" s="2">
        <f>(([2]Données!AU5)/100)*-1</f>
        <v>6.5358501296639782E-2</v>
      </c>
      <c r="AU3" s="2">
        <f>(([2]Données!AV5)/100)*-1</f>
        <v>6.6013343336437047E-2</v>
      </c>
      <c r="AV3" s="2">
        <f>(([2]Données!AW5)/100)*-1</f>
        <v>6.6617208449575416E-2</v>
      </c>
      <c r="AW3" s="2">
        <f>(([2]Données!AX5)/100)*-1</f>
        <v>6.7212787141227692E-2</v>
      </c>
      <c r="AX3" s="2">
        <f>(([2]Données!AY5)/100)*-1</f>
        <v>6.7803179119039103E-2</v>
      </c>
      <c r="AY3" s="2">
        <f>(([2]Données!AZ5)/100)*-1</f>
        <v>6.8391735845303669E-2</v>
      </c>
      <c r="AZ3" s="4">
        <f>(([2]Données!BA5)/100)*-1</f>
        <v>6.8981230170323315E-2</v>
      </c>
    </row>
    <row r="4" spans="1:52" x14ac:dyDescent="0.35">
      <c r="A4" t="s">
        <v>4</v>
      </c>
      <c r="B4" s="2">
        <f>([4]Données!C5/100)*-1</f>
        <v>1.3878691631188045E-2</v>
      </c>
      <c r="C4" s="2">
        <f>([4]Données!D5/100)*-1</f>
        <v>1.7559281802439597E-2</v>
      </c>
      <c r="D4" s="2">
        <f>([4]Données!E5/100)*-1</f>
        <v>2.0978964251628707E-2</v>
      </c>
      <c r="E4" s="2">
        <f>([4]Données!F5/100)*-1</f>
        <v>2.3943565545859302E-2</v>
      </c>
      <c r="F4" s="2">
        <f>([4]Données!G5/100)*-1</f>
        <v>2.6519237112783922E-2</v>
      </c>
      <c r="G4" s="2">
        <f>([4]Données!H5/100)*-1</f>
        <v>2.8791977291766524E-2</v>
      </c>
      <c r="H4" s="2">
        <f>([4]Données!I5/100)*-1</f>
        <v>3.0856349330678157E-2</v>
      </c>
      <c r="I4" s="2">
        <f>([4]Données!J5/100)*-1</f>
        <v>3.2749100713291068E-2</v>
      </c>
      <c r="J4" s="2">
        <f>([4]Données!K5/100)*-1</f>
        <v>3.4513576987399319E-2</v>
      </c>
      <c r="K4" s="2">
        <f>([4]Données!L5/100)*-1</f>
        <v>3.6186215870805505E-2</v>
      </c>
      <c r="L4" s="2">
        <f>([4]Données!M5/100)*-1</f>
        <v>3.8740905187216068E-2</v>
      </c>
      <c r="M4" s="2">
        <f>([4]Données!N5/100)*-1</f>
        <v>3.9869778110010246E-2</v>
      </c>
      <c r="N4" s="2">
        <f>([4]Données!O5/100)*-1</f>
        <v>4.0876115109099394E-2</v>
      </c>
      <c r="O4" s="2">
        <f>([4]Données!P5/100)*-1</f>
        <v>4.1764905258227521E-2</v>
      </c>
      <c r="P4" s="2">
        <f>([4]Données!Q5/100)*-1</f>
        <v>4.2564986174724047E-2</v>
      </c>
      <c r="Q4" s="2">
        <f>([4]Données!R5/100)*-1</f>
        <v>4.3303613971335524E-2</v>
      </c>
      <c r="R4" s="2">
        <f>([4]Données!S5/100)*-1</f>
        <v>4.4050947454435378E-2</v>
      </c>
      <c r="S4" s="2">
        <f>([4]Données!T5/100)*-1</f>
        <v>4.4790098408092671E-2</v>
      </c>
      <c r="T4" s="2">
        <f>([4]Données!U5/100)*-1</f>
        <v>4.5535606178811354E-2</v>
      </c>
      <c r="U4" s="2">
        <f>([4]Données!V5/100)*-1</f>
        <v>4.6297766233334044E-2</v>
      </c>
      <c r="V4" s="2">
        <f>([4]Données!W5/100)*-1</f>
        <v>4.708616376197073E-2</v>
      </c>
      <c r="W4" s="2">
        <f>([4]Données!X5/100)*-1</f>
        <v>4.7898956513363282E-2</v>
      </c>
      <c r="X4" s="2">
        <f>([4]Données!Y5/100)*-1</f>
        <v>4.8740905676174284E-2</v>
      </c>
      <c r="Y4" s="2">
        <f>([4]Données!Z5/100)*-1</f>
        <v>4.9613142198050471E-2</v>
      </c>
      <c r="Z4" s="2">
        <f>([4]Données!AA5/100)*-1</f>
        <v>5.0514570982640006E-2</v>
      </c>
      <c r="AA4" s="2">
        <f>([4]Données!AB5/100)*-1</f>
        <v>5.1447338143938204E-2</v>
      </c>
      <c r="AB4" s="2">
        <f>([4]Données!AC5/100)*-1</f>
        <v>5.2378674530835771E-2</v>
      </c>
      <c r="AC4" s="2">
        <f>([4]Données!AD5/100)*-1</f>
        <v>5.3322364854814792E-2</v>
      </c>
      <c r="AD4" s="2">
        <f>([4]Données!AE5/100)*-1</f>
        <v>5.4277070818575357E-2</v>
      </c>
      <c r="AE4" s="2">
        <f>([4]Données!AF5/100)*-1</f>
        <v>5.5241238806707837E-2</v>
      </c>
      <c r="AF4" s="2">
        <f>([4]Données!AG5/100)*-1</f>
        <v>5.6212870882486277E-2</v>
      </c>
      <c r="AG4" s="2">
        <f>([4]Données!AH5/100)*-1</f>
        <v>5.7178485260679042E-2</v>
      </c>
      <c r="AH4" s="2">
        <f>([4]Données!AI5/100)*-1</f>
        <v>5.8144543086482321E-2</v>
      </c>
      <c r="AI4" s="2">
        <f>([4]Données!AJ5/100)*-1</f>
        <v>5.9109497872461558E-2</v>
      </c>
      <c r="AJ4" s="2">
        <f>([4]Données!AK5/100)*-1</f>
        <v>6.0072231699979002E-2</v>
      </c>
      <c r="AK4" s="2">
        <f>([4]Données!AL5/100)*-1</f>
        <v>6.1031818886015721E-2</v>
      </c>
      <c r="AL4" s="2">
        <f>([4]Données!AM5/100)*-1</f>
        <v>6.1888335406893091E-2</v>
      </c>
      <c r="AM4" s="2">
        <f>([4]Données!AN5/100)*-1</f>
        <v>6.2718617874111593E-2</v>
      </c>
      <c r="AN4" s="2">
        <f>([4]Données!AO5/100)*-1</f>
        <v>6.3526479659515078E-2</v>
      </c>
      <c r="AO4" s="2">
        <f>([4]Données!AP5/100)*-1</f>
        <v>6.4317838171561115E-2</v>
      </c>
      <c r="AP4" s="2">
        <f>([4]Données!AQ5/100)*-1</f>
        <v>6.5097582722041247E-2</v>
      </c>
      <c r="AQ4" s="2">
        <f>([4]Données!AR5/100)*-1</f>
        <v>6.5853359230707564E-2</v>
      </c>
      <c r="AR4" s="2">
        <f>([4]Données!AS5/100)*-1</f>
        <v>6.6600018684073614E-2</v>
      </c>
      <c r="AS4" s="2">
        <f>([4]Données!AT5/100)*-1</f>
        <v>6.7340376702999083E-2</v>
      </c>
      <c r="AT4" s="2">
        <f>([4]Données!AU5/100)*-1</f>
        <v>6.8077123355999802E-2</v>
      </c>
      <c r="AU4" s="2">
        <f>([4]Données!AV5/100)*-1</f>
        <v>6.8812529999116245E-2</v>
      </c>
      <c r="AV4" s="2">
        <f>([4]Données!AW5/100)*-1</f>
        <v>6.949499281721061E-2</v>
      </c>
      <c r="AW4" s="2">
        <f>([4]Données!AX5/100)*-1</f>
        <v>7.0167271114814467E-2</v>
      </c>
      <c r="AX4" s="2">
        <f>([4]Données!AY5/100)*-1</f>
        <v>7.0833702468528825E-2</v>
      </c>
      <c r="AY4" s="2">
        <f>([4]Données!AZ5/100)*-1</f>
        <v>7.1498659147384402E-2</v>
      </c>
      <c r="AZ4" s="4">
        <f>([4]Données!BA5/100)*-1</f>
        <v>7.2165396597219655E-2</v>
      </c>
    </row>
    <row r="5" spans="1:52" x14ac:dyDescent="0.35">
      <c r="A5" t="s">
        <v>0</v>
      </c>
      <c r="B5" s="2">
        <f>(([3]Données!C5)/100)*-1</f>
        <v>1.3806021979057337E-2</v>
      </c>
      <c r="C5" s="2">
        <f>(([3]Données!D5)/100)*-1</f>
        <v>1.7480486286687191E-2</v>
      </c>
      <c r="D5" s="2">
        <f>(([3]Données!E5)/100)*-1</f>
        <v>2.0891661472786871E-2</v>
      </c>
      <c r="E5" s="2">
        <f>(([3]Données!F5)/100)*-1</f>
        <v>2.3845793038393404E-2</v>
      </c>
      <c r="F5" s="2">
        <f>(([3]Données!G5)/100)*-1</f>
        <v>2.641080340774693E-2</v>
      </c>
      <c r="G5" s="2">
        <f>(([3]Données!H5)/100)*-1</f>
        <v>2.8674419026982645E-2</v>
      </c>
      <c r="H5" s="2">
        <f>(([3]Données!I5)/100)*-1</f>
        <v>3.0732049106733994E-2</v>
      </c>
      <c r="I5" s="2">
        <f>(([3]Données!J5)/100)*-1</f>
        <v>3.2620496645927366E-2</v>
      </c>
      <c r="J5" s="2">
        <f>(([3]Données!K5)/100)*-1</f>
        <v>3.4382447698241725E-2</v>
      </c>
      <c r="K5" s="2">
        <f>(([3]Données!L5)/100)*-1</f>
        <v>3.6053091816805383E-2</v>
      </c>
      <c r="L5" s="2">
        <f>(([3]Données!M5)/100)*-1</f>
        <v>3.8605332841323614E-2</v>
      </c>
      <c r="M5" s="2">
        <f>(([3]Données!N5)/100)*-1</f>
        <v>3.9729931402567087E-2</v>
      </c>
      <c r="N5" s="2">
        <f>(([3]Données!O5)/100)*-1</f>
        <v>4.0730645930684206E-2</v>
      </c>
      <c r="O5" s="2">
        <f>(([3]Données!P5)/100)*-1</f>
        <v>4.1612842658112159E-2</v>
      </c>
      <c r="P5" s="2">
        <f>(([3]Données!Q5)/100)*-1</f>
        <v>4.2405890614810919E-2</v>
      </c>
      <c r="Q5" s="2">
        <f>(([3]Données!R5)/100)*-1</f>
        <v>4.3137536103815766E-2</v>
      </c>
      <c r="R5" s="2">
        <f>(([3]Données!S5)/100)*-1</f>
        <v>4.3878096041695895E-2</v>
      </c>
      <c r="S5" s="2">
        <f>(([3]Données!T5)/100)*-1</f>
        <v>4.461106315736741E-2</v>
      </c>
      <c r="T5" s="2">
        <f>(([3]Données!U5)/100)*-1</f>
        <v>4.5351085377838496E-2</v>
      </c>
      <c r="U5" s="2">
        <f>(([3]Données!V5)/100)*-1</f>
        <v>4.6108494006062199E-2</v>
      </c>
      <c r="V5" s="2">
        <f>(([3]Données!W5)/100)*-1</f>
        <v>4.6892738198556883E-2</v>
      </c>
      <c r="W5" s="2">
        <f>(([3]Données!X5)/100)*-1</f>
        <v>4.7702100401025509E-2</v>
      </c>
      <c r="X5" s="2">
        <f>(([3]Données!Y5)/100)*-1</f>
        <v>4.8541150572132159E-2</v>
      </c>
      <c r="Y5" s="2">
        <f>(([3]Données!Z5)/100)*-1</f>
        <v>4.941090213409572E-2</v>
      </c>
      <c r="Z5" s="2">
        <f>(([3]Données!AA5)/100)*-1</f>
        <v>5.0310152897432465E-2</v>
      </c>
      <c r="AA5" s="2">
        <f>(([3]Données!AB5)/100)*-1</f>
        <v>5.1240634534562846E-2</v>
      </c>
      <c r="AB5" s="2">
        <f>(([3]Données!AC5)/100)*-1</f>
        <v>5.2170075163591401E-2</v>
      </c>
      <c r="AC5" s="2">
        <f>(([3]Données!AD5)/100)*-1</f>
        <v>5.3111987688361124E-2</v>
      </c>
      <c r="AD5" s="2">
        <f>(([3]Données!AE5)/100)*-1</f>
        <v>5.4064971725801936E-2</v>
      </c>
      <c r="AE5" s="2">
        <f>(([3]Données!AF5)/100)*-1</f>
        <v>5.502742944986528E-2</v>
      </c>
      <c r="AF5" s="2">
        <f>(([3]Données!AG5)/100)*-1</f>
        <v>5.5997344016054162E-2</v>
      </c>
      <c r="AG5" s="2">
        <f>(([3]Données!AH5)/100)*-1</f>
        <v>5.6961288349583583E-2</v>
      </c>
      <c r="AH5" s="2">
        <f>(([3]Données!AI5)/100)*-1</f>
        <v>5.7925701399403451E-2</v>
      </c>
      <c r="AI5" s="2">
        <f>(([3]Données!AJ5)/100)*-1</f>
        <v>5.8889061572018238E-2</v>
      </c>
      <c r="AJ5" s="2">
        <f>(([3]Données!AK5)/100)*-1</f>
        <v>5.9850274064450752E-2</v>
      </c>
      <c r="AK5" s="2">
        <f>(([3]Données!AL5)/100)*-1</f>
        <v>6.0808439463491348E-2</v>
      </c>
      <c r="AL5" s="2">
        <f>(([3]Données!AM5)/100)*-1</f>
        <v>6.1664061587992425E-2</v>
      </c>
      <c r="AM5" s="2">
        <f>(([3]Données!AN5)/100)*-1</f>
        <v>6.2493723799826102E-2</v>
      </c>
      <c r="AN5" s="2">
        <f>(([3]Données!AO5)/100)*-1</f>
        <v>6.3301235386888588E-2</v>
      </c>
      <c r="AO5" s="2">
        <f>(([3]Données!AP5)/100)*-1</f>
        <v>6.4092469543638786E-2</v>
      </c>
      <c r="AP5" s="2">
        <f>(([3]Données!AQ5)/100)*-1</f>
        <v>6.4872276706564036E-2</v>
      </c>
      <c r="AQ5" s="2">
        <f>(([3]Données!AR5)/100)*-1</f>
        <v>6.5628351790368078E-2</v>
      </c>
      <c r="AR5" s="2">
        <f>(([3]Données!AS5)/100)*-1</f>
        <v>6.6375475313916299E-2</v>
      </c>
      <c r="AS5" s="2">
        <f>(([3]Données!AT5)/100)*-1</f>
        <v>6.7116454172487572E-2</v>
      </c>
      <c r="AT5" s="2">
        <f>(([3]Données!AU5)/100)*-1</f>
        <v>6.7853971166916494E-2</v>
      </c>
      <c r="AU5" s="2">
        <f>(([3]Données!AV5)/100)*-1</f>
        <v>6.859029758116808E-2</v>
      </c>
      <c r="AV5" s="2">
        <f>(([3]Données!AW5)/100)*-1</f>
        <v>6.9274087709707666E-2</v>
      </c>
      <c r="AW5" s="2">
        <f>(([3]Données!AX5)/100)*-1</f>
        <v>6.9947916420658562E-2</v>
      </c>
      <c r="AX5" s="2">
        <f>(([3]Données!AY5)/100)*-1</f>
        <v>7.0616110227255446E-2</v>
      </c>
      <c r="AY5" s="2">
        <f>(([3]Données!AZ5)/100)*-1</f>
        <v>7.1283018366647188E-2</v>
      </c>
      <c r="AZ5" s="4">
        <f>(([3]Données!BA5)/100)*-1</f>
        <v>7.1951879397782914E-2</v>
      </c>
    </row>
    <row r="7" spans="1:52" x14ac:dyDescent="0.35">
      <c r="B7" s="1">
        <f>B1</f>
        <v>42005</v>
      </c>
      <c r="C7" s="1">
        <f t="shared" ref="C7:AZ7" si="0">C1</f>
        <v>42370</v>
      </c>
      <c r="D7" s="1">
        <f t="shared" si="0"/>
        <v>42736</v>
      </c>
      <c r="E7" s="1">
        <f t="shared" si="0"/>
        <v>43101</v>
      </c>
      <c r="F7" s="1">
        <f t="shared" si="0"/>
        <v>43466</v>
      </c>
      <c r="G7" s="1">
        <f t="shared" si="0"/>
        <v>43831</v>
      </c>
      <c r="H7" s="1">
        <f t="shared" si="0"/>
        <v>44197</v>
      </c>
      <c r="I7" s="1">
        <f t="shared" si="0"/>
        <v>44562</v>
      </c>
      <c r="J7" s="1">
        <f t="shared" si="0"/>
        <v>44927</v>
      </c>
      <c r="K7" s="1">
        <f t="shared" si="0"/>
        <v>45292</v>
      </c>
      <c r="L7" s="1">
        <f t="shared" si="0"/>
        <v>45658</v>
      </c>
      <c r="M7" s="1">
        <f t="shared" si="0"/>
        <v>46023</v>
      </c>
      <c r="N7" s="1">
        <f t="shared" si="0"/>
        <v>46388</v>
      </c>
      <c r="O7" s="1">
        <f t="shared" si="0"/>
        <v>46753</v>
      </c>
      <c r="P7" s="1">
        <f t="shared" si="0"/>
        <v>47119</v>
      </c>
      <c r="Q7" s="1">
        <f t="shared" si="0"/>
        <v>47484</v>
      </c>
      <c r="R7" s="1">
        <f t="shared" si="0"/>
        <v>47849</v>
      </c>
      <c r="S7" s="1">
        <f t="shared" si="0"/>
        <v>48214</v>
      </c>
      <c r="T7" s="1">
        <f t="shared" si="0"/>
        <v>48580</v>
      </c>
      <c r="U7" s="1">
        <f t="shared" si="0"/>
        <v>48945</v>
      </c>
      <c r="V7" s="1">
        <f t="shared" si="0"/>
        <v>49310</v>
      </c>
      <c r="W7" s="1">
        <f t="shared" si="0"/>
        <v>49675</v>
      </c>
      <c r="X7" s="1">
        <f t="shared" si="0"/>
        <v>50041</v>
      </c>
      <c r="Y7" s="1">
        <f t="shared" si="0"/>
        <v>50406</v>
      </c>
      <c r="Z7" s="1">
        <f t="shared" si="0"/>
        <v>50771</v>
      </c>
      <c r="AA7" s="1">
        <f t="shared" si="0"/>
        <v>51136</v>
      </c>
      <c r="AB7" s="1">
        <f t="shared" si="0"/>
        <v>51502</v>
      </c>
      <c r="AC7" s="1">
        <f t="shared" si="0"/>
        <v>51867</v>
      </c>
      <c r="AD7" s="1">
        <f t="shared" si="0"/>
        <v>52232</v>
      </c>
      <c r="AE7" s="1">
        <f t="shared" si="0"/>
        <v>52597</v>
      </c>
      <c r="AF7" s="1">
        <f t="shared" si="0"/>
        <v>52963</v>
      </c>
      <c r="AG7" s="1">
        <f t="shared" si="0"/>
        <v>53328</v>
      </c>
      <c r="AH7" s="1">
        <f t="shared" si="0"/>
        <v>53693</v>
      </c>
      <c r="AI7" s="1">
        <f t="shared" si="0"/>
        <v>54058</v>
      </c>
      <c r="AJ7" s="1">
        <f t="shared" si="0"/>
        <v>54424</v>
      </c>
      <c r="AK7" s="1">
        <f t="shared" si="0"/>
        <v>54789</v>
      </c>
      <c r="AL7" s="1">
        <f t="shared" si="0"/>
        <v>55154</v>
      </c>
      <c r="AM7" s="1">
        <f t="shared" si="0"/>
        <v>55519</v>
      </c>
      <c r="AN7" s="1">
        <f t="shared" si="0"/>
        <v>55885</v>
      </c>
      <c r="AO7" s="1">
        <f t="shared" si="0"/>
        <v>56250</v>
      </c>
      <c r="AP7" s="1">
        <f t="shared" si="0"/>
        <v>56615</v>
      </c>
      <c r="AQ7" s="1">
        <f t="shared" si="0"/>
        <v>56980</v>
      </c>
      <c r="AR7" s="1">
        <f t="shared" si="0"/>
        <v>57346</v>
      </c>
      <c r="AS7" s="1">
        <f t="shared" si="0"/>
        <v>57711</v>
      </c>
      <c r="AT7" s="1">
        <f t="shared" si="0"/>
        <v>58076</v>
      </c>
      <c r="AU7" s="1">
        <f t="shared" si="0"/>
        <v>58441</v>
      </c>
      <c r="AV7" s="1">
        <f t="shared" si="0"/>
        <v>58807</v>
      </c>
      <c r="AW7" s="1">
        <f t="shared" si="0"/>
        <v>59172</v>
      </c>
      <c r="AX7" s="1">
        <f t="shared" si="0"/>
        <v>59537</v>
      </c>
      <c r="AY7" s="1">
        <f t="shared" si="0"/>
        <v>59902</v>
      </c>
      <c r="AZ7" s="1">
        <f t="shared" si="0"/>
        <v>60268</v>
      </c>
    </row>
    <row r="8" spans="1:52" x14ac:dyDescent="0.35">
      <c r="A8" t="s">
        <v>1</v>
      </c>
      <c r="B8" s="3">
        <f>B2</f>
        <v>1.3538601712600906E-2</v>
      </c>
      <c r="C8" s="3">
        <f t="shared" ref="C8:AZ8" si="1">C2</f>
        <v>1.6912679139984843E-2</v>
      </c>
      <c r="D8" s="3">
        <f t="shared" si="1"/>
        <v>2.0115560050032899E-2</v>
      </c>
      <c r="E8" s="3">
        <f t="shared" si="1"/>
        <v>2.2943774039713705E-2</v>
      </c>
      <c r="F8" s="3">
        <f t="shared" si="1"/>
        <v>2.5425308096377663E-2</v>
      </c>
      <c r="G8" s="3">
        <f t="shared" si="1"/>
        <v>2.7611418605846372E-2</v>
      </c>
      <c r="H8" s="3">
        <f t="shared" si="1"/>
        <v>2.9576927112697438E-2</v>
      </c>
      <c r="I8" s="3">
        <f t="shared" si="1"/>
        <v>3.1353239073615535E-2</v>
      </c>
      <c r="J8" s="3">
        <f t="shared" si="1"/>
        <v>3.2985843392642766E-2</v>
      </c>
      <c r="K8" s="3">
        <f t="shared" si="1"/>
        <v>3.4516237501799885E-2</v>
      </c>
      <c r="L8" s="3">
        <f t="shared" si="1"/>
        <v>3.6927247035058564E-2</v>
      </c>
      <c r="M8" s="3">
        <f t="shared" si="1"/>
        <v>3.7901004681047845E-2</v>
      </c>
      <c r="N8" s="3">
        <f t="shared" si="1"/>
        <v>3.8748605891280929E-2</v>
      </c>
      <c r="O8" s="3">
        <f t="shared" si="1"/>
        <v>3.9477051314678935E-2</v>
      </c>
      <c r="P8" s="3">
        <f t="shared" si="1"/>
        <v>4.0116488877360634E-2</v>
      </c>
      <c r="Q8" s="3">
        <f t="shared" si="1"/>
        <v>4.0694640941231978E-2</v>
      </c>
      <c r="R8" s="3">
        <f t="shared" si="1"/>
        <v>4.1277964002331198E-2</v>
      </c>
      <c r="S8" s="3">
        <f t="shared" si="1"/>
        <v>4.1849741026071745E-2</v>
      </c>
      <c r="T8" s="3">
        <f t="shared" si="1"/>
        <v>4.2425458296820991E-2</v>
      </c>
      <c r="U8" s="3">
        <f t="shared" si="1"/>
        <v>4.3016340742832782E-2</v>
      </c>
      <c r="V8" s="3">
        <f t="shared" si="1"/>
        <v>4.3633104309372284E-2</v>
      </c>
      <c r="W8" s="3">
        <f t="shared" si="1"/>
        <v>4.427314031618601E-2</v>
      </c>
      <c r="X8" s="3">
        <f t="shared" si="1"/>
        <v>4.4941592404026176E-2</v>
      </c>
      <c r="Y8" s="3">
        <f t="shared" si="1"/>
        <v>4.563947337910957E-2</v>
      </c>
      <c r="Z8" s="3">
        <f t="shared" si="1"/>
        <v>4.6365522950460585E-2</v>
      </c>
      <c r="AA8" s="3">
        <f t="shared" si="1"/>
        <v>4.7123697653551948E-2</v>
      </c>
      <c r="AB8" s="3">
        <f t="shared" si="1"/>
        <v>4.788032119780028E-2</v>
      </c>
      <c r="AC8" s="3">
        <f t="shared" si="1"/>
        <v>4.8649621572917197E-2</v>
      </c>
      <c r="AD8" s="3">
        <f t="shared" si="1"/>
        <v>4.9429610515789646E-2</v>
      </c>
      <c r="AE8" s="3">
        <f t="shared" si="1"/>
        <v>5.0218084317584018E-2</v>
      </c>
      <c r="AF8" s="3">
        <f t="shared" si="1"/>
        <v>5.1012621214923663E-2</v>
      </c>
      <c r="AG8" s="3">
        <f t="shared" si="1"/>
        <v>5.1800471640880197E-2</v>
      </c>
      <c r="AH8" s="3">
        <f t="shared" si="1"/>
        <v>5.2587995224248063E-2</v>
      </c>
      <c r="AI8" s="3">
        <f t="shared" si="1"/>
        <v>5.337331162577863E-2</v>
      </c>
      <c r="AJ8" s="3">
        <f t="shared" si="1"/>
        <v>5.4154996240649018E-2</v>
      </c>
      <c r="AK8" s="3">
        <f t="shared" si="1"/>
        <v>5.4931913241978665E-2</v>
      </c>
      <c r="AL8" s="3">
        <f t="shared" si="1"/>
        <v>5.5612806592488247E-2</v>
      </c>
      <c r="AM8" s="3">
        <f t="shared" si="1"/>
        <v>5.6273572035804416E-2</v>
      </c>
      <c r="AN8" s="3">
        <f t="shared" si="1"/>
        <v>5.6914643529708646E-2</v>
      </c>
      <c r="AO8" s="3">
        <f t="shared" si="1"/>
        <v>5.753897634474104E-2</v>
      </c>
      <c r="AP8" s="3">
        <f t="shared" si="1"/>
        <v>5.8149801082812758E-2</v>
      </c>
      <c r="AQ8" s="3">
        <f t="shared" si="1"/>
        <v>5.8735596987392939E-2</v>
      </c>
      <c r="AR8" s="3">
        <f t="shared" si="1"/>
        <v>5.9311343796265348E-2</v>
      </c>
      <c r="AS8" s="3">
        <f t="shared" si="1"/>
        <v>5.9879563848025723E-2</v>
      </c>
      <c r="AT8" s="3">
        <f t="shared" si="1"/>
        <v>6.0442828733665251E-2</v>
      </c>
      <c r="AU8" s="3">
        <f t="shared" si="1"/>
        <v>6.1003296850866917E-2</v>
      </c>
      <c r="AV8" s="3">
        <f t="shared" si="1"/>
        <v>6.1513652453118454E-2</v>
      </c>
      <c r="AW8" s="3">
        <f t="shared" si="1"/>
        <v>6.2016559531788203E-2</v>
      </c>
      <c r="AX8" s="3">
        <f t="shared" si="1"/>
        <v>6.251429610217496E-2</v>
      </c>
      <c r="AY8" s="3">
        <f t="shared" si="1"/>
        <v>6.3009329761051225E-2</v>
      </c>
      <c r="AZ8" s="3">
        <f t="shared" si="1"/>
        <v>6.3503741189399388E-2</v>
      </c>
    </row>
    <row r="9" spans="1:52" x14ac:dyDescent="0.35">
      <c r="A9" t="s">
        <v>3</v>
      </c>
      <c r="B9" s="3">
        <f>B3-B2</f>
        <v>2.7840212279017784E-4</v>
      </c>
      <c r="C9" s="3">
        <f t="shared" ref="C9:AZ9" si="2">C3-C2</f>
        <v>5.224525962783666E-4</v>
      </c>
      <c r="D9" s="3">
        <f t="shared" si="2"/>
        <v>6.9534022194739364E-4</v>
      </c>
      <c r="E9" s="3">
        <f t="shared" si="2"/>
        <v>8.0445679314089524E-4</v>
      </c>
      <c r="F9" s="3">
        <f t="shared" si="2"/>
        <v>8.7831374153535258E-4</v>
      </c>
      <c r="G9" s="3">
        <f t="shared" si="2"/>
        <v>9.4332704387400934E-4</v>
      </c>
      <c r="H9" s="3">
        <f t="shared" si="2"/>
        <v>1.0147871066616965E-3</v>
      </c>
      <c r="I9" s="3">
        <f t="shared" si="2"/>
        <v>1.0972397702284642E-3</v>
      </c>
      <c r="J9" s="3">
        <f t="shared" si="2"/>
        <v>1.189922651713915E-3</v>
      </c>
      <c r="K9" s="3">
        <f t="shared" si="2"/>
        <v>1.289820743303971E-3</v>
      </c>
      <c r="L9" s="3">
        <f t="shared" si="2"/>
        <v>1.3906185439738206E-3</v>
      </c>
      <c r="M9" s="3">
        <f t="shared" si="2"/>
        <v>1.5004994437428643E-3</v>
      </c>
      <c r="N9" s="3">
        <f t="shared" si="2"/>
        <v>1.6132898073157875E-3</v>
      </c>
      <c r="O9" s="3">
        <f t="shared" si="2"/>
        <v>1.7274126835205017E-3</v>
      </c>
      <c r="P9" s="3">
        <f t="shared" si="2"/>
        <v>1.8416524130396919E-3</v>
      </c>
      <c r="Q9" s="3">
        <f t="shared" si="2"/>
        <v>1.9553201850748408E-3</v>
      </c>
      <c r="R9" s="3">
        <f t="shared" si="2"/>
        <v>2.0706062263154898E-3</v>
      </c>
      <c r="S9" s="3">
        <f t="shared" si="2"/>
        <v>2.1869310298537961E-3</v>
      </c>
      <c r="T9" s="3">
        <f t="shared" si="2"/>
        <v>2.303463453985799E-3</v>
      </c>
      <c r="U9" s="3">
        <f t="shared" si="2"/>
        <v>2.4194115546302061E-3</v>
      </c>
      <c r="V9" s="3">
        <f t="shared" si="2"/>
        <v>2.5337376518913615E-3</v>
      </c>
      <c r="W9" s="3">
        <f t="shared" si="2"/>
        <v>2.647006054314123E-3</v>
      </c>
      <c r="X9" s="3">
        <f t="shared" si="2"/>
        <v>2.7587936974806659E-3</v>
      </c>
      <c r="Y9" s="3">
        <f t="shared" si="2"/>
        <v>2.8691627555110649E-3</v>
      </c>
      <c r="Z9" s="3">
        <f t="shared" si="2"/>
        <v>2.9782513372484942E-3</v>
      </c>
      <c r="AA9" s="3">
        <f t="shared" si="2"/>
        <v>3.0845426854701E-3</v>
      </c>
      <c r="AB9" s="3">
        <f t="shared" si="2"/>
        <v>3.1893081092998557E-3</v>
      </c>
      <c r="AC9" s="3">
        <f t="shared" si="2"/>
        <v>3.2922830336853323E-3</v>
      </c>
      <c r="AD9" s="3">
        <f t="shared" si="2"/>
        <v>3.3939862645634492E-3</v>
      </c>
      <c r="AE9" s="3">
        <f t="shared" si="2"/>
        <v>3.4949579534206826E-3</v>
      </c>
      <c r="AF9" s="3">
        <f t="shared" si="2"/>
        <v>3.5956227016033029E-3</v>
      </c>
      <c r="AG9" s="3">
        <f t="shared" si="2"/>
        <v>3.6957206085608263E-3</v>
      </c>
      <c r="AH9" s="3">
        <f t="shared" si="2"/>
        <v>3.7954412599580031E-3</v>
      </c>
      <c r="AI9" s="3">
        <f t="shared" si="2"/>
        <v>3.8950323936456296E-3</v>
      </c>
      <c r="AJ9" s="3">
        <f t="shared" si="2"/>
        <v>3.9947226290580826E-3</v>
      </c>
      <c r="AK9" s="3">
        <f t="shared" si="2"/>
        <v>4.0946887554384886E-3</v>
      </c>
      <c r="AL9" s="3">
        <f t="shared" si="2"/>
        <v>4.1900888256526311E-3</v>
      </c>
      <c r="AM9" s="3">
        <f t="shared" si="2"/>
        <v>4.2817482682538863E-3</v>
      </c>
      <c r="AN9" s="3">
        <f t="shared" si="2"/>
        <v>4.371267291225292E-3</v>
      </c>
      <c r="AO9" s="3">
        <f t="shared" si="2"/>
        <v>4.4602334244469993E-3</v>
      </c>
      <c r="AP9" s="3">
        <f t="shared" si="2"/>
        <v>4.5497829812162216E-3</v>
      </c>
      <c r="AQ9" s="3">
        <f t="shared" si="2"/>
        <v>4.6398338524992269E-3</v>
      </c>
      <c r="AR9" s="3">
        <f t="shared" si="2"/>
        <v>4.7306407184012356E-3</v>
      </c>
      <c r="AS9" s="3">
        <f t="shared" si="2"/>
        <v>4.822557023581038E-3</v>
      </c>
      <c r="AT9" s="3">
        <f t="shared" si="2"/>
        <v>4.915672562974531E-3</v>
      </c>
      <c r="AU9" s="3">
        <f t="shared" si="2"/>
        <v>5.0100464855701299E-3</v>
      </c>
      <c r="AV9" s="3">
        <f t="shared" si="2"/>
        <v>5.1035559964569613E-3</v>
      </c>
      <c r="AW9" s="3">
        <f t="shared" si="2"/>
        <v>5.1962276094394896E-3</v>
      </c>
      <c r="AX9" s="3">
        <f t="shared" si="2"/>
        <v>5.2888830168641432E-3</v>
      </c>
      <c r="AY9" s="3">
        <f t="shared" si="2"/>
        <v>5.3824060842524446E-3</v>
      </c>
      <c r="AZ9" s="3">
        <f t="shared" si="2"/>
        <v>5.477488980923928E-3</v>
      </c>
    </row>
    <row r="10" spans="1:52" x14ac:dyDescent="0.35">
      <c r="A10" t="s">
        <v>4</v>
      </c>
      <c r="B10" s="3">
        <f>B4-B3</f>
        <v>6.168779579696082E-5</v>
      </c>
      <c r="C10" s="3">
        <f t="shared" ref="C10:AZ10" si="3">C4-C3</f>
        <v>1.2415006617638724E-4</v>
      </c>
      <c r="D10" s="3">
        <f t="shared" si="3"/>
        <v>1.6806397964841402E-4</v>
      </c>
      <c r="E10" s="3">
        <f t="shared" si="3"/>
        <v>1.9533471300470229E-4</v>
      </c>
      <c r="F10" s="3">
        <f t="shared" si="3"/>
        <v>2.1561527487090615E-4</v>
      </c>
      <c r="G10" s="3">
        <f t="shared" si="3"/>
        <v>2.3723164204614289E-4</v>
      </c>
      <c r="H10" s="3">
        <f t="shared" si="3"/>
        <v>2.6463511131902262E-4</v>
      </c>
      <c r="I10" s="3">
        <f t="shared" si="3"/>
        <v>2.9862186944706881E-4</v>
      </c>
      <c r="J10" s="3">
        <f t="shared" si="3"/>
        <v>3.3781094304263792E-4</v>
      </c>
      <c r="K10" s="3">
        <f t="shared" si="3"/>
        <v>3.8015762570164924E-4</v>
      </c>
      <c r="L10" s="3">
        <f t="shared" si="3"/>
        <v>4.2303960818368402E-4</v>
      </c>
      <c r="M10" s="3">
        <f t="shared" si="3"/>
        <v>4.6827398521953612E-4</v>
      </c>
      <c r="N10" s="3">
        <f t="shared" si="3"/>
        <v>5.1421941050267678E-4</v>
      </c>
      <c r="O10" s="3">
        <f t="shared" si="3"/>
        <v>5.604412600280842E-4</v>
      </c>
      <c r="P10" s="3">
        <f t="shared" si="3"/>
        <v>6.0684488432372063E-4</v>
      </c>
      <c r="Q10" s="3">
        <f t="shared" si="3"/>
        <v>6.5365284502870435E-4</v>
      </c>
      <c r="R10" s="3">
        <f t="shared" si="3"/>
        <v>7.0237722578869038E-4</v>
      </c>
      <c r="S10" s="3">
        <f t="shared" si="3"/>
        <v>7.5342635216713028E-4</v>
      </c>
      <c r="T10" s="3">
        <f t="shared" si="3"/>
        <v>8.066844280045643E-4</v>
      </c>
      <c r="U10" s="3">
        <f t="shared" si="3"/>
        <v>8.6201393587105601E-4</v>
      </c>
      <c r="V10" s="3">
        <f t="shared" si="3"/>
        <v>9.1932180070708469E-4</v>
      </c>
      <c r="W10" s="3">
        <f t="shared" si="3"/>
        <v>9.7881014286314849E-4</v>
      </c>
      <c r="X10" s="3">
        <f t="shared" si="3"/>
        <v>1.0405195746674423E-3</v>
      </c>
      <c r="Y10" s="3">
        <f t="shared" si="3"/>
        <v>1.1045060634298359E-3</v>
      </c>
      <c r="Z10" s="3">
        <f t="shared" si="3"/>
        <v>1.170796694930927E-3</v>
      </c>
      <c r="AA10" s="3">
        <f t="shared" si="3"/>
        <v>1.2390978049161561E-3</v>
      </c>
      <c r="AB10" s="3">
        <f t="shared" si="3"/>
        <v>1.3090452237356359E-3</v>
      </c>
      <c r="AC10" s="3">
        <f t="shared" si="3"/>
        <v>1.3804602482122633E-3</v>
      </c>
      <c r="AD10" s="3">
        <f t="shared" si="3"/>
        <v>1.4534740382222619E-3</v>
      </c>
      <c r="AE10" s="3">
        <f t="shared" si="3"/>
        <v>1.5281965357031371E-3</v>
      </c>
      <c r="AF10" s="3">
        <f t="shared" si="3"/>
        <v>1.6046269659593104E-3</v>
      </c>
      <c r="AG10" s="3">
        <f t="shared" si="3"/>
        <v>1.6822930112380188E-3</v>
      </c>
      <c r="AH10" s="3">
        <f t="shared" si="3"/>
        <v>1.761106602276255E-3</v>
      </c>
      <c r="AI10" s="3">
        <f t="shared" si="3"/>
        <v>1.8411538530372987E-3</v>
      </c>
      <c r="AJ10" s="3">
        <f t="shared" si="3"/>
        <v>1.9225128302719011E-3</v>
      </c>
      <c r="AK10" s="3">
        <f t="shared" si="3"/>
        <v>2.0052168885985669E-3</v>
      </c>
      <c r="AL10" s="3">
        <f t="shared" si="3"/>
        <v>2.0854399887522135E-3</v>
      </c>
      <c r="AM10" s="3">
        <f t="shared" si="3"/>
        <v>2.1632975700532908E-3</v>
      </c>
      <c r="AN10" s="3">
        <f t="shared" si="3"/>
        <v>2.2405688385811404E-3</v>
      </c>
      <c r="AO10" s="3">
        <f t="shared" si="3"/>
        <v>2.3186284023730755E-3</v>
      </c>
      <c r="AP10" s="3">
        <f t="shared" si="3"/>
        <v>2.3979986580122681E-3</v>
      </c>
      <c r="AQ10" s="3">
        <f t="shared" si="3"/>
        <v>2.4779283908153982E-3</v>
      </c>
      <c r="AR10" s="3">
        <f t="shared" si="3"/>
        <v>2.5580341694070308E-3</v>
      </c>
      <c r="AS10" s="3">
        <f t="shared" si="3"/>
        <v>2.6382558313923221E-3</v>
      </c>
      <c r="AT10" s="3">
        <f t="shared" si="3"/>
        <v>2.7186220593600208E-3</v>
      </c>
      <c r="AU10" s="3">
        <f t="shared" si="3"/>
        <v>2.7991866626791984E-3</v>
      </c>
      <c r="AV10" s="3">
        <f t="shared" si="3"/>
        <v>2.8777843676351944E-3</v>
      </c>
      <c r="AW10" s="3">
        <f t="shared" si="3"/>
        <v>2.9544839735867745E-3</v>
      </c>
      <c r="AX10" s="3">
        <f t="shared" si="3"/>
        <v>3.0305233494897221E-3</v>
      </c>
      <c r="AY10" s="3">
        <f t="shared" si="3"/>
        <v>3.106923302080733E-3</v>
      </c>
      <c r="AZ10" s="3">
        <f t="shared" si="3"/>
        <v>3.1841664268963399E-3</v>
      </c>
    </row>
    <row r="11" spans="1:52" x14ac:dyDescent="0.35">
      <c r="A11" t="s">
        <v>2</v>
      </c>
      <c r="B11" s="3">
        <f>B5-B4</f>
        <v>-7.2669652130707973E-5</v>
      </c>
      <c r="C11" s="3">
        <f t="shared" ref="C11:AZ11" si="4">C5-C4</f>
        <v>-7.879551575240562E-5</v>
      </c>
      <c r="D11" s="3">
        <f t="shared" si="4"/>
        <v>-8.7302778841835682E-5</v>
      </c>
      <c r="E11" s="3">
        <f t="shared" si="4"/>
        <v>-9.7772507465898606E-5</v>
      </c>
      <c r="F11" s="3">
        <f t="shared" si="4"/>
        <v>-1.0843370503699212E-4</v>
      </c>
      <c r="G11" s="3">
        <f t="shared" si="4"/>
        <v>-1.175582647838791E-4</v>
      </c>
      <c r="H11" s="3">
        <f t="shared" si="4"/>
        <v>-1.2430022394416262E-4</v>
      </c>
      <c r="I11" s="3">
        <f t="shared" si="4"/>
        <v>-1.2860406736370233E-4</v>
      </c>
      <c r="J11" s="3">
        <f t="shared" si="4"/>
        <v>-1.3112928915759436E-4</v>
      </c>
      <c r="K11" s="3">
        <f t="shared" si="4"/>
        <v>-1.3312405400012217E-4</v>
      </c>
      <c r="L11" s="3">
        <f t="shared" si="4"/>
        <v>-1.3557234589245404E-4</v>
      </c>
      <c r="M11" s="3">
        <f t="shared" si="4"/>
        <v>-1.3984670744315864E-4</v>
      </c>
      <c r="N11" s="3">
        <f t="shared" si="4"/>
        <v>-1.4546917841518764E-4</v>
      </c>
      <c r="O11" s="3">
        <f t="shared" si="4"/>
        <v>-1.520626001153616E-4</v>
      </c>
      <c r="P11" s="3">
        <f t="shared" si="4"/>
        <v>-1.5909555991312774E-4</v>
      </c>
      <c r="Q11" s="3">
        <f t="shared" si="4"/>
        <v>-1.66077867519758E-4</v>
      </c>
      <c r="R11" s="3">
        <f t="shared" si="4"/>
        <v>-1.7285141273948312E-4</v>
      </c>
      <c r="S11" s="3">
        <f t="shared" si="4"/>
        <v>-1.79035250725261E-4</v>
      </c>
      <c r="T11" s="3">
        <f t="shared" si="4"/>
        <v>-1.84520800972858E-4</v>
      </c>
      <c r="U11" s="3">
        <f t="shared" si="4"/>
        <v>-1.8927222727184445E-4</v>
      </c>
      <c r="V11" s="3">
        <f t="shared" si="4"/>
        <v>-1.9342556341384737E-4</v>
      </c>
      <c r="W11" s="3">
        <f t="shared" si="4"/>
        <v>-1.9685611233777323E-4</v>
      </c>
      <c r="X11" s="3">
        <f t="shared" si="4"/>
        <v>-1.9975510404212499E-4</v>
      </c>
      <c r="Y11" s="3">
        <f t="shared" si="4"/>
        <v>-2.0224006395475058E-4</v>
      </c>
      <c r="Z11" s="3">
        <f t="shared" si="4"/>
        <v>-2.0441808520754029E-4</v>
      </c>
      <c r="AA11" s="3">
        <f t="shared" si="4"/>
        <v>-2.0670360937535825E-4</v>
      </c>
      <c r="AB11" s="3">
        <f t="shared" si="4"/>
        <v>-2.0859936724437061E-4</v>
      </c>
      <c r="AC11" s="3">
        <f t="shared" si="4"/>
        <v>-2.10377166453668E-4</v>
      </c>
      <c r="AD11" s="3">
        <f t="shared" si="4"/>
        <v>-2.1209909277342121E-4</v>
      </c>
      <c r="AE11" s="3">
        <f t="shared" si="4"/>
        <v>-2.1380935684255781E-4</v>
      </c>
      <c r="AF11" s="3">
        <f t="shared" si="4"/>
        <v>-2.1552686643211416E-4</v>
      </c>
      <c r="AG11" s="3">
        <f t="shared" si="4"/>
        <v>-2.1719691109545886E-4</v>
      </c>
      <c r="AH11" s="3">
        <f t="shared" si="4"/>
        <v>-2.1884168707887036E-4</v>
      </c>
      <c r="AI11" s="3">
        <f t="shared" si="4"/>
        <v>-2.2043630044332047E-4</v>
      </c>
      <c r="AJ11" s="3">
        <f t="shared" si="4"/>
        <v>-2.2195763552824987E-4</v>
      </c>
      <c r="AK11" s="3">
        <f t="shared" si="4"/>
        <v>-2.2337942252437237E-4</v>
      </c>
      <c r="AL11" s="3">
        <f t="shared" si="4"/>
        <v>-2.2427381890066656E-4</v>
      </c>
      <c r="AM11" s="3">
        <f t="shared" si="4"/>
        <v>-2.2489407428549074E-4</v>
      </c>
      <c r="AN11" s="3">
        <f t="shared" si="4"/>
        <v>-2.2524427262649027E-4</v>
      </c>
      <c r="AO11" s="3">
        <f t="shared" si="4"/>
        <v>-2.2536862792232881E-4</v>
      </c>
      <c r="AP11" s="3">
        <f t="shared" si="4"/>
        <v>-2.253060154772113E-4</v>
      </c>
      <c r="AQ11" s="3">
        <f t="shared" si="4"/>
        <v>-2.2500744033948639E-4</v>
      </c>
      <c r="AR11" s="3">
        <f t="shared" si="4"/>
        <v>-2.2454337015731518E-4</v>
      </c>
      <c r="AS11" s="3">
        <f t="shared" si="4"/>
        <v>-2.2392253051151112E-4</v>
      </c>
      <c r="AT11" s="3">
        <f t="shared" si="4"/>
        <v>-2.2315218908330881E-4</v>
      </c>
      <c r="AU11" s="3">
        <f t="shared" si="4"/>
        <v>-2.2223241794816495E-4</v>
      </c>
      <c r="AV11" s="3">
        <f t="shared" si="4"/>
        <v>-2.2090510750294445E-4</v>
      </c>
      <c r="AW11" s="3">
        <f t="shared" si="4"/>
        <v>-2.1935469415590436E-4</v>
      </c>
      <c r="AX11" s="3">
        <f t="shared" si="4"/>
        <v>-2.1759224127337884E-4</v>
      </c>
      <c r="AY11" s="3">
        <f t="shared" si="4"/>
        <v>-2.1564078073721404E-4</v>
      </c>
      <c r="AZ11" s="3">
        <f t="shared" si="4"/>
        <v>-2.135171994367413E-4</v>
      </c>
    </row>
    <row r="14" spans="1:52" x14ac:dyDescent="0.35">
      <c r="B14">
        <v>-1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Graphiques</vt:lpstr>
      </vt:variant>
      <vt:variant>
        <vt:i4>1</vt:i4>
      </vt:variant>
    </vt:vector>
  </HeadingPairs>
  <TitlesOfParts>
    <vt:vector size="2" baseType="lpstr">
      <vt:lpstr>Décompo</vt:lpstr>
      <vt:lpstr>Gr Décompo</vt:lpstr>
    </vt:vector>
  </TitlesOfParts>
  <Company>ADEME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JACQUETIN Florian</dc:creator>
  <cp:lastModifiedBy>JACQUETIN Florian</cp:lastModifiedBy>
  <dcterms:created xsi:type="dcterms:W3CDTF">2022-02-25T15:13:25Z</dcterms:created>
  <dcterms:modified xsi:type="dcterms:W3CDTF">2022-02-26T21:13:36Z</dcterms:modified>
</cp:coreProperties>
</file>