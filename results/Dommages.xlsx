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xr:revisionPtr revIDLastSave="0" documentId="13_ncr:1_{929A55C9-D629-4D11-B1CB-6B9C891370F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écompo" sheetId="1" r:id="rId1"/>
    <sheet name="Gr Décompo" sheetId="2" r:id="rId2"/>
  </sheets>
  <externalReferences>
    <externalReference r:id="rId3"/>
    <externalReference r:id="rId4"/>
    <externalReference r:id="rId5"/>
    <externalReference r:id="rId6"/>
    <externalReference r:id="rId7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AZ6" i="1"/>
  <c r="AY6" i="1"/>
  <c r="AX6" i="1"/>
  <c r="AW6" i="1"/>
  <c r="AW13" i="1" s="1"/>
  <c r="AV6" i="1"/>
  <c r="AV13" i="1" s="1"/>
  <c r="AU6" i="1"/>
  <c r="AT6" i="1"/>
  <c r="AT13" i="1" s="1"/>
  <c r="AS6" i="1"/>
  <c r="AR6" i="1"/>
  <c r="AQ6" i="1"/>
  <c r="AP6" i="1"/>
  <c r="AO6" i="1"/>
  <c r="AN6" i="1"/>
  <c r="AM6" i="1"/>
  <c r="AL6" i="1"/>
  <c r="AL13" i="1" s="1"/>
  <c r="AK6" i="1"/>
  <c r="AK13" i="1" s="1"/>
  <c r="AJ6" i="1"/>
  <c r="AI6" i="1"/>
  <c r="AH6" i="1"/>
  <c r="AH13" i="1" s="1"/>
  <c r="AG6" i="1"/>
  <c r="AF6" i="1"/>
  <c r="AF13" i="1" s="1"/>
  <c r="AE6" i="1"/>
  <c r="AD6" i="1"/>
  <c r="AD13" i="1" s="1"/>
  <c r="AC6" i="1"/>
  <c r="AB6" i="1"/>
  <c r="AA6" i="1"/>
  <c r="Z6" i="1"/>
  <c r="Z13" i="1" s="1"/>
  <c r="Y6" i="1"/>
  <c r="X6" i="1"/>
  <c r="W6" i="1"/>
  <c r="V6" i="1"/>
  <c r="V13" i="1" s="1"/>
  <c r="U6" i="1"/>
  <c r="U13" i="1" s="1"/>
  <c r="T6" i="1"/>
  <c r="S6" i="1"/>
  <c r="R6" i="1"/>
  <c r="R13" i="1" s="1"/>
  <c r="Q6" i="1"/>
  <c r="P6" i="1"/>
  <c r="P13" i="1" s="1"/>
  <c r="O6" i="1"/>
  <c r="N6" i="1"/>
  <c r="N13" i="1" s="1"/>
  <c r="M6" i="1"/>
  <c r="M13" i="1" s="1"/>
  <c r="L6" i="1"/>
  <c r="K6" i="1"/>
  <c r="K13" i="1" s="1"/>
  <c r="J6" i="1"/>
  <c r="J13" i="1" s="1"/>
  <c r="I6" i="1"/>
  <c r="H6" i="1"/>
  <c r="H13" i="1" s="1"/>
  <c r="G6" i="1"/>
  <c r="F6" i="1"/>
  <c r="F13" i="1" s="1"/>
  <c r="E6" i="1"/>
  <c r="D6" i="1"/>
  <c r="C6" i="1"/>
  <c r="AZ5" i="1"/>
  <c r="AY5" i="1"/>
  <c r="AY12" i="1" s="1"/>
  <c r="AX5" i="1"/>
  <c r="AW5" i="1"/>
  <c r="AV5" i="1"/>
  <c r="AV12" i="1" s="1"/>
  <c r="AU5" i="1"/>
  <c r="AT5" i="1"/>
  <c r="AS5" i="1"/>
  <c r="AR5" i="1"/>
  <c r="AR13" i="1" s="1"/>
  <c r="AQ5" i="1"/>
  <c r="AP5" i="1"/>
  <c r="AO5" i="1"/>
  <c r="AN5" i="1"/>
  <c r="AM5" i="1"/>
  <c r="AL5" i="1"/>
  <c r="AK5" i="1"/>
  <c r="AJ5" i="1"/>
  <c r="AJ13" i="1" s="1"/>
  <c r="AI5" i="1"/>
  <c r="AH5" i="1"/>
  <c r="AG5" i="1"/>
  <c r="AF5" i="1"/>
  <c r="AF12" i="1" s="1"/>
  <c r="AE5" i="1"/>
  <c r="AD5" i="1"/>
  <c r="AC5" i="1"/>
  <c r="AB5" i="1"/>
  <c r="AB13" i="1" s="1"/>
  <c r="AA5" i="1"/>
  <c r="Z5" i="1"/>
  <c r="Y5" i="1"/>
  <c r="X5" i="1"/>
  <c r="X12" i="1" s="1"/>
  <c r="W5" i="1"/>
  <c r="W12" i="1" s="1"/>
  <c r="V5" i="1"/>
  <c r="U5" i="1"/>
  <c r="T5" i="1"/>
  <c r="T13" i="1" s="1"/>
  <c r="S5" i="1"/>
  <c r="R5" i="1"/>
  <c r="Q5" i="1"/>
  <c r="P5" i="1"/>
  <c r="P12" i="1" s="1"/>
  <c r="O5" i="1"/>
  <c r="O12" i="1" s="1"/>
  <c r="N5" i="1"/>
  <c r="M5" i="1"/>
  <c r="L5" i="1"/>
  <c r="K5" i="1"/>
  <c r="J5" i="1"/>
  <c r="I5" i="1"/>
  <c r="H5" i="1"/>
  <c r="H12" i="1" s="1"/>
  <c r="G5" i="1"/>
  <c r="G12" i="1" s="1"/>
  <c r="F5" i="1"/>
  <c r="E5" i="1"/>
  <c r="E12" i="1" s="1"/>
  <c r="D5" i="1"/>
  <c r="D13" i="1" s="1"/>
  <c r="C5" i="1"/>
  <c r="AZ4" i="1"/>
  <c r="AY4" i="1"/>
  <c r="AX4" i="1"/>
  <c r="AX11" i="1" s="1"/>
  <c r="AW4" i="1"/>
  <c r="AW12" i="1" s="1"/>
  <c r="AV4" i="1"/>
  <c r="AU4" i="1"/>
  <c r="AT4" i="1"/>
  <c r="AT12" i="1" s="1"/>
  <c r="AS4" i="1"/>
  <c r="AR4" i="1"/>
  <c r="AR12" i="1" s="1"/>
  <c r="AQ4" i="1"/>
  <c r="AP4" i="1"/>
  <c r="AP11" i="1" s="1"/>
  <c r="AO4" i="1"/>
  <c r="AO12" i="1" s="1"/>
  <c r="AN4" i="1"/>
  <c r="AM4" i="1"/>
  <c r="AL4" i="1"/>
  <c r="AL12" i="1" s="1"/>
  <c r="AK4" i="1"/>
  <c r="AK11" i="1" s="1"/>
  <c r="AJ4" i="1"/>
  <c r="AI4" i="1"/>
  <c r="AH4" i="1"/>
  <c r="AH11" i="1" s="1"/>
  <c r="AG4" i="1"/>
  <c r="AG11" i="1" s="1"/>
  <c r="AF4" i="1"/>
  <c r="AE4" i="1"/>
  <c r="AD4" i="1"/>
  <c r="AD12" i="1" s="1"/>
  <c r="AC4" i="1"/>
  <c r="AB4" i="1"/>
  <c r="AA4" i="1"/>
  <c r="Z4" i="1"/>
  <c r="Y4" i="1"/>
  <c r="X4" i="1"/>
  <c r="W4" i="1"/>
  <c r="V4" i="1"/>
  <c r="V12" i="1" s="1"/>
  <c r="U4" i="1"/>
  <c r="T4" i="1"/>
  <c r="S4" i="1"/>
  <c r="R4" i="1"/>
  <c r="R11" i="1" s="1"/>
  <c r="Q4" i="1"/>
  <c r="Q11" i="1" s="1"/>
  <c r="P4" i="1"/>
  <c r="O4" i="1"/>
  <c r="N4" i="1"/>
  <c r="N12" i="1" s="1"/>
  <c r="M4" i="1"/>
  <c r="L4" i="1"/>
  <c r="K4" i="1"/>
  <c r="J4" i="1"/>
  <c r="J11" i="1" s="1"/>
  <c r="I4" i="1"/>
  <c r="I11" i="1" s="1"/>
  <c r="H4" i="1"/>
  <c r="G4" i="1"/>
  <c r="F4" i="1"/>
  <c r="E4" i="1"/>
  <c r="D4" i="1"/>
  <c r="C4" i="1"/>
  <c r="AZ3" i="1"/>
  <c r="AZ10" i="1" s="1"/>
  <c r="AY3" i="1"/>
  <c r="AY10" i="1" s="1"/>
  <c r="AX3" i="1"/>
  <c r="AW3" i="1"/>
  <c r="AV3" i="1"/>
  <c r="AV11" i="1" s="1"/>
  <c r="AU3" i="1"/>
  <c r="AT3" i="1"/>
  <c r="AT11" i="1" s="1"/>
  <c r="AS3" i="1"/>
  <c r="AR3" i="1"/>
  <c r="AR10" i="1" s="1"/>
  <c r="AQ3" i="1"/>
  <c r="AQ10" i="1" s="1"/>
  <c r="AP3" i="1"/>
  <c r="AO3" i="1"/>
  <c r="AO10" i="1" s="1"/>
  <c r="AN3" i="1"/>
  <c r="AN11" i="1" s="1"/>
  <c r="AM3" i="1"/>
  <c r="AL3" i="1"/>
  <c r="AK3" i="1"/>
  <c r="AJ3" i="1"/>
  <c r="AJ10" i="1" s="1"/>
  <c r="AI3" i="1"/>
  <c r="AI11" i="1" s="1"/>
  <c r="AH3" i="1"/>
  <c r="AG3" i="1"/>
  <c r="AF3" i="1"/>
  <c r="AF11" i="1" s="1"/>
  <c r="AE3" i="1"/>
  <c r="AD3" i="1"/>
  <c r="AD11" i="1" s="1"/>
  <c r="AC3" i="1"/>
  <c r="AB3" i="1"/>
  <c r="AB10" i="1" s="1"/>
  <c r="AA3" i="1"/>
  <c r="AA11" i="1" s="1"/>
  <c r="Z3" i="1"/>
  <c r="Y3" i="1"/>
  <c r="X3" i="1"/>
  <c r="X11" i="1" s="1"/>
  <c r="W3" i="1"/>
  <c r="W10" i="1" s="1"/>
  <c r="V3" i="1"/>
  <c r="U3" i="1"/>
  <c r="T3" i="1"/>
  <c r="T10" i="1" s="1"/>
  <c r="S3" i="1"/>
  <c r="S10" i="1" s="1"/>
  <c r="R3" i="1"/>
  <c r="Q3" i="1"/>
  <c r="P3" i="1"/>
  <c r="P11" i="1" s="1"/>
  <c r="O3" i="1"/>
  <c r="N3" i="1"/>
  <c r="N11" i="1" s="1"/>
  <c r="M3" i="1"/>
  <c r="L3" i="1"/>
  <c r="K3" i="1"/>
  <c r="J3" i="1"/>
  <c r="I3" i="1"/>
  <c r="H3" i="1"/>
  <c r="H11" i="1" s="1"/>
  <c r="G3" i="1"/>
  <c r="F3" i="1"/>
  <c r="F11" i="1" s="1"/>
  <c r="E3" i="1"/>
  <c r="D3" i="1"/>
  <c r="D10" i="1" s="1"/>
  <c r="C3" i="1"/>
  <c r="C10" i="1" s="1"/>
  <c r="AZ2" i="1"/>
  <c r="AY2" i="1"/>
  <c r="AX2" i="1"/>
  <c r="AX10" i="1" s="1"/>
  <c r="AW2" i="1"/>
  <c r="AV2" i="1"/>
  <c r="AV9" i="1" s="1"/>
  <c r="AU2" i="1"/>
  <c r="AT2" i="1"/>
  <c r="AT9" i="1" s="1"/>
  <c r="AS2" i="1"/>
  <c r="AR2" i="1"/>
  <c r="AQ2" i="1"/>
  <c r="AP2" i="1"/>
  <c r="AO2" i="1"/>
  <c r="AN2" i="1"/>
  <c r="AN9" i="1" s="1"/>
  <c r="AM2" i="1"/>
  <c r="AL2" i="1"/>
  <c r="AL9" i="1" s="1"/>
  <c r="AK2" i="1"/>
  <c r="AJ2" i="1"/>
  <c r="AI2" i="1"/>
  <c r="AH2" i="1"/>
  <c r="AH10" i="1" s="1"/>
  <c r="AG2" i="1"/>
  <c r="AG9" i="1" s="1"/>
  <c r="AF2" i="1"/>
  <c r="AF9" i="1" s="1"/>
  <c r="AE2" i="1"/>
  <c r="AE9" i="1" s="1"/>
  <c r="AD2" i="1"/>
  <c r="AD9" i="1" s="1"/>
  <c r="AC2" i="1"/>
  <c r="AC9" i="1" s="1"/>
  <c r="AB2" i="1"/>
  <c r="AA2" i="1"/>
  <c r="Z2" i="1"/>
  <c r="Z10" i="1" s="1"/>
  <c r="Y2" i="1"/>
  <c r="Y9" i="1" s="1"/>
  <c r="X2" i="1"/>
  <c r="X9" i="1" s="1"/>
  <c r="W2" i="1"/>
  <c r="W9" i="1" s="1"/>
  <c r="V2" i="1"/>
  <c r="V9" i="1" s="1"/>
  <c r="U2" i="1"/>
  <c r="U10" i="1" s="1"/>
  <c r="T2" i="1"/>
  <c r="S2" i="1"/>
  <c r="S9" i="1" s="1"/>
  <c r="R2" i="1"/>
  <c r="R9" i="1" s="1"/>
  <c r="Q2" i="1"/>
  <c r="P2" i="1"/>
  <c r="P9" i="1" s="1"/>
  <c r="O2" i="1"/>
  <c r="O9" i="1" s="1"/>
  <c r="N2" i="1"/>
  <c r="N9" i="1" s="1"/>
  <c r="M2" i="1"/>
  <c r="M9" i="1" s="1"/>
  <c r="L2" i="1"/>
  <c r="K2" i="1"/>
  <c r="K9" i="1" s="1"/>
  <c r="J2" i="1"/>
  <c r="J10" i="1" s="1"/>
  <c r="I2" i="1"/>
  <c r="H2" i="1"/>
  <c r="H9" i="1" s="1"/>
  <c r="G2" i="1"/>
  <c r="F2" i="1"/>
  <c r="F9" i="1" s="1"/>
  <c r="E2" i="1"/>
  <c r="E9" i="1" s="1"/>
  <c r="D2" i="1"/>
  <c r="C2" i="1"/>
  <c r="AZ13" i="1"/>
  <c r="AY13" i="1"/>
  <c r="AX13" i="1"/>
  <c r="AS13" i="1"/>
  <c r="AQ13" i="1"/>
  <c r="AP13" i="1"/>
  <c r="AO13" i="1"/>
  <c r="AN13" i="1"/>
  <c r="AI13" i="1"/>
  <c r="AG13" i="1"/>
  <c r="AC13" i="1"/>
  <c r="AA13" i="1"/>
  <c r="Y13" i="1"/>
  <c r="X13" i="1"/>
  <c r="S13" i="1"/>
  <c r="Q13" i="1"/>
  <c r="L13" i="1"/>
  <c r="I13" i="1"/>
  <c r="E13" i="1"/>
  <c r="C13" i="1"/>
  <c r="AZ12" i="1"/>
  <c r="AU12" i="1"/>
  <c r="AS12" i="1"/>
  <c r="AN12" i="1"/>
  <c r="AM12" i="1"/>
  <c r="AK12" i="1"/>
  <c r="AE12" i="1"/>
  <c r="AC12" i="1"/>
  <c r="U12" i="1"/>
  <c r="M12" i="1"/>
  <c r="F12" i="1"/>
  <c r="AW11" i="1"/>
  <c r="AU11" i="1"/>
  <c r="AS11" i="1"/>
  <c r="AO11" i="1"/>
  <c r="AM11" i="1"/>
  <c r="AL11" i="1"/>
  <c r="AE11" i="1"/>
  <c r="Z11" i="1"/>
  <c r="Y11" i="1"/>
  <c r="W11" i="1"/>
  <c r="O11" i="1"/>
  <c r="G11" i="1"/>
  <c r="AW10" i="1"/>
  <c r="AP10" i="1"/>
  <c r="AI10" i="1"/>
  <c r="AG10" i="1"/>
  <c r="AE10" i="1"/>
  <c r="AA10" i="1"/>
  <c r="Y10" i="1"/>
  <c r="X10" i="1"/>
  <c r="Q10" i="1"/>
  <c r="L10" i="1"/>
  <c r="K10" i="1"/>
  <c r="I10" i="1"/>
  <c r="AZ9" i="1"/>
  <c r="AY9" i="1"/>
  <c r="AW9" i="1"/>
  <c r="AS9" i="1"/>
  <c r="AR9" i="1"/>
  <c r="AQ9" i="1"/>
  <c r="AP9" i="1"/>
  <c r="AO9" i="1"/>
  <c r="AK9" i="1"/>
  <c r="AJ9" i="1"/>
  <c r="AI9" i="1"/>
  <c r="AH9" i="1"/>
  <c r="AB9" i="1"/>
  <c r="AA9" i="1"/>
  <c r="Z9" i="1"/>
  <c r="T9" i="1"/>
  <c r="Q9" i="1"/>
  <c r="L9" i="1"/>
  <c r="I9" i="1"/>
  <c r="G9" i="1"/>
  <c r="D9" i="1"/>
  <c r="C9" i="1"/>
  <c r="B5" i="1"/>
  <c r="J9" i="1" l="1"/>
  <c r="U9" i="1"/>
  <c r="AN10" i="1"/>
  <c r="D12" i="1"/>
  <c r="AX9" i="1"/>
  <c r="M10" i="1"/>
  <c r="G10" i="1"/>
  <c r="AM10" i="1"/>
  <c r="AU10" i="1"/>
  <c r="E11" i="1"/>
  <c r="M11" i="1"/>
  <c r="U11" i="1"/>
  <c r="AC10" i="1"/>
  <c r="AK10" i="1"/>
  <c r="AS10" i="1"/>
  <c r="C12" i="1"/>
  <c r="K12" i="1"/>
  <c r="S11" i="1"/>
  <c r="AA12" i="1"/>
  <c r="AI12" i="1"/>
  <c r="AQ11" i="1"/>
  <c r="AY11" i="1"/>
  <c r="I12" i="1"/>
  <c r="Q12" i="1"/>
  <c r="Y12" i="1"/>
  <c r="AG12" i="1"/>
  <c r="G13" i="1"/>
  <c r="O13" i="1"/>
  <c r="W13" i="1"/>
  <c r="AE13" i="1"/>
  <c r="AM13" i="1"/>
  <c r="AU13" i="1"/>
  <c r="R10" i="1"/>
  <c r="B12" i="1"/>
  <c r="AF10" i="1"/>
  <c r="V10" i="1"/>
  <c r="AJ11" i="1"/>
  <c r="P10" i="1"/>
  <c r="K11" i="1"/>
  <c r="O10" i="1"/>
  <c r="AQ12" i="1"/>
  <c r="AL10" i="1"/>
  <c r="T11" i="1"/>
  <c r="AR11" i="1"/>
  <c r="R12" i="1"/>
  <c r="AX12" i="1"/>
  <c r="AU9" i="1"/>
  <c r="AM9" i="1"/>
  <c r="H10" i="1"/>
  <c r="C11" i="1"/>
  <c r="V11" i="1"/>
  <c r="AJ12" i="1"/>
  <c r="E10" i="1"/>
  <c r="AD10" i="1"/>
  <c r="L11" i="1"/>
  <c r="AB11" i="1"/>
  <c r="AZ11" i="1"/>
  <c r="J12" i="1"/>
  <c r="AP12" i="1"/>
  <c r="S12" i="1"/>
  <c r="AB12" i="1"/>
  <c r="N10" i="1"/>
  <c r="D11" i="1"/>
  <c r="Z12" i="1"/>
  <c r="T12" i="1"/>
  <c r="AC11" i="1"/>
  <c r="F10" i="1"/>
  <c r="AT10" i="1"/>
  <c r="AH12" i="1"/>
  <c r="AV10" i="1"/>
  <c r="L12" i="1"/>
  <c r="B6" i="1"/>
  <c r="B13" i="1" s="1"/>
  <c r="B3" i="1"/>
  <c r="B11" i="1" s="1"/>
  <c r="B2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B10" i="1" l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9" i="1"/>
</calcChain>
</file>

<file path=xl/sharedStrings.xml><?xml version="1.0" encoding="utf-8"?>
<sst xmlns="http://schemas.openxmlformats.org/spreadsheetml/2006/main" count="10" uniqueCount="6">
  <si>
    <t>Dommages</t>
  </si>
  <si>
    <t>Chaîne logistique</t>
  </si>
  <si>
    <t>Autres risques</t>
  </si>
  <si>
    <t>Rendements agricoles</t>
  </si>
  <si>
    <t>Température de l'air</t>
  </si>
  <si>
    <t>Mer et inondations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</si>
</sst>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Verdana" panose="020B0604030504040204" pitchFamily="34" charset="0"/>
                <a:cs typeface="+mn-cs"/>
              </a:defRPr>
            </a:pPr>
            <a:r>
              <a:rPr lang="fr-FR" sz="2400"/>
              <a:t>Coût</a:t>
            </a:r>
            <a:r>
              <a:rPr lang="fr-FR" sz="2400" baseline="0"/>
              <a:t> des dommages (en % du PIB)</a:t>
            </a:r>
            <a:endParaRPr lang="fr-F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Verdana" panose="020B0604030504040204" pitchFamily="34" charset="0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Décompo!$A$9</c:f>
              <c:strCache>
                <c:ptCount val="1"/>
                <c:pt idx="0">
                  <c:v>Chaîne logistique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Décompo!$B$8:$AZ$8</c:f>
              <c:numCache>
                <c:formatCode>m/d/yyyy</c:formatCode>
                <c:ptCount val="51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</c:numCache>
            </c:numRef>
          </c:cat>
          <c:val>
            <c:numRef>
              <c:f>Décompo!$B$9:$AZ$9</c:f>
              <c:numCache>
                <c:formatCode>0.0%</c:formatCode>
                <c:ptCount val="51"/>
                <c:pt idx="0">
                  <c:v>1.7105840554810015E-2</c:v>
                </c:pt>
                <c:pt idx="1">
                  <c:v>2.098056736359466E-2</c:v>
                </c:pt>
                <c:pt idx="2">
                  <c:v>2.4532546055058613E-2</c:v>
                </c:pt>
                <c:pt idx="3">
                  <c:v>2.7517937372380175E-2</c:v>
                </c:pt>
                <c:pt idx="4">
                  <c:v>2.9990320526349201E-2</c:v>
                </c:pt>
                <c:pt idx="5">
                  <c:v>3.2030280950868795E-2</c:v>
                </c:pt>
                <c:pt idx="6">
                  <c:v>3.3733930388557543E-2</c:v>
                </c:pt>
                <c:pt idx="7">
                  <c:v>3.51562243585547E-2</c:v>
                </c:pt>
                <c:pt idx="8">
                  <c:v>3.6361018719246463E-2</c:v>
                </c:pt>
                <c:pt idx="9">
                  <c:v>3.7405791429351631E-2</c:v>
                </c:pt>
                <c:pt idx="10">
                  <c:v>3.8334394917893921E-2</c:v>
                </c:pt>
                <c:pt idx="11">
                  <c:v>3.925556698553101E-2</c:v>
                </c:pt>
                <c:pt idx="12">
                  <c:v>4.0138240489166144E-2</c:v>
                </c:pt>
                <c:pt idx="13">
                  <c:v>4.0997975041976102E-2</c:v>
                </c:pt>
                <c:pt idx="14">
                  <c:v>4.1844108990118138E-2</c:v>
                </c:pt>
                <c:pt idx="15">
                  <c:v>4.2682193718009402E-2</c:v>
                </c:pt>
                <c:pt idx="16">
                  <c:v>4.3572346504538013E-2</c:v>
                </c:pt>
                <c:pt idx="17">
                  <c:v>4.4465811282116692E-2</c:v>
                </c:pt>
                <c:pt idx="18">
                  <c:v>4.5362483138397192E-2</c:v>
                </c:pt>
                <c:pt idx="19">
                  <c:v>4.6261021063189967E-2</c:v>
                </c:pt>
                <c:pt idx="20">
                  <c:v>4.7163174260623449E-2</c:v>
                </c:pt>
                <c:pt idx="21">
                  <c:v>4.8060004625971375E-2</c:v>
                </c:pt>
                <c:pt idx="22">
                  <c:v>4.8953489734531723E-2</c:v>
                </c:pt>
                <c:pt idx="23">
                  <c:v>4.9843562098548233E-2</c:v>
                </c:pt>
                <c:pt idx="24">
                  <c:v>5.0729292917466084E-2</c:v>
                </c:pt>
                <c:pt idx="25">
                  <c:v>5.1616312992447518E-2</c:v>
                </c:pt>
                <c:pt idx="26">
                  <c:v>5.2470427631295502E-2</c:v>
                </c:pt>
                <c:pt idx="27">
                  <c:v>5.3309757047204975E-2</c:v>
                </c:pt>
                <c:pt idx="28">
                  <c:v>5.4134537423666911E-2</c:v>
                </c:pt>
                <c:pt idx="29">
                  <c:v>5.4944750354783627E-2</c:v>
                </c:pt>
                <c:pt idx="30">
                  <c:v>5.5740006203695458E-2</c:v>
                </c:pt>
                <c:pt idx="31">
                  <c:v>5.6509432844425334E-2</c:v>
                </c:pt>
                <c:pt idx="32">
                  <c:v>5.7261280214704439E-2</c:v>
                </c:pt>
                <c:pt idx="33">
                  <c:v>5.7995105060567376E-2</c:v>
                </c:pt>
                <c:pt idx="34">
                  <c:v>5.8710724612016547E-2</c:v>
                </c:pt>
                <c:pt idx="35">
                  <c:v>5.9408064863598842E-2</c:v>
                </c:pt>
                <c:pt idx="36">
                  <c:v>6.0003827900889546E-2</c:v>
                </c:pt>
                <c:pt idx="37">
                  <c:v>6.0571000103954893E-2</c:v>
                </c:pt>
                <c:pt idx="38">
                  <c:v>6.1110748911116231E-2</c:v>
                </c:pt>
                <c:pt idx="39">
                  <c:v>6.1626563911912131E-2</c:v>
                </c:pt>
                <c:pt idx="40">
                  <c:v>6.2122074676719145E-2</c:v>
                </c:pt>
                <c:pt idx="41">
                  <c:v>6.2587962491754912E-2</c:v>
                </c:pt>
                <c:pt idx="42">
                  <c:v>6.3038097195504572E-2</c:v>
                </c:pt>
                <c:pt idx="43">
                  <c:v>6.3475234557170079E-2</c:v>
                </c:pt>
                <c:pt idx="44">
                  <c:v>6.3901885641366452E-2</c:v>
                </c:pt>
                <c:pt idx="45">
                  <c:v>6.43201329379125E-2</c:v>
                </c:pt>
                <c:pt idx="46">
                  <c:v>6.4691410532873417E-2</c:v>
                </c:pt>
                <c:pt idx="47">
                  <c:v>6.5051793926074519E-2</c:v>
                </c:pt>
                <c:pt idx="48">
                  <c:v>6.5403479043005697E-2</c:v>
                </c:pt>
                <c:pt idx="49">
                  <c:v>6.5748713084534671E-2</c:v>
                </c:pt>
                <c:pt idx="50">
                  <c:v>6.6089373105816973E-2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7-4EC8-8433-CD6511F1540E}"/>
            </c:ext>
          </c:extLst>
        </c:ser>
        <c:ser>
          <c:idx val="1"/>
          <c:order val="1"/>
          <c:tx>
            <c:strRef>
              <c:f>Décompo!$A$10</c:f>
              <c:strCache>
                <c:ptCount val="1"/>
                <c:pt idx="0">
                  <c:v>Rendements agricoles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Décompo!$B$8:$AZ$8</c:f>
              <c:numCache>
                <c:formatCode>m/d/yyyy</c:formatCode>
                <c:ptCount val="51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</c:numCache>
            </c:numRef>
          </c:cat>
          <c:val>
            <c:numRef>
              <c:f>Décompo!$B$10:$AZ$10</c:f>
              <c:numCache>
                <c:formatCode>0.0%</c:formatCode>
                <c:ptCount val="51"/>
                <c:pt idx="0">
                  <c:v>1.3324322143182243E-4</c:v>
                </c:pt>
                <c:pt idx="1">
                  <c:v>2.5936784348279396E-4</c:v>
                </c:pt>
                <c:pt idx="2">
                  <c:v>3.5867934026390103E-4</c:v>
                </c:pt>
                <c:pt idx="3">
                  <c:v>4.3321760704773116E-4</c:v>
                </c:pt>
                <c:pt idx="4">
                  <c:v>4.9468668139751593E-4</c:v>
                </c:pt>
                <c:pt idx="5">
                  <c:v>5.5417555389225548E-4</c:v>
                </c:pt>
                <c:pt idx="6">
                  <c:v>6.1757907081383401E-4</c:v>
                </c:pt>
                <c:pt idx="7">
                  <c:v>6.8583963207946574E-4</c:v>
                </c:pt>
                <c:pt idx="8">
                  <c:v>7.5819410229926998E-4</c:v>
                </c:pt>
                <c:pt idx="9">
                  <c:v>8.3314302656278816E-4</c:v>
                </c:pt>
                <c:pt idx="10">
                  <c:v>9.0941367200969569E-4</c:v>
                </c:pt>
                <c:pt idx="11">
                  <c:v>9.8748455042508426E-4</c:v>
                </c:pt>
                <c:pt idx="12">
                  <c:v>1.0667685359980819E-3</c:v>
                </c:pt>
                <c:pt idx="13">
                  <c:v>1.1468396075772283E-3</c:v>
                </c:pt>
                <c:pt idx="14">
                  <c:v>1.2274375326907297E-3</c:v>
                </c:pt>
                <c:pt idx="15">
                  <c:v>1.3085078042389675E-3</c:v>
                </c:pt>
                <c:pt idx="16">
                  <c:v>1.3916915929794577E-3</c:v>
                </c:pt>
                <c:pt idx="17">
                  <c:v>1.4767756078585201E-3</c:v>
                </c:pt>
                <c:pt idx="18">
                  <c:v>1.5632585306784019E-3</c:v>
                </c:pt>
                <c:pt idx="19">
                  <c:v>1.6505753151656588E-3</c:v>
                </c:pt>
                <c:pt idx="20">
                  <c:v>1.7380304818160816E-3</c:v>
                </c:pt>
                <c:pt idx="21">
                  <c:v>1.8256020341624879E-3</c:v>
                </c:pt>
                <c:pt idx="22">
                  <c:v>1.9129834925784017E-3</c:v>
                </c:pt>
                <c:pt idx="23">
                  <c:v>2.0000767114388626E-3</c:v>
                </c:pt>
                <c:pt idx="24">
                  <c:v>2.0868483862193088E-3</c:v>
                </c:pt>
                <c:pt idx="25">
                  <c:v>2.1725348345087298E-3</c:v>
                </c:pt>
                <c:pt idx="26">
                  <c:v>2.2571988920424488E-3</c:v>
                </c:pt>
                <c:pt idx="27">
                  <c:v>2.3407663910262055E-3</c:v>
                </c:pt>
                <c:pt idx="28">
                  <c:v>2.4235085417653249E-3</c:v>
                </c:pt>
                <c:pt idx="29">
                  <c:v>2.5057259235543583E-3</c:v>
                </c:pt>
                <c:pt idx="30">
                  <c:v>2.5876371226732989E-3</c:v>
                </c:pt>
                <c:pt idx="31">
                  <c:v>2.6689904023658936E-3</c:v>
                </c:pt>
                <c:pt idx="32">
                  <c:v>2.7498721075444113E-3</c:v>
                </c:pt>
                <c:pt idx="33">
                  <c:v>2.8304083889026874E-3</c:v>
                </c:pt>
                <c:pt idx="34">
                  <c:v>2.9107162689487737E-3</c:v>
                </c:pt>
                <c:pt idx="35">
                  <c:v>2.9908803996285815E-3</c:v>
                </c:pt>
                <c:pt idx="36">
                  <c:v>3.067489871852784E-3</c:v>
                </c:pt>
                <c:pt idx="37">
                  <c:v>3.1409243679222307E-3</c:v>
                </c:pt>
                <c:pt idx="38">
                  <c:v>3.2121616789450025E-3</c:v>
                </c:pt>
                <c:pt idx="39">
                  <c:v>3.2822073507745506E-3</c:v>
                </c:pt>
                <c:pt idx="40">
                  <c:v>3.3517955131837709E-3</c:v>
                </c:pt>
                <c:pt idx="41">
                  <c:v>3.4208056641107376E-3</c:v>
                </c:pt>
                <c:pt idx="42">
                  <c:v>3.489396725786853E-3</c:v>
                </c:pt>
                <c:pt idx="43">
                  <c:v>3.5577069072368905E-3</c:v>
                </c:pt>
                <c:pt idx="44">
                  <c:v>3.6258381577166654E-3</c:v>
                </c:pt>
                <c:pt idx="45">
                  <c:v>3.6938558959118684E-3</c:v>
                </c:pt>
                <c:pt idx="46">
                  <c:v>3.7601128146916851E-3</c:v>
                </c:pt>
                <c:pt idx="47">
                  <c:v>3.8246783854445354E-3</c:v>
                </c:pt>
                <c:pt idx="48">
                  <c:v>3.8880748944648547E-3</c:v>
                </c:pt>
                <c:pt idx="49">
                  <c:v>3.9508646712963502E-3</c:v>
                </c:pt>
                <c:pt idx="50">
                  <c:v>4.0134773342603847E-3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7-4EC8-8433-CD6511F1540E}"/>
            </c:ext>
          </c:extLst>
        </c:ser>
        <c:ser>
          <c:idx val="2"/>
          <c:order val="2"/>
          <c:tx>
            <c:strRef>
              <c:f>Décompo!$A$11</c:f>
              <c:strCache>
                <c:ptCount val="1"/>
                <c:pt idx="0">
                  <c:v>Température de l'air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Décompo!$B$8:$AZ$8</c:f>
              <c:numCache>
                <c:formatCode>m/d/yyyy</c:formatCode>
                <c:ptCount val="51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</c:numCache>
            </c:numRef>
          </c:cat>
          <c:val>
            <c:numRef>
              <c:f>Décompo!$B$11:$AZ$11</c:f>
              <c:numCache>
                <c:formatCode>0.0%</c:formatCode>
                <c:ptCount val="51"/>
                <c:pt idx="0">
                  <c:v>5.7638045987462583E-5</c:v>
                </c:pt>
                <c:pt idx="1">
                  <c:v>1.2009166610049693E-4</c:v>
                </c:pt>
                <c:pt idx="2">
                  <c:v>1.687411982959075E-4</c:v>
                </c:pt>
                <c:pt idx="3">
                  <c:v>2.0421975119078173E-4</c:v>
                </c:pt>
                <c:pt idx="4">
                  <c:v>2.344716659096191E-4</c:v>
                </c:pt>
                <c:pt idx="5">
                  <c:v>2.6645718861317835E-4</c:v>
                </c:pt>
                <c:pt idx="6">
                  <c:v>3.0382307994003543E-4</c:v>
                </c:pt>
                <c:pt idx="7">
                  <c:v>3.4703384205847509E-4</c:v>
                </c:pt>
                <c:pt idx="8">
                  <c:v>3.9463292062513755E-4</c:v>
                </c:pt>
                <c:pt idx="9">
                  <c:v>4.4462244276533003E-4</c:v>
                </c:pt>
                <c:pt idx="10">
                  <c:v>4.9535856636317988E-4</c:v>
                </c:pt>
                <c:pt idx="11">
                  <c:v>5.4647583905242242E-4</c:v>
                </c:pt>
                <c:pt idx="12">
                  <c:v>5.9763944798207902E-4</c:v>
                </c:pt>
                <c:pt idx="13">
                  <c:v>6.4849348657292083E-4</c:v>
                </c:pt>
                <c:pt idx="14">
                  <c:v>6.9903088351264131E-4</c:v>
                </c:pt>
                <c:pt idx="15">
                  <c:v>7.4954679679806874E-4</c:v>
                </c:pt>
                <c:pt idx="16">
                  <c:v>8.0157666168491348E-4</c:v>
                </c:pt>
                <c:pt idx="17">
                  <c:v>8.5566109907541515E-4</c:v>
                </c:pt>
                <c:pt idx="18">
                  <c:v>9.1179353679293057E-4</c:v>
                </c:pt>
                <c:pt idx="19">
                  <c:v>9.6993306650561273E-4</c:v>
                </c:pt>
                <c:pt idx="20">
                  <c:v>1.0300632197927165E-3</c:v>
                </c:pt>
                <c:pt idx="21">
                  <c:v>1.0924539061640814E-3</c:v>
                </c:pt>
                <c:pt idx="22">
                  <c:v>1.1571751287592427E-3</c:v>
                </c:pt>
                <c:pt idx="23">
                  <c:v>1.2243008983092857E-3</c:v>
                </c:pt>
                <c:pt idx="24">
                  <c:v>1.2938674026730101E-3</c:v>
                </c:pt>
                <c:pt idx="25">
                  <c:v>1.3655834103072501E-3</c:v>
                </c:pt>
                <c:pt idx="26">
                  <c:v>1.4391426238076349E-3</c:v>
                </c:pt>
                <c:pt idx="27">
                  <c:v>1.5143270412938392E-3</c:v>
                </c:pt>
                <c:pt idx="28">
                  <c:v>1.5912321416542419E-3</c:v>
                </c:pt>
                <c:pt idx="29">
                  <c:v>1.6699421928104766E-3</c:v>
                </c:pt>
                <c:pt idx="30">
                  <c:v>1.7504521528086542E-3</c:v>
                </c:pt>
                <c:pt idx="31">
                  <c:v>1.8323106487770982E-3</c:v>
                </c:pt>
                <c:pt idx="32">
                  <c:v>1.9153967868150712E-3</c:v>
                </c:pt>
                <c:pt idx="33">
                  <c:v>1.9997856099054426E-3</c:v>
                </c:pt>
                <c:pt idx="34">
                  <c:v>2.0855621098607793E-3</c:v>
                </c:pt>
                <c:pt idx="35">
                  <c:v>2.1727691065059895E-3</c:v>
                </c:pt>
                <c:pt idx="36">
                  <c:v>2.2576642330137675E-3</c:v>
                </c:pt>
                <c:pt idx="37">
                  <c:v>2.3403050595077746E-3</c:v>
                </c:pt>
                <c:pt idx="38">
                  <c:v>2.4224119145178635E-3</c:v>
                </c:pt>
                <c:pt idx="39">
                  <c:v>2.5053133116933468E-3</c:v>
                </c:pt>
                <c:pt idx="40">
                  <c:v>2.5895119995650306E-3</c:v>
                </c:pt>
                <c:pt idx="41">
                  <c:v>2.6742653688253126E-3</c:v>
                </c:pt>
                <c:pt idx="42">
                  <c:v>2.7591957004773349E-3</c:v>
                </c:pt>
                <c:pt idx="43">
                  <c:v>2.8442532176052859E-3</c:v>
                </c:pt>
                <c:pt idx="44">
                  <c:v>2.9294815834385313E-3</c:v>
                </c:pt>
                <c:pt idx="45">
                  <c:v>3.0149562091705828E-3</c:v>
                </c:pt>
                <c:pt idx="46">
                  <c:v>3.0985357348083387E-3</c:v>
                </c:pt>
                <c:pt idx="47">
                  <c:v>3.1802964182618965E-3</c:v>
                </c:pt>
                <c:pt idx="48">
                  <c:v>3.2614553903712595E-3</c:v>
                </c:pt>
                <c:pt idx="49">
                  <c:v>3.3430242100392915E-3</c:v>
                </c:pt>
                <c:pt idx="50">
                  <c:v>3.4254897640630944E-3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7-4EC8-8433-CD6511F1540E}"/>
            </c:ext>
          </c:extLst>
        </c:ser>
        <c:ser>
          <c:idx val="3"/>
          <c:order val="3"/>
          <c:tx>
            <c:strRef>
              <c:f>Décompo!$A$12</c:f>
              <c:strCache>
                <c:ptCount val="1"/>
                <c:pt idx="0">
                  <c:v>Mer et inondations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Décompo!$B$8:$AZ$8</c:f>
              <c:numCache>
                <c:formatCode>m/d/yyyy</c:formatCode>
                <c:ptCount val="51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</c:numCache>
            </c:numRef>
          </c:cat>
          <c:val>
            <c:numRef>
              <c:f>Décompo!$B$12:$AZ$12</c:f>
              <c:numCache>
                <c:formatCode>0.0%</c:formatCode>
                <c:ptCount val="51"/>
                <c:pt idx="0">
                  <c:v>4.014010040395144E-4</c:v>
                </c:pt>
                <c:pt idx="1">
                  <c:v>6.3762562867408779E-4</c:v>
                </c:pt>
                <c:pt idx="2">
                  <c:v>7.8709449617453409E-4</c:v>
                </c:pt>
                <c:pt idx="3">
                  <c:v>8.8481089037906191E-4</c:v>
                </c:pt>
                <c:pt idx="4">
                  <c:v>9.502334990582062E-4</c:v>
                </c:pt>
                <c:pt idx="5">
                  <c:v>9.9507894045069989E-4</c:v>
                </c:pt>
                <c:pt idx="6">
                  <c:v>1.0276160048070526E-3</c:v>
                </c:pt>
                <c:pt idx="7">
                  <c:v>1.0516368655871799E-3</c:v>
                </c:pt>
                <c:pt idx="8">
                  <c:v>1.0703991665599322E-3</c:v>
                </c:pt>
                <c:pt idx="9">
                  <c:v>1.0862946219346581E-3</c:v>
                </c:pt>
                <c:pt idx="10">
                  <c:v>1.0998611542106865E-3</c:v>
                </c:pt>
                <c:pt idx="11">
                  <c:v>1.1163835919936194E-3</c:v>
                </c:pt>
                <c:pt idx="12">
                  <c:v>1.1345123579317093E-3</c:v>
                </c:pt>
                <c:pt idx="13">
                  <c:v>1.1545102582858277E-3</c:v>
                </c:pt>
                <c:pt idx="14">
                  <c:v>1.1764856315246153E-3</c:v>
                </c:pt>
                <c:pt idx="15">
                  <c:v>1.2004344805632769E-3</c:v>
                </c:pt>
                <c:pt idx="16">
                  <c:v>1.2275472077650715E-3</c:v>
                </c:pt>
                <c:pt idx="17">
                  <c:v>1.2571341706512154E-3</c:v>
                </c:pt>
                <c:pt idx="18">
                  <c:v>1.2887948704095667E-3</c:v>
                </c:pt>
                <c:pt idx="19">
                  <c:v>1.322227372497653E-3</c:v>
                </c:pt>
                <c:pt idx="20">
                  <c:v>1.3582232763280563E-3</c:v>
                </c:pt>
                <c:pt idx="21">
                  <c:v>1.3941671466480843E-3</c:v>
                </c:pt>
                <c:pt idx="22">
                  <c:v>1.4312325344637555E-3</c:v>
                </c:pt>
                <c:pt idx="23">
                  <c:v>1.469279157701002E-3</c:v>
                </c:pt>
                <c:pt idx="24">
                  <c:v>1.5081846336015836E-3</c:v>
                </c:pt>
                <c:pt idx="25">
                  <c:v>1.5509453693839312E-3</c:v>
                </c:pt>
                <c:pt idx="26">
                  <c:v>1.5910612637243179E-3</c:v>
                </c:pt>
                <c:pt idx="27">
                  <c:v>1.6308560158404539E-3</c:v>
                </c:pt>
                <c:pt idx="28">
                  <c:v>1.6703911604041277E-3</c:v>
                </c:pt>
                <c:pt idx="29">
                  <c:v>1.7097236875738275E-3</c:v>
                </c:pt>
                <c:pt idx="30">
                  <c:v>1.7488957690853305E-3</c:v>
                </c:pt>
                <c:pt idx="31">
                  <c:v>1.7875751440025178E-3</c:v>
                </c:pt>
                <c:pt idx="32">
                  <c:v>1.8259574704949655E-3</c:v>
                </c:pt>
                <c:pt idx="33">
                  <c:v>1.8641541645806337E-3</c:v>
                </c:pt>
                <c:pt idx="34">
                  <c:v>1.9022485694611957E-3</c:v>
                </c:pt>
                <c:pt idx="35">
                  <c:v>1.9403075903182687E-3</c:v>
                </c:pt>
                <c:pt idx="36">
                  <c:v>1.9757933434209063E-3</c:v>
                </c:pt>
                <c:pt idx="37">
                  <c:v>2.0092153758880515E-3</c:v>
                </c:pt>
                <c:pt idx="38">
                  <c:v>2.0413199303207508E-3</c:v>
                </c:pt>
                <c:pt idx="39">
                  <c:v>2.0725801927139464E-3</c:v>
                </c:pt>
                <c:pt idx="40">
                  <c:v>2.103330151093874E-3</c:v>
                </c:pt>
                <c:pt idx="41">
                  <c:v>2.1332595883019057E-3</c:v>
                </c:pt>
                <c:pt idx="42">
                  <c:v>2.1628166483552702E-3</c:v>
                </c:pt>
                <c:pt idx="43">
                  <c:v>2.1922774031216674E-3</c:v>
                </c:pt>
                <c:pt idx="44">
                  <c:v>2.2218356201946232E-3</c:v>
                </c:pt>
                <c:pt idx="45">
                  <c:v>2.2516305007062032E-3</c:v>
                </c:pt>
                <c:pt idx="46">
                  <c:v>2.2797248464370146E-3</c:v>
                </c:pt>
                <c:pt idx="47">
                  <c:v>2.3071534186777098E-3</c:v>
                </c:pt>
                <c:pt idx="48">
                  <c:v>2.3343719520066974E-3</c:v>
                </c:pt>
                <c:pt idx="49">
                  <c:v>2.3616564546846686E-3</c:v>
                </c:pt>
                <c:pt idx="50">
                  <c:v>2.3891818233096052E-3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6-4E26-91E0-1E0153E07C27}"/>
            </c:ext>
          </c:extLst>
        </c:ser>
        <c:ser>
          <c:idx val="4"/>
          <c:order val="4"/>
          <c:tx>
            <c:strRef>
              <c:f>Décompo!$A$13</c:f>
              <c:strCache>
                <c:ptCount val="1"/>
                <c:pt idx="0">
                  <c:v>Autres risques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Décompo!$B$8:$AZ$8</c:f>
              <c:numCache>
                <c:formatCode>m/d/yyyy</c:formatCode>
                <c:ptCount val="51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</c:numCache>
            </c:numRef>
          </c:cat>
          <c:val>
            <c:numRef>
              <c:f>Décompo!$B$13:$AZ$13</c:f>
              <c:numCache>
                <c:formatCode>0.0%</c:formatCode>
                <c:ptCount val="51"/>
                <c:pt idx="0">
                  <c:v>2.2243723420811712E-4</c:v>
                </c:pt>
                <c:pt idx="1">
                  <c:v>4.2333456586218787E-4</c:v>
                </c:pt>
                <c:pt idx="2">
                  <c:v>5.4416067532780943E-4</c:v>
                </c:pt>
                <c:pt idx="3">
                  <c:v>6.0363110527583697E-4</c:v>
                </c:pt>
                <c:pt idx="4">
                  <c:v>6.2720324913001502E-4</c:v>
                </c:pt>
                <c:pt idx="5">
                  <c:v>6.3607743282778628E-4</c:v>
                </c:pt>
                <c:pt idx="6">
                  <c:v>6.435470621065642E-4</c:v>
                </c:pt>
                <c:pt idx="7">
                  <c:v>6.5498998034063671E-4</c:v>
                </c:pt>
                <c:pt idx="8">
                  <c:v>6.7136792078392737E-4</c:v>
                </c:pt>
                <c:pt idx="9">
                  <c:v>6.9171932496215477E-4</c:v>
                </c:pt>
                <c:pt idx="10">
                  <c:v>7.1430533968352278E-4</c:v>
                </c:pt>
                <c:pt idx="11">
                  <c:v>7.3914727984803613E-4</c:v>
                </c:pt>
                <c:pt idx="12">
                  <c:v>7.6500584549310524E-4</c:v>
                </c:pt>
                <c:pt idx="13">
                  <c:v>7.9121226735557465E-4</c:v>
                </c:pt>
                <c:pt idx="14">
                  <c:v>8.1732667500866718E-4</c:v>
                </c:pt>
                <c:pt idx="15">
                  <c:v>8.4306295223290917E-4</c:v>
                </c:pt>
                <c:pt idx="16">
                  <c:v>8.6899970740139665E-4</c:v>
                </c:pt>
                <c:pt idx="17">
                  <c:v>8.9493438715281676E-4</c:v>
                </c:pt>
                <c:pt idx="18">
                  <c:v>9.2043562006494106E-4</c:v>
                </c:pt>
                <c:pt idx="19">
                  <c:v>9.4516669452093804E-4</c:v>
                </c:pt>
                <c:pt idx="20">
                  <c:v>9.6881709693363849E-4</c:v>
                </c:pt>
                <c:pt idx="21">
                  <c:v>9.9140661068586322E-4</c:v>
                </c:pt>
                <c:pt idx="22">
                  <c:v>1.0130295161511205E-3</c:v>
                </c:pt>
                <c:pt idx="23">
                  <c:v>1.033691239031409E-3</c:v>
                </c:pt>
                <c:pt idx="24">
                  <c:v>1.0534508742243709E-3</c:v>
                </c:pt>
                <c:pt idx="25">
                  <c:v>1.0718887860142814E-3</c:v>
                </c:pt>
                <c:pt idx="26">
                  <c:v>1.0892919386841296E-3</c:v>
                </c:pt>
                <c:pt idx="27">
                  <c:v>1.1059008542140258E-3</c:v>
                </c:pt>
                <c:pt idx="28">
                  <c:v>1.1219316897422907E-3</c:v>
                </c:pt>
                <c:pt idx="29">
                  <c:v>1.13760081160863E-3</c:v>
                </c:pt>
                <c:pt idx="30">
                  <c:v>1.1530857910740933E-3</c:v>
                </c:pt>
                <c:pt idx="31">
                  <c:v>1.1683912037093735E-3</c:v>
                </c:pt>
                <c:pt idx="32">
                  <c:v>1.1836276619577868E-3</c:v>
                </c:pt>
                <c:pt idx="33">
                  <c:v>1.198956522487582E-3</c:v>
                </c:pt>
                <c:pt idx="34">
                  <c:v>1.2145196191616359E-3</c:v>
                </c:pt>
                <c:pt idx="35">
                  <c:v>1.2304444634672063E-3</c:v>
                </c:pt>
                <c:pt idx="36">
                  <c:v>1.2456234673182687E-3</c:v>
                </c:pt>
                <c:pt idx="37">
                  <c:v>1.2601897483343061E-3</c:v>
                </c:pt>
                <c:pt idx="38">
                  <c:v>1.2748638988242522E-3</c:v>
                </c:pt>
                <c:pt idx="39">
                  <c:v>1.2902546661451852E-3</c:v>
                </c:pt>
                <c:pt idx="40">
                  <c:v>1.3067780927445982E-3</c:v>
                </c:pt>
                <c:pt idx="41">
                  <c:v>1.3245019942423886E-3</c:v>
                </c:pt>
                <c:pt idx="42">
                  <c:v>1.3434935981558871E-3</c:v>
                </c:pt>
                <c:pt idx="43">
                  <c:v>1.3638659763328675E-3</c:v>
                </c:pt>
                <c:pt idx="44">
                  <c:v>1.3857145863834797E-3</c:v>
                </c:pt>
                <c:pt idx="45">
                  <c:v>1.4091219941004818E-3</c:v>
                </c:pt>
                <c:pt idx="46">
                  <c:v>1.4337019196856149E-3</c:v>
                </c:pt>
                <c:pt idx="47">
                  <c:v>1.4594038199384762E-3</c:v>
                </c:pt>
                <c:pt idx="48">
                  <c:v>1.4865596584855423E-3</c:v>
                </c:pt>
                <c:pt idx="49">
                  <c:v>1.5154951585009124E-3</c:v>
                </c:pt>
                <c:pt idx="50">
                  <c:v>1.5464660346182768E-3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220-87B3-3326FFCA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153232"/>
        <c:axId val="582155528"/>
      </c:areaChart>
      <c:dateAx>
        <c:axId val="5821532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Verdana" panose="020B0604030504040204" pitchFamily="34" charset="0"/>
                <a:cs typeface="+mn-cs"/>
              </a:defRPr>
            </a:pPr>
            <a:endParaRPr lang="fr-FR"/>
          </a:p>
        </c:txPr>
        <c:crossAx val="582155528"/>
        <c:crosses val="autoZero"/>
        <c:auto val="1"/>
        <c:lblOffset val="100"/>
        <c:baseTimeUnit val="years"/>
        <c:majorUnit val="5"/>
        <c:majorTimeUnit val="years"/>
      </c:dateAx>
      <c:valAx>
        <c:axId val="5821555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Verdana" panose="020B0604030504040204" pitchFamily="34" charset="0"/>
                <a:cs typeface="+mn-cs"/>
              </a:defRPr>
            </a:pPr>
            <a:endParaRPr lang="fr-FR"/>
          </a:p>
        </c:txPr>
        <c:crossAx val="5821532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Verdana" panose="020B0604030504040204" pitchFamily="34" charset="0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  <a:ea typeface="Verdana" panose="020B0604030504040204" pitchFamily="34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dommag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dommages%20-%20W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dommages%20-%20WD+agr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dommages%20-%20WD+agri+ai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dommages%20-%20WD+agri+air+s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4">
          <cell r="C4">
            <v>42005</v>
          </cell>
          <cell r="D4">
            <v>42370</v>
          </cell>
          <cell r="E4">
            <v>42736</v>
          </cell>
          <cell r="F4">
            <v>43101</v>
          </cell>
          <cell r="G4">
            <v>43466</v>
          </cell>
          <cell r="H4">
            <v>43831</v>
          </cell>
          <cell r="I4">
            <v>44197</v>
          </cell>
          <cell r="J4">
            <v>44562</v>
          </cell>
          <cell r="K4">
            <v>44927</v>
          </cell>
          <cell r="L4">
            <v>45292</v>
          </cell>
          <cell r="M4">
            <v>45658</v>
          </cell>
          <cell r="N4">
            <v>46023</v>
          </cell>
          <cell r="O4">
            <v>46388</v>
          </cell>
          <cell r="P4">
            <v>46753</v>
          </cell>
          <cell r="Q4">
            <v>47119</v>
          </cell>
          <cell r="R4">
            <v>47484</v>
          </cell>
          <cell r="S4">
            <v>47849</v>
          </cell>
          <cell r="T4">
            <v>48214</v>
          </cell>
          <cell r="U4">
            <v>48580</v>
          </cell>
          <cell r="V4">
            <v>48945</v>
          </cell>
          <cell r="W4">
            <v>49310</v>
          </cell>
          <cell r="X4">
            <v>49675</v>
          </cell>
          <cell r="Y4">
            <v>50041</v>
          </cell>
          <cell r="Z4">
            <v>50406</v>
          </cell>
          <cell r="AA4">
            <v>50771</v>
          </cell>
          <cell r="AB4">
            <v>51136</v>
          </cell>
          <cell r="AC4">
            <v>51502</v>
          </cell>
          <cell r="AD4">
            <v>51867</v>
          </cell>
          <cell r="AE4">
            <v>52232</v>
          </cell>
          <cell r="AF4">
            <v>52597</v>
          </cell>
          <cell r="AG4">
            <v>52963</v>
          </cell>
          <cell r="AH4">
            <v>53328</v>
          </cell>
          <cell r="AI4">
            <v>53693</v>
          </cell>
          <cell r="AJ4">
            <v>54058</v>
          </cell>
          <cell r="AK4">
            <v>54424</v>
          </cell>
          <cell r="AL4">
            <v>54789</v>
          </cell>
          <cell r="AM4">
            <v>55154</v>
          </cell>
          <cell r="AN4">
            <v>55519</v>
          </cell>
          <cell r="AO4">
            <v>55885</v>
          </cell>
          <cell r="AP4">
            <v>56250</v>
          </cell>
          <cell r="AQ4">
            <v>56615</v>
          </cell>
          <cell r="AR4">
            <v>56980</v>
          </cell>
          <cell r="AS4">
            <v>57346</v>
          </cell>
          <cell r="AT4">
            <v>57711</v>
          </cell>
          <cell r="AU4">
            <v>58076</v>
          </cell>
          <cell r="AV4">
            <v>58441</v>
          </cell>
          <cell r="AW4">
            <v>58807</v>
          </cell>
          <cell r="AX4">
            <v>59172</v>
          </cell>
          <cell r="AY4">
            <v>59537</v>
          </cell>
          <cell r="AZ4">
            <v>59902</v>
          </cell>
          <cell r="BA4">
            <v>60268</v>
          </cell>
        </row>
        <row r="5">
          <cell r="C5">
            <v>-1.7920560060476931</v>
          </cell>
          <cell r="D5">
            <v>-2.2420987067714226</v>
          </cell>
          <cell r="E5">
            <v>-2.6391221765120765</v>
          </cell>
          <cell r="F5">
            <v>-2.9643816726273586</v>
          </cell>
          <cell r="G5">
            <v>-3.2296915621844557</v>
          </cell>
          <cell r="H5">
            <v>-3.4482070066652715</v>
          </cell>
          <cell r="I5">
            <v>-3.6326495606225029</v>
          </cell>
          <cell r="J5">
            <v>-3.7895724678620457</v>
          </cell>
          <cell r="K5">
            <v>-3.925561282951473</v>
          </cell>
          <cell r="L5">
            <v>-4.046157084557656</v>
          </cell>
          <cell r="M5">
            <v>-4.1553333650161006</v>
          </cell>
          <cell r="N5">
            <v>-4.2645058246850169</v>
          </cell>
          <cell r="O5">
            <v>-4.3702166676571119</v>
          </cell>
          <cell r="P5">
            <v>-4.4739030661767654</v>
          </cell>
          <cell r="Q5">
            <v>-4.5764389712854792</v>
          </cell>
          <cell r="R5">
            <v>-4.6783745751842627</v>
          </cell>
          <cell r="S5">
            <v>-4.7862161674368853</v>
          </cell>
          <cell r="T5">
            <v>-4.8950316546854662</v>
          </cell>
          <cell r="U5">
            <v>-5.0046765696343032</v>
          </cell>
          <cell r="V5">
            <v>-5.1148923511879829</v>
          </cell>
          <cell r="W5">
            <v>-5.2258308335493941</v>
          </cell>
          <cell r="X5">
            <v>-5.3363634323631892</v>
          </cell>
          <cell r="Y5">
            <v>-5.4467910406484243</v>
          </cell>
          <cell r="Z5">
            <v>-5.5570910105028792</v>
          </cell>
          <cell r="AA5">
            <v>-5.6671644214184358</v>
          </cell>
          <cell r="AB5">
            <v>-5.7777265392661707</v>
          </cell>
          <cell r="AC5">
            <v>-5.8847122349554031</v>
          </cell>
          <cell r="AD5">
            <v>-5.99016073495795</v>
          </cell>
          <cell r="AE5">
            <v>-6.0941600957232893</v>
          </cell>
          <cell r="AF5">
            <v>-6.1967742970330919</v>
          </cell>
          <cell r="AG5">
            <v>-6.298007703933683</v>
          </cell>
          <cell r="AH5">
            <v>-6.3966700243280217</v>
          </cell>
          <cell r="AI5">
            <v>-6.4936134241516674</v>
          </cell>
          <cell r="AJ5">
            <v>-6.5888409746443717</v>
          </cell>
          <cell r="AK5">
            <v>-6.6823771179448936</v>
          </cell>
          <cell r="AL5">
            <v>-6.7742466423518888</v>
          </cell>
          <cell r="AM5">
            <v>-6.8550398816495273</v>
          </cell>
          <cell r="AN5">
            <v>-6.9321634655607252</v>
          </cell>
          <cell r="AO5">
            <v>-7.0061506333724104</v>
          </cell>
          <cell r="AP5">
            <v>-7.0776919433239165</v>
          </cell>
          <cell r="AQ5">
            <v>-7.1473490433306424</v>
          </cell>
          <cell r="AR5">
            <v>-7.2140795107235256</v>
          </cell>
          <cell r="AS5">
            <v>-7.2792999868279917</v>
          </cell>
          <cell r="AT5">
            <v>-7.3433338061466795</v>
          </cell>
          <cell r="AU5">
            <v>-7.4064755589099747</v>
          </cell>
          <cell r="AV5">
            <v>-7.4689697537801631</v>
          </cell>
          <cell r="AW5">
            <v>-7.5263485848496074</v>
          </cell>
          <cell r="AX5">
            <v>-7.5823325968397137</v>
          </cell>
          <cell r="AY5">
            <v>-7.6373940938334055</v>
          </cell>
          <cell r="AZ5">
            <v>-7.691975357905589</v>
          </cell>
          <cell r="BA5">
            <v>-7.7463988062068339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5">
          <cell r="C5">
            <v>-1.7105840554810015</v>
          </cell>
          <cell r="D5">
            <v>-2.098056736359466</v>
          </cell>
          <cell r="E5">
            <v>-2.4532546055058613</v>
          </cell>
          <cell r="F5">
            <v>-2.7517937372380175</v>
          </cell>
          <cell r="G5">
            <v>-2.9990320526349201</v>
          </cell>
          <cell r="H5">
            <v>-3.2030280950868795</v>
          </cell>
          <cell r="I5">
            <v>-3.3733930388557543</v>
          </cell>
          <cell r="J5">
            <v>-3.51562243585547</v>
          </cell>
          <cell r="K5">
            <v>-3.6361018719246463</v>
          </cell>
          <cell r="L5">
            <v>-3.7405791429351631</v>
          </cell>
          <cell r="M5">
            <v>-3.8334394917893921</v>
          </cell>
          <cell r="N5">
            <v>-3.925556698553101</v>
          </cell>
          <cell r="O5">
            <v>-4.0138240489166144</v>
          </cell>
          <cell r="P5">
            <v>-4.0997975041976105</v>
          </cell>
          <cell r="Q5">
            <v>-4.1844108990118141</v>
          </cell>
          <cell r="R5">
            <v>-4.2682193718009405</v>
          </cell>
          <cell r="S5">
            <v>-4.3572346504538011</v>
          </cell>
          <cell r="T5">
            <v>-4.446581128211669</v>
          </cell>
          <cell r="U5">
            <v>-4.5362483138397192</v>
          </cell>
          <cell r="V5">
            <v>-4.6261021063189967</v>
          </cell>
          <cell r="W5">
            <v>-4.7163174260623446</v>
          </cell>
          <cell r="X5">
            <v>-4.8060004625971375</v>
          </cell>
          <cell r="Y5">
            <v>-4.8953489734531725</v>
          </cell>
          <cell r="Z5">
            <v>-4.9843562098548233</v>
          </cell>
          <cell r="AA5">
            <v>-5.0729292917466084</v>
          </cell>
          <cell r="AB5">
            <v>-5.1616312992447515</v>
          </cell>
          <cell r="AC5">
            <v>-5.2470427631295502</v>
          </cell>
          <cell r="AD5">
            <v>-5.3309757047204975</v>
          </cell>
          <cell r="AE5">
            <v>-5.4134537423666913</v>
          </cell>
          <cell r="AF5">
            <v>-5.4944750354783629</v>
          </cell>
          <cell r="AG5">
            <v>-5.5740006203695458</v>
          </cell>
          <cell r="AH5">
            <v>-5.6509432844425334</v>
          </cell>
          <cell r="AI5">
            <v>-5.7261280214704442</v>
          </cell>
          <cell r="AJ5">
            <v>-5.7995105060567376</v>
          </cell>
          <cell r="AK5">
            <v>-5.8710724612016545</v>
          </cell>
          <cell r="AL5">
            <v>-5.9408064863598842</v>
          </cell>
          <cell r="AM5">
            <v>-6.0003827900889544</v>
          </cell>
          <cell r="AN5">
            <v>-6.0571000103954891</v>
          </cell>
          <cell r="AO5">
            <v>-6.1110748911116231</v>
          </cell>
          <cell r="AP5">
            <v>-6.1626563911912129</v>
          </cell>
          <cell r="AQ5">
            <v>-6.2122074676719148</v>
          </cell>
          <cell r="AR5">
            <v>-6.2587962491754912</v>
          </cell>
          <cell r="AS5">
            <v>-6.3038097195504577</v>
          </cell>
          <cell r="AT5">
            <v>-6.3475234557170079</v>
          </cell>
          <cell r="AU5">
            <v>-6.3901885641366452</v>
          </cell>
          <cell r="AV5">
            <v>-6.4320132937912504</v>
          </cell>
          <cell r="AW5">
            <v>-6.4691410532873412</v>
          </cell>
          <cell r="AX5">
            <v>-6.5051793926074524</v>
          </cell>
          <cell r="AY5">
            <v>-6.5403479043005692</v>
          </cell>
          <cell r="AZ5">
            <v>-6.5748713084534671</v>
          </cell>
          <cell r="BA5">
            <v>-6.6089373105816973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5">
          <cell r="C5">
            <v>-1.7239083776241837</v>
          </cell>
          <cell r="D5">
            <v>-2.1239935207077454</v>
          </cell>
          <cell r="E5">
            <v>-2.4891225395322514</v>
          </cell>
          <cell r="F5">
            <v>-2.7951154979427906</v>
          </cell>
          <cell r="G5">
            <v>-3.0485007207746717</v>
          </cell>
          <cell r="H5">
            <v>-3.258445650476105</v>
          </cell>
          <cell r="I5">
            <v>-3.4351509459371377</v>
          </cell>
          <cell r="J5">
            <v>-3.5842063990634165</v>
          </cell>
          <cell r="K5">
            <v>-3.7119212821545733</v>
          </cell>
          <cell r="L5">
            <v>-3.823893445591442</v>
          </cell>
          <cell r="M5">
            <v>-3.9243808589903617</v>
          </cell>
          <cell r="N5">
            <v>-4.0243051535956091</v>
          </cell>
          <cell r="O5">
            <v>-4.1205009025164223</v>
          </cell>
          <cell r="P5">
            <v>-4.214481464955333</v>
          </cell>
          <cell r="Q5">
            <v>-4.3071546522808868</v>
          </cell>
          <cell r="R5">
            <v>-4.3990701522248372</v>
          </cell>
          <cell r="S5">
            <v>-4.4964038097517474</v>
          </cell>
          <cell r="T5">
            <v>-4.5942586889975212</v>
          </cell>
          <cell r="U5">
            <v>-4.6925741669075594</v>
          </cell>
          <cell r="V5">
            <v>-4.7911596378355625</v>
          </cell>
          <cell r="W5">
            <v>-4.890120474243953</v>
          </cell>
          <cell r="X5">
            <v>-4.9885606660133863</v>
          </cell>
          <cell r="Y5">
            <v>-5.0866473227110127</v>
          </cell>
          <cell r="Z5">
            <v>-5.1843638809987098</v>
          </cell>
          <cell r="AA5">
            <v>-5.2816141303685393</v>
          </cell>
          <cell r="AB5">
            <v>-5.378884782695625</v>
          </cell>
          <cell r="AC5">
            <v>-5.4727626523337953</v>
          </cell>
          <cell r="AD5">
            <v>-5.5650523438231181</v>
          </cell>
          <cell r="AE5">
            <v>-5.6558045965432235</v>
          </cell>
          <cell r="AF5">
            <v>-5.7450476278337987</v>
          </cell>
          <cell r="AG5">
            <v>-5.8327643326368754</v>
          </cell>
          <cell r="AH5">
            <v>-5.917842324679123</v>
          </cell>
          <cell r="AI5">
            <v>-6.0011152322248851</v>
          </cell>
          <cell r="AJ5">
            <v>-6.0825513449470066</v>
          </cell>
          <cell r="AK5">
            <v>-6.1621440880965324</v>
          </cell>
          <cell r="AL5">
            <v>-6.2398945263227423</v>
          </cell>
          <cell r="AM5">
            <v>-6.3071317772742326</v>
          </cell>
          <cell r="AN5">
            <v>-6.3711924471877124</v>
          </cell>
          <cell r="AO5">
            <v>-6.4322910590061237</v>
          </cell>
          <cell r="AP5">
            <v>-6.4908771262686678</v>
          </cell>
          <cell r="AQ5">
            <v>-6.5473870189902916</v>
          </cell>
          <cell r="AR5">
            <v>-6.6008768155865649</v>
          </cell>
          <cell r="AS5">
            <v>-6.6527493921291425</v>
          </cell>
          <cell r="AT5">
            <v>-6.7032941464406974</v>
          </cell>
          <cell r="AU5">
            <v>-6.7527723799083113</v>
          </cell>
          <cell r="AV5">
            <v>-6.8013988833824364</v>
          </cell>
          <cell r="AW5">
            <v>-6.8451523347565102</v>
          </cell>
          <cell r="AX5">
            <v>-6.8876472311519059</v>
          </cell>
          <cell r="AY5">
            <v>-6.9291553937470551</v>
          </cell>
          <cell r="AZ5">
            <v>-6.9699577755831026</v>
          </cell>
          <cell r="BA5">
            <v>-7.0102850440077358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5">
          <cell r="C5">
            <v>-1.72967218222293</v>
          </cell>
          <cell r="D5">
            <v>-2.1360026873177951</v>
          </cell>
          <cell r="E5">
            <v>-2.5059966593618421</v>
          </cell>
          <cell r="F5">
            <v>-2.8155374730618687</v>
          </cell>
          <cell r="G5">
            <v>-3.0719478873656336</v>
          </cell>
          <cell r="H5">
            <v>-3.2850913693374229</v>
          </cell>
          <cell r="I5">
            <v>-3.4655332539311412</v>
          </cell>
          <cell r="J5">
            <v>-3.618909783269264</v>
          </cell>
          <cell r="K5">
            <v>-3.751384574217087</v>
          </cell>
          <cell r="L5">
            <v>-3.868355689867975</v>
          </cell>
          <cell r="M5">
            <v>-3.9739167156266797</v>
          </cell>
          <cell r="N5">
            <v>-4.0789527375008516</v>
          </cell>
          <cell r="O5">
            <v>-4.1802648473146302</v>
          </cell>
          <cell r="P5">
            <v>-4.2793308136126251</v>
          </cell>
          <cell r="Q5">
            <v>-4.3770577406321509</v>
          </cell>
          <cell r="R5">
            <v>-4.4740248319046438</v>
          </cell>
          <cell r="S5">
            <v>-4.5765614759202382</v>
          </cell>
          <cell r="T5">
            <v>-4.679824798905063</v>
          </cell>
          <cell r="U5">
            <v>-4.7837535205868527</v>
          </cell>
          <cell r="V5">
            <v>-4.8881529444861238</v>
          </cell>
          <cell r="W5">
            <v>-4.9931267962232244</v>
          </cell>
          <cell r="X5">
            <v>-5.0978060566297945</v>
          </cell>
          <cell r="Y5">
            <v>-5.2023648355869367</v>
          </cell>
          <cell r="Z5">
            <v>-5.3067939708296379</v>
          </cell>
          <cell r="AA5">
            <v>-5.4110008706358403</v>
          </cell>
          <cell r="AB5">
            <v>-5.5154431237263495</v>
          </cell>
          <cell r="AC5">
            <v>-5.6166769147145583</v>
          </cell>
          <cell r="AD5">
            <v>-5.716485047952502</v>
          </cell>
          <cell r="AE5">
            <v>-5.8149278107086477</v>
          </cell>
          <cell r="AF5">
            <v>-5.9120418471148461</v>
          </cell>
          <cell r="AG5">
            <v>-6.0078095479177414</v>
          </cell>
          <cell r="AH5">
            <v>-6.1010733895568325</v>
          </cell>
          <cell r="AI5">
            <v>-6.1926549109063922</v>
          </cell>
          <cell r="AJ5">
            <v>-6.282529905937551</v>
          </cell>
          <cell r="AK5">
            <v>-6.3707002990826105</v>
          </cell>
          <cell r="AL5">
            <v>-6.4571714369733417</v>
          </cell>
          <cell r="AM5">
            <v>-6.5328982005756098</v>
          </cell>
          <cell r="AN5">
            <v>-6.6052229531384903</v>
          </cell>
          <cell r="AO5">
            <v>-6.6745322504579097</v>
          </cell>
          <cell r="AP5">
            <v>-6.7414084574380029</v>
          </cell>
          <cell r="AQ5">
            <v>-6.8063382189467951</v>
          </cell>
          <cell r="AR5">
            <v>-6.8683033524690966</v>
          </cell>
          <cell r="AS5">
            <v>-6.928668962176876</v>
          </cell>
          <cell r="AT5">
            <v>-6.9877194682012256</v>
          </cell>
          <cell r="AU5">
            <v>-7.0457205382521648</v>
          </cell>
          <cell r="AV5">
            <v>-7.1028945042994955</v>
          </cell>
          <cell r="AW5">
            <v>-7.1550059082373441</v>
          </cell>
          <cell r="AX5">
            <v>-7.2056768729780956</v>
          </cell>
          <cell r="AY5">
            <v>-7.2553009327841806</v>
          </cell>
          <cell r="AZ5">
            <v>-7.3042601965870313</v>
          </cell>
          <cell r="BA5">
            <v>-7.3528340204140452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5">
          <cell r="C5">
            <v>-1.7698122826268814</v>
          </cell>
          <cell r="D5">
            <v>-2.1997652501852039</v>
          </cell>
          <cell r="E5">
            <v>-2.5847061089792955</v>
          </cell>
          <cell r="F5">
            <v>-2.9040185620997749</v>
          </cell>
          <cell r="G5">
            <v>-3.1669712372714542</v>
          </cell>
          <cell r="H5">
            <v>-3.3845992633824928</v>
          </cell>
          <cell r="I5">
            <v>-3.5682948544118465</v>
          </cell>
          <cell r="J5">
            <v>-3.724073469827982</v>
          </cell>
          <cell r="K5">
            <v>-3.8584244908730803</v>
          </cell>
          <cell r="L5">
            <v>-3.9769851520614408</v>
          </cell>
          <cell r="M5">
            <v>-4.0839028310477481</v>
          </cell>
          <cell r="N5">
            <v>-4.1905910967002136</v>
          </cell>
          <cell r="O5">
            <v>-4.2937160831078014</v>
          </cell>
          <cell r="P5">
            <v>-4.3947818394412081</v>
          </cell>
          <cell r="Q5">
            <v>-4.4947063037846124</v>
          </cell>
          <cell r="R5">
            <v>-4.5940682799609718</v>
          </cell>
          <cell r="S5">
            <v>-4.6993161966967456</v>
          </cell>
          <cell r="T5">
            <v>-4.8055382159701843</v>
          </cell>
          <cell r="U5">
            <v>-4.9126330076278091</v>
          </cell>
          <cell r="V5">
            <v>-5.0203756817358887</v>
          </cell>
          <cell r="W5">
            <v>-5.1289491238560299</v>
          </cell>
          <cell r="X5">
            <v>-5.2372227712946025</v>
          </cell>
          <cell r="Y5">
            <v>-5.3454880890333119</v>
          </cell>
          <cell r="Z5">
            <v>-5.4537218865997383</v>
          </cell>
          <cell r="AA5">
            <v>-5.5618193339959987</v>
          </cell>
          <cell r="AB5">
            <v>-5.6705376606647429</v>
          </cell>
          <cell r="AC5">
            <v>-5.7757830410869904</v>
          </cell>
          <cell r="AD5">
            <v>-5.8795706495365474</v>
          </cell>
          <cell r="AE5">
            <v>-5.9819669267490605</v>
          </cell>
          <cell r="AF5">
            <v>-6.0830142158722289</v>
          </cell>
          <cell r="AG5">
            <v>-6.1826991248262742</v>
          </cell>
          <cell r="AH5">
            <v>-6.2798309039570839</v>
          </cell>
          <cell r="AI5">
            <v>-6.3752506579558883</v>
          </cell>
          <cell r="AJ5">
            <v>-6.4689453223956139</v>
          </cell>
          <cell r="AK5">
            <v>-6.5609251560287296</v>
          </cell>
          <cell r="AL5">
            <v>-6.6512021960051682</v>
          </cell>
          <cell r="AM5">
            <v>-6.7304775349177</v>
          </cell>
          <cell r="AN5">
            <v>-6.806144490727295</v>
          </cell>
          <cell r="AO5">
            <v>-6.8786642434899843</v>
          </cell>
          <cell r="AP5">
            <v>-6.9486664767093975</v>
          </cell>
          <cell r="AQ5">
            <v>-7.0166712340561821</v>
          </cell>
          <cell r="AR5">
            <v>-7.0816293112992863</v>
          </cell>
          <cell r="AS5">
            <v>-7.1449506270124026</v>
          </cell>
          <cell r="AT5">
            <v>-7.2069472085133928</v>
          </cell>
          <cell r="AU5">
            <v>-7.2679041002716271</v>
          </cell>
          <cell r="AV5">
            <v>-7.3280575543701154</v>
          </cell>
          <cell r="AW5">
            <v>-7.3829783928810455</v>
          </cell>
          <cell r="AX5">
            <v>-7.4363922148458661</v>
          </cell>
          <cell r="AY5">
            <v>-7.4887381279848508</v>
          </cell>
          <cell r="AZ5">
            <v>-7.5404258420554982</v>
          </cell>
          <cell r="BA5">
            <v>-7.5917522027450062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"/>
  <sheetViews>
    <sheetView workbookViewId="0">
      <selection activeCell="B9" sqref="B9"/>
    </sheetView>
  </sheetViews>
  <sheetFormatPr baseColWidth="10" defaultRowHeight="14.5" x14ac:dyDescent="0.35"/>
  <cols>
    <col min="1" max="1" width="19.81640625" customWidth="1"/>
  </cols>
  <sheetData>
    <row r="1" spans="1:52" x14ac:dyDescent="0.35">
      <c r="B1" s="1">
        <f>[1]Données!C4</f>
        <v>42005</v>
      </c>
      <c r="C1" s="1">
        <f>[1]Données!D4</f>
        <v>42370</v>
      </c>
      <c r="D1" s="1">
        <f>[1]Données!E4</f>
        <v>42736</v>
      </c>
      <c r="E1" s="1">
        <f>[1]Données!F4</f>
        <v>43101</v>
      </c>
      <c r="F1" s="1">
        <f>[1]Données!G4</f>
        <v>43466</v>
      </c>
      <c r="G1" s="1">
        <f>[1]Données!H4</f>
        <v>43831</v>
      </c>
      <c r="H1" s="1">
        <f>[1]Données!I4</f>
        <v>44197</v>
      </c>
      <c r="I1" s="1">
        <f>[1]Données!J4</f>
        <v>44562</v>
      </c>
      <c r="J1" s="1">
        <f>[1]Données!K4</f>
        <v>44927</v>
      </c>
      <c r="K1" s="1">
        <f>[1]Données!L4</f>
        <v>45292</v>
      </c>
      <c r="L1" s="1">
        <f>[1]Données!M4</f>
        <v>45658</v>
      </c>
      <c r="M1" s="1">
        <f>[1]Données!N4</f>
        <v>46023</v>
      </c>
      <c r="N1" s="1">
        <f>[1]Données!O4</f>
        <v>46388</v>
      </c>
      <c r="O1" s="1">
        <f>[1]Données!P4</f>
        <v>46753</v>
      </c>
      <c r="P1" s="1">
        <f>[1]Données!Q4</f>
        <v>47119</v>
      </c>
      <c r="Q1" s="1">
        <f>[1]Données!R4</f>
        <v>47484</v>
      </c>
      <c r="R1" s="1">
        <f>[1]Données!S4</f>
        <v>47849</v>
      </c>
      <c r="S1" s="1">
        <f>[1]Données!T4</f>
        <v>48214</v>
      </c>
      <c r="T1" s="1">
        <f>[1]Données!U4</f>
        <v>48580</v>
      </c>
      <c r="U1" s="1">
        <f>[1]Données!V4</f>
        <v>48945</v>
      </c>
      <c r="V1" s="1">
        <f>[1]Données!W4</f>
        <v>49310</v>
      </c>
      <c r="W1" s="1">
        <f>[1]Données!X4</f>
        <v>49675</v>
      </c>
      <c r="X1" s="1">
        <f>[1]Données!Y4</f>
        <v>50041</v>
      </c>
      <c r="Y1" s="1">
        <f>[1]Données!Z4</f>
        <v>50406</v>
      </c>
      <c r="Z1" s="1">
        <f>[1]Données!AA4</f>
        <v>50771</v>
      </c>
      <c r="AA1" s="1">
        <f>[1]Données!AB4</f>
        <v>51136</v>
      </c>
      <c r="AB1" s="1">
        <f>[1]Données!AC4</f>
        <v>51502</v>
      </c>
      <c r="AC1" s="1">
        <f>[1]Données!AD4</f>
        <v>51867</v>
      </c>
      <c r="AD1" s="1">
        <f>[1]Données!AE4</f>
        <v>52232</v>
      </c>
      <c r="AE1" s="1">
        <f>[1]Données!AF4</f>
        <v>52597</v>
      </c>
      <c r="AF1" s="1">
        <f>[1]Données!AG4</f>
        <v>52963</v>
      </c>
      <c r="AG1" s="1">
        <f>[1]Données!AH4</f>
        <v>53328</v>
      </c>
      <c r="AH1" s="1">
        <f>[1]Données!AI4</f>
        <v>53693</v>
      </c>
      <c r="AI1" s="1">
        <f>[1]Données!AJ4</f>
        <v>54058</v>
      </c>
      <c r="AJ1" s="1">
        <f>[1]Données!AK4</f>
        <v>54424</v>
      </c>
      <c r="AK1" s="1">
        <f>[1]Données!AL4</f>
        <v>54789</v>
      </c>
      <c r="AL1" s="1">
        <f>[1]Données!AM4</f>
        <v>55154</v>
      </c>
      <c r="AM1" s="1">
        <f>[1]Données!AN4</f>
        <v>55519</v>
      </c>
      <c r="AN1" s="1">
        <f>[1]Données!AO4</f>
        <v>55885</v>
      </c>
      <c r="AO1" s="1">
        <f>[1]Données!AP4</f>
        <v>56250</v>
      </c>
      <c r="AP1" s="1">
        <f>[1]Données!AQ4</f>
        <v>56615</v>
      </c>
      <c r="AQ1" s="1">
        <f>[1]Données!AR4</f>
        <v>56980</v>
      </c>
      <c r="AR1" s="1">
        <f>[1]Données!AS4</f>
        <v>57346</v>
      </c>
      <c r="AS1" s="1">
        <f>[1]Données!AT4</f>
        <v>57711</v>
      </c>
      <c r="AT1" s="1">
        <f>[1]Données!AU4</f>
        <v>58076</v>
      </c>
      <c r="AU1" s="1">
        <f>[1]Données!AV4</f>
        <v>58441</v>
      </c>
      <c r="AV1" s="1">
        <f>[1]Données!AW4</f>
        <v>58807</v>
      </c>
      <c r="AW1" s="1">
        <f>[1]Données!AX4</f>
        <v>59172</v>
      </c>
      <c r="AX1" s="1">
        <f>[1]Données!AY4</f>
        <v>59537</v>
      </c>
      <c r="AY1" s="1">
        <f>[1]Données!AZ4</f>
        <v>59902</v>
      </c>
      <c r="AZ1" s="1">
        <f>[1]Données!BA4</f>
        <v>60268</v>
      </c>
    </row>
    <row r="2" spans="1:52" x14ac:dyDescent="0.35">
      <c r="A2" t="s">
        <v>1</v>
      </c>
      <c r="B2" s="2">
        <f>(([2]Données!C5)/100)*-1</f>
        <v>1.7105840554810015E-2</v>
      </c>
      <c r="C2" s="2">
        <f>(([2]Données!D5)/100)*-1</f>
        <v>2.098056736359466E-2</v>
      </c>
      <c r="D2" s="2">
        <f>(([2]Données!E5)/100)*-1</f>
        <v>2.4532546055058613E-2</v>
      </c>
      <c r="E2" s="2">
        <f>(([2]Données!F5)/100)*-1</f>
        <v>2.7517937372380175E-2</v>
      </c>
      <c r="F2" s="2">
        <f>(([2]Données!G5)/100)*-1</f>
        <v>2.9990320526349201E-2</v>
      </c>
      <c r="G2" s="2">
        <f>(([2]Données!H5)/100)*-1</f>
        <v>3.2030280950868795E-2</v>
      </c>
      <c r="H2" s="2">
        <f>(([2]Données!I5)/100)*-1</f>
        <v>3.3733930388557543E-2</v>
      </c>
      <c r="I2" s="2">
        <f>(([2]Données!J5)/100)*-1</f>
        <v>3.51562243585547E-2</v>
      </c>
      <c r="J2" s="2">
        <f>(([2]Données!K5)/100)*-1</f>
        <v>3.6361018719246463E-2</v>
      </c>
      <c r="K2" s="2">
        <f>(([2]Données!L5)/100)*-1</f>
        <v>3.7405791429351631E-2</v>
      </c>
      <c r="L2" s="2">
        <f>(([2]Données!M5)/100)*-1</f>
        <v>3.8334394917893921E-2</v>
      </c>
      <c r="M2" s="2">
        <f>(([2]Données!N5)/100)*-1</f>
        <v>3.925556698553101E-2</v>
      </c>
      <c r="N2" s="2">
        <f>(([2]Données!O5)/100)*-1</f>
        <v>4.0138240489166144E-2</v>
      </c>
      <c r="O2" s="2">
        <f>(([2]Données!P5)/100)*-1</f>
        <v>4.0997975041976102E-2</v>
      </c>
      <c r="P2" s="2">
        <f>(([2]Données!Q5)/100)*-1</f>
        <v>4.1844108990118138E-2</v>
      </c>
      <c r="Q2" s="2">
        <f>(([2]Données!R5)/100)*-1</f>
        <v>4.2682193718009402E-2</v>
      </c>
      <c r="R2" s="2">
        <f>(([2]Données!S5)/100)*-1</f>
        <v>4.3572346504538013E-2</v>
      </c>
      <c r="S2" s="2">
        <f>(([2]Données!T5)/100)*-1</f>
        <v>4.4465811282116692E-2</v>
      </c>
      <c r="T2" s="2">
        <f>(([2]Données!U5)/100)*-1</f>
        <v>4.5362483138397192E-2</v>
      </c>
      <c r="U2" s="2">
        <f>(([2]Données!V5)/100)*-1</f>
        <v>4.6261021063189967E-2</v>
      </c>
      <c r="V2" s="2">
        <f>(([2]Données!W5)/100)*-1</f>
        <v>4.7163174260623449E-2</v>
      </c>
      <c r="W2" s="2">
        <f>(([2]Données!X5)/100)*-1</f>
        <v>4.8060004625971375E-2</v>
      </c>
      <c r="X2" s="2">
        <f>(([2]Données!Y5)/100)*-1</f>
        <v>4.8953489734531723E-2</v>
      </c>
      <c r="Y2" s="2">
        <f>(([2]Données!Z5)/100)*-1</f>
        <v>4.9843562098548233E-2</v>
      </c>
      <c r="Z2" s="2">
        <f>(([2]Données!AA5)/100)*-1</f>
        <v>5.0729292917466084E-2</v>
      </c>
      <c r="AA2" s="2">
        <f>(([2]Données!AB5)/100)*-1</f>
        <v>5.1616312992447518E-2</v>
      </c>
      <c r="AB2" s="2">
        <f>(([2]Données!AC5)/100)*-1</f>
        <v>5.2470427631295502E-2</v>
      </c>
      <c r="AC2" s="2">
        <f>(([2]Données!AD5)/100)*-1</f>
        <v>5.3309757047204975E-2</v>
      </c>
      <c r="AD2" s="2">
        <f>(([2]Données!AE5)/100)*-1</f>
        <v>5.4134537423666911E-2</v>
      </c>
      <c r="AE2" s="2">
        <f>(([2]Données!AF5)/100)*-1</f>
        <v>5.4944750354783627E-2</v>
      </c>
      <c r="AF2" s="2">
        <f>(([2]Données!AG5)/100)*-1</f>
        <v>5.5740006203695458E-2</v>
      </c>
      <c r="AG2" s="2">
        <f>(([2]Données!AH5)/100)*-1</f>
        <v>5.6509432844425334E-2</v>
      </c>
      <c r="AH2" s="2">
        <f>(([2]Données!AI5)/100)*-1</f>
        <v>5.7261280214704439E-2</v>
      </c>
      <c r="AI2" s="2">
        <f>(([2]Données!AJ5)/100)*-1</f>
        <v>5.7995105060567376E-2</v>
      </c>
      <c r="AJ2" s="2">
        <f>(([2]Données!AK5)/100)*-1</f>
        <v>5.8710724612016547E-2</v>
      </c>
      <c r="AK2" s="2">
        <f>(([2]Données!AL5)/100)*-1</f>
        <v>5.9408064863598842E-2</v>
      </c>
      <c r="AL2" s="2">
        <f>(([2]Données!AM5)/100)*-1</f>
        <v>6.0003827900889546E-2</v>
      </c>
      <c r="AM2" s="2">
        <f>(([2]Données!AN5)/100)*-1</f>
        <v>6.0571000103954893E-2</v>
      </c>
      <c r="AN2" s="2">
        <f>(([2]Données!AO5)/100)*-1</f>
        <v>6.1110748911116231E-2</v>
      </c>
      <c r="AO2" s="2">
        <f>(([2]Données!AP5)/100)*-1</f>
        <v>6.1626563911912131E-2</v>
      </c>
      <c r="AP2" s="2">
        <f>(([2]Données!AQ5)/100)*-1</f>
        <v>6.2122074676719145E-2</v>
      </c>
      <c r="AQ2" s="2">
        <f>(([2]Données!AR5)/100)*-1</f>
        <v>6.2587962491754912E-2</v>
      </c>
      <c r="AR2" s="2">
        <f>(([2]Données!AS5)/100)*-1</f>
        <v>6.3038097195504572E-2</v>
      </c>
      <c r="AS2" s="2">
        <f>(([2]Données!AT5)/100)*-1</f>
        <v>6.3475234557170079E-2</v>
      </c>
      <c r="AT2" s="2">
        <f>(([2]Données!AU5)/100)*-1</f>
        <v>6.3901885641366452E-2</v>
      </c>
      <c r="AU2" s="2">
        <f>(([2]Données!AV5)/100)*-1</f>
        <v>6.43201329379125E-2</v>
      </c>
      <c r="AV2" s="2">
        <f>(([2]Données!AW5)/100)*-1</f>
        <v>6.4691410532873417E-2</v>
      </c>
      <c r="AW2" s="2">
        <f>(([2]Données!AX5)/100)*-1</f>
        <v>6.5051793926074519E-2</v>
      </c>
      <c r="AX2" s="2">
        <f>(([2]Données!AY5)/100)*-1</f>
        <v>6.5403479043005697E-2</v>
      </c>
      <c r="AY2" s="2">
        <f>(([2]Données!AZ5)/100)*-1</f>
        <v>6.5748713084534671E-2</v>
      </c>
      <c r="AZ2" s="4">
        <f>(([2]Données!BA5)/100)*-1</f>
        <v>6.6089373105816973E-2</v>
      </c>
    </row>
    <row r="3" spans="1:52" x14ac:dyDescent="0.35">
      <c r="A3" t="s">
        <v>3</v>
      </c>
      <c r="B3" s="2">
        <f>(([3]Données!C5)/100)*-1</f>
        <v>1.7239083776241837E-2</v>
      </c>
      <c r="C3" s="2">
        <f>(([3]Données!D5)/100)*-1</f>
        <v>2.1239935207077454E-2</v>
      </c>
      <c r="D3" s="2">
        <f>(([3]Données!E5)/100)*-1</f>
        <v>2.4891225395322514E-2</v>
      </c>
      <c r="E3" s="2">
        <f>(([3]Données!F5)/100)*-1</f>
        <v>2.7951154979427906E-2</v>
      </c>
      <c r="F3" s="2">
        <f>(([3]Données!G5)/100)*-1</f>
        <v>3.0485007207746717E-2</v>
      </c>
      <c r="G3" s="2">
        <f>(([3]Données!H5)/100)*-1</f>
        <v>3.258445650476105E-2</v>
      </c>
      <c r="H3" s="2">
        <f>(([3]Données!I5)/100)*-1</f>
        <v>3.4351509459371377E-2</v>
      </c>
      <c r="I3" s="2">
        <f>(([3]Données!J5)/100)*-1</f>
        <v>3.5842063990634165E-2</v>
      </c>
      <c r="J3" s="2">
        <f>(([3]Données!K5)/100)*-1</f>
        <v>3.7119212821545733E-2</v>
      </c>
      <c r="K3" s="2">
        <f>(([3]Données!L5)/100)*-1</f>
        <v>3.823893445591442E-2</v>
      </c>
      <c r="L3" s="2">
        <f>(([3]Données!M5)/100)*-1</f>
        <v>3.9243808589903617E-2</v>
      </c>
      <c r="M3" s="2">
        <f>(([3]Données!N5)/100)*-1</f>
        <v>4.0243051535956094E-2</v>
      </c>
      <c r="N3" s="2">
        <f>(([3]Données!O5)/100)*-1</f>
        <v>4.1205009025164226E-2</v>
      </c>
      <c r="O3" s="2">
        <f>(([3]Données!P5)/100)*-1</f>
        <v>4.214481464955333E-2</v>
      </c>
      <c r="P3" s="2">
        <f>(([3]Données!Q5)/100)*-1</f>
        <v>4.3071546522808868E-2</v>
      </c>
      <c r="Q3" s="2">
        <f>(([3]Données!R5)/100)*-1</f>
        <v>4.399070152224837E-2</v>
      </c>
      <c r="R3" s="2">
        <f>(([3]Données!S5)/100)*-1</f>
        <v>4.4964038097517471E-2</v>
      </c>
      <c r="S3" s="2">
        <f>(([3]Données!T5)/100)*-1</f>
        <v>4.5942586889975212E-2</v>
      </c>
      <c r="T3" s="2">
        <f>(([3]Données!U5)/100)*-1</f>
        <v>4.6925741669075594E-2</v>
      </c>
      <c r="U3" s="2">
        <f>(([3]Données!V5)/100)*-1</f>
        <v>4.7911596378355625E-2</v>
      </c>
      <c r="V3" s="2">
        <f>(([3]Données!W5)/100)*-1</f>
        <v>4.890120474243953E-2</v>
      </c>
      <c r="W3" s="2">
        <f>(([3]Données!X5)/100)*-1</f>
        <v>4.9885606660133863E-2</v>
      </c>
      <c r="X3" s="2">
        <f>(([3]Données!Y5)/100)*-1</f>
        <v>5.0866473227110125E-2</v>
      </c>
      <c r="Y3" s="2">
        <f>(([3]Données!Z5)/100)*-1</f>
        <v>5.1843638809987096E-2</v>
      </c>
      <c r="Z3" s="2">
        <f>(([3]Données!AA5)/100)*-1</f>
        <v>5.2816141303685393E-2</v>
      </c>
      <c r="AA3" s="2">
        <f>(([3]Données!AB5)/100)*-1</f>
        <v>5.3788847826956247E-2</v>
      </c>
      <c r="AB3" s="2">
        <f>(([3]Données!AC5)/100)*-1</f>
        <v>5.4727626523337951E-2</v>
      </c>
      <c r="AC3" s="2">
        <f>(([3]Données!AD5)/100)*-1</f>
        <v>5.5650523438231181E-2</v>
      </c>
      <c r="AD3" s="2">
        <f>(([3]Données!AE5)/100)*-1</f>
        <v>5.6558045965432235E-2</v>
      </c>
      <c r="AE3" s="2">
        <f>(([3]Données!AF5)/100)*-1</f>
        <v>5.7450476278337985E-2</v>
      </c>
      <c r="AF3" s="2">
        <f>(([3]Données!AG5)/100)*-1</f>
        <v>5.8327643326368757E-2</v>
      </c>
      <c r="AG3" s="2">
        <f>(([3]Données!AH5)/100)*-1</f>
        <v>5.9178423246791227E-2</v>
      </c>
      <c r="AH3" s="2">
        <f>(([3]Données!AI5)/100)*-1</f>
        <v>6.0011152322248851E-2</v>
      </c>
      <c r="AI3" s="2">
        <f>(([3]Données!AJ5)/100)*-1</f>
        <v>6.0825513449470063E-2</v>
      </c>
      <c r="AJ3" s="2">
        <f>(([3]Données!AK5)/100)*-1</f>
        <v>6.1621440880965321E-2</v>
      </c>
      <c r="AK3" s="2">
        <f>(([3]Données!AL5)/100)*-1</f>
        <v>6.2398945263227423E-2</v>
      </c>
      <c r="AL3" s="2">
        <f>(([3]Données!AM5)/100)*-1</f>
        <v>6.307131777274233E-2</v>
      </c>
      <c r="AM3" s="2">
        <f>(([3]Données!AN5)/100)*-1</f>
        <v>6.3711924471877124E-2</v>
      </c>
      <c r="AN3" s="2">
        <f>(([3]Données!AO5)/100)*-1</f>
        <v>6.4322910590061233E-2</v>
      </c>
      <c r="AO3" s="2">
        <f>(([3]Données!AP5)/100)*-1</f>
        <v>6.4908771262686682E-2</v>
      </c>
      <c r="AP3" s="2">
        <f>(([3]Données!AQ5)/100)*-1</f>
        <v>6.5473870189902916E-2</v>
      </c>
      <c r="AQ3" s="2">
        <f>(([3]Données!AR5)/100)*-1</f>
        <v>6.6008768155865649E-2</v>
      </c>
      <c r="AR3" s="2">
        <f>(([3]Données!AS5)/100)*-1</f>
        <v>6.6527493921291425E-2</v>
      </c>
      <c r="AS3" s="2">
        <f>(([3]Données!AT5)/100)*-1</f>
        <v>6.703294146440697E-2</v>
      </c>
      <c r="AT3" s="2">
        <f>(([3]Données!AU5)/100)*-1</f>
        <v>6.7527723799083117E-2</v>
      </c>
      <c r="AU3" s="2">
        <f>(([3]Données!AV5)/100)*-1</f>
        <v>6.8013988833824368E-2</v>
      </c>
      <c r="AV3" s="2">
        <f>(([3]Données!AW5)/100)*-1</f>
        <v>6.8451523347565102E-2</v>
      </c>
      <c r="AW3" s="2">
        <f>(([3]Données!AX5)/100)*-1</f>
        <v>6.8876472311519055E-2</v>
      </c>
      <c r="AX3" s="2">
        <f>(([3]Données!AY5)/100)*-1</f>
        <v>6.9291553937470551E-2</v>
      </c>
      <c r="AY3" s="2">
        <f>(([3]Données!AZ5)/100)*-1</f>
        <v>6.9699577755831021E-2</v>
      </c>
      <c r="AZ3" s="4">
        <f>(([3]Données!BA5)/100)*-1</f>
        <v>7.0102850440077358E-2</v>
      </c>
    </row>
    <row r="4" spans="1:52" x14ac:dyDescent="0.35">
      <c r="A4" t="s">
        <v>4</v>
      </c>
      <c r="B4" s="2">
        <f>-0.01*[4]Données!C5</f>
        <v>1.72967218222293E-2</v>
      </c>
      <c r="C4" s="2">
        <f>([4]Données!D5/100)*-1</f>
        <v>2.1360026873177951E-2</v>
      </c>
      <c r="D4" s="2">
        <f>([4]Données!E5/100)*-1</f>
        <v>2.5059966593618421E-2</v>
      </c>
      <c r="E4" s="2">
        <f>([4]Données!F5/100)*-1</f>
        <v>2.8155374730618687E-2</v>
      </c>
      <c r="F4" s="2">
        <f>([4]Données!G5/100)*-1</f>
        <v>3.0719478873656336E-2</v>
      </c>
      <c r="G4" s="2">
        <f>([4]Données!H5/100)*-1</f>
        <v>3.2850913693374229E-2</v>
      </c>
      <c r="H4" s="2">
        <f>([4]Données!I5/100)*-1</f>
        <v>3.4655332539311412E-2</v>
      </c>
      <c r="I4" s="2">
        <f>([4]Données!J5/100)*-1</f>
        <v>3.618909783269264E-2</v>
      </c>
      <c r="J4" s="2">
        <f>([4]Données!K5/100)*-1</f>
        <v>3.751384574217087E-2</v>
      </c>
      <c r="K4" s="2">
        <f>([4]Données!L5/100)*-1</f>
        <v>3.868355689867975E-2</v>
      </c>
      <c r="L4" s="2">
        <f>([4]Données!M5/100)*-1</f>
        <v>3.9739167156266797E-2</v>
      </c>
      <c r="M4" s="2">
        <f>([4]Données!N5/100)*-1</f>
        <v>4.0789527375008516E-2</v>
      </c>
      <c r="N4" s="2">
        <f>([4]Données!O5/100)*-1</f>
        <v>4.1802648473146305E-2</v>
      </c>
      <c r="O4" s="2">
        <f>([4]Données!P5/100)*-1</f>
        <v>4.2793308136126251E-2</v>
      </c>
      <c r="P4" s="2">
        <f>([4]Données!Q5/100)*-1</f>
        <v>4.3770577406321509E-2</v>
      </c>
      <c r="Q4" s="2">
        <f>([4]Données!R5/100)*-1</f>
        <v>4.4740248319046438E-2</v>
      </c>
      <c r="R4" s="2">
        <f>([4]Données!S5/100)*-1</f>
        <v>4.5765614759202385E-2</v>
      </c>
      <c r="S4" s="2">
        <f>([4]Données!T5/100)*-1</f>
        <v>4.6798247989050627E-2</v>
      </c>
      <c r="T4" s="2">
        <f>([4]Données!U5/100)*-1</f>
        <v>4.7837535205868524E-2</v>
      </c>
      <c r="U4" s="2">
        <f>([4]Données!V5/100)*-1</f>
        <v>4.8881529444861238E-2</v>
      </c>
      <c r="V4" s="2">
        <f>([4]Données!W5/100)*-1</f>
        <v>4.9931267962232247E-2</v>
      </c>
      <c r="W4" s="2">
        <f>([4]Données!X5/100)*-1</f>
        <v>5.0978060566297945E-2</v>
      </c>
      <c r="X4" s="2">
        <f>([4]Données!Y5/100)*-1</f>
        <v>5.2023648355869367E-2</v>
      </c>
      <c r="Y4" s="2">
        <f>([4]Données!Z5/100)*-1</f>
        <v>5.3067939708296381E-2</v>
      </c>
      <c r="Z4" s="2">
        <f>([4]Données!AA5/100)*-1</f>
        <v>5.4110008706358403E-2</v>
      </c>
      <c r="AA4" s="2">
        <f>([4]Données!AB5/100)*-1</f>
        <v>5.5154431237263497E-2</v>
      </c>
      <c r="AB4" s="2">
        <f>([4]Données!AC5/100)*-1</f>
        <v>5.6166769147145586E-2</v>
      </c>
      <c r="AC4" s="2">
        <f>([4]Données!AD5/100)*-1</f>
        <v>5.716485047952502E-2</v>
      </c>
      <c r="AD4" s="2">
        <f>([4]Données!AE5/100)*-1</f>
        <v>5.8149278107086477E-2</v>
      </c>
      <c r="AE4" s="2">
        <f>([4]Données!AF5/100)*-1</f>
        <v>5.9120418471148461E-2</v>
      </c>
      <c r="AF4" s="2">
        <f>([4]Données!AG5/100)*-1</f>
        <v>6.0078095479177411E-2</v>
      </c>
      <c r="AG4" s="2">
        <f>([4]Données!AH5/100)*-1</f>
        <v>6.1010733895568325E-2</v>
      </c>
      <c r="AH4" s="2">
        <f>([4]Données!AI5/100)*-1</f>
        <v>6.1926549109063922E-2</v>
      </c>
      <c r="AI4" s="2">
        <f>([4]Données!AJ5/100)*-1</f>
        <v>6.2825299059375506E-2</v>
      </c>
      <c r="AJ4" s="2">
        <f>([4]Données!AK5/100)*-1</f>
        <v>6.37070029908261E-2</v>
      </c>
      <c r="AK4" s="2">
        <f>([4]Données!AL5/100)*-1</f>
        <v>6.4571714369733413E-2</v>
      </c>
      <c r="AL4" s="2">
        <f>([4]Données!AM5/100)*-1</f>
        <v>6.5328982005756098E-2</v>
      </c>
      <c r="AM4" s="2">
        <f>([4]Données!AN5/100)*-1</f>
        <v>6.6052229531384898E-2</v>
      </c>
      <c r="AN4" s="2">
        <f>([4]Données!AO5/100)*-1</f>
        <v>6.6745322504579097E-2</v>
      </c>
      <c r="AO4" s="2">
        <f>([4]Données!AP5/100)*-1</f>
        <v>6.7414084574380029E-2</v>
      </c>
      <c r="AP4" s="2">
        <f>([4]Données!AQ5/100)*-1</f>
        <v>6.8063382189467947E-2</v>
      </c>
      <c r="AQ4" s="2">
        <f>([4]Données!AR5/100)*-1</f>
        <v>6.8683033524690962E-2</v>
      </c>
      <c r="AR4" s="2">
        <f>([4]Données!AS5/100)*-1</f>
        <v>6.928668962176876E-2</v>
      </c>
      <c r="AS4" s="2">
        <f>([4]Données!AT5/100)*-1</f>
        <v>6.9877194682012256E-2</v>
      </c>
      <c r="AT4" s="2">
        <f>([4]Données!AU5/100)*-1</f>
        <v>7.0457205382521648E-2</v>
      </c>
      <c r="AU4" s="2">
        <f>([4]Données!AV5/100)*-1</f>
        <v>7.1028945042994951E-2</v>
      </c>
      <c r="AV4" s="2">
        <f>([4]Données!AW5/100)*-1</f>
        <v>7.1550059082373441E-2</v>
      </c>
      <c r="AW4" s="2">
        <f>([4]Données!AX5/100)*-1</f>
        <v>7.2056768729780951E-2</v>
      </c>
      <c r="AX4" s="2">
        <f>([4]Données!AY5/100)*-1</f>
        <v>7.2553009327841811E-2</v>
      </c>
      <c r="AY4" s="2">
        <f>([4]Données!AZ5/100)*-1</f>
        <v>7.3042601965870313E-2</v>
      </c>
      <c r="AZ4" s="4">
        <f>([4]Données!BA5/100)*-1</f>
        <v>7.3528340204140452E-2</v>
      </c>
    </row>
    <row r="5" spans="1:52" x14ac:dyDescent="0.35">
      <c r="A5" t="s">
        <v>5</v>
      </c>
      <c r="B5" s="2">
        <f>-0.01*[5]Données!C5</f>
        <v>1.7698122826268814E-2</v>
      </c>
      <c r="C5" s="2">
        <f>-0.01*[5]Données!D5</f>
        <v>2.1997652501852039E-2</v>
      </c>
      <c r="D5" s="2">
        <f>-0.01*[5]Données!E5</f>
        <v>2.5847061089792955E-2</v>
      </c>
      <c r="E5" s="2">
        <f>-0.01*[5]Données!F5</f>
        <v>2.9040185620997749E-2</v>
      </c>
      <c r="F5" s="2">
        <f>-0.01*[5]Données!G5</f>
        <v>3.1669712372714542E-2</v>
      </c>
      <c r="G5" s="2">
        <f>-0.01*[5]Données!H5</f>
        <v>3.3845992633824928E-2</v>
      </c>
      <c r="H5" s="2">
        <f>-0.01*[5]Données!I5</f>
        <v>3.5682948544118465E-2</v>
      </c>
      <c r="I5" s="2">
        <f>-0.01*[5]Données!J5</f>
        <v>3.724073469827982E-2</v>
      </c>
      <c r="J5" s="2">
        <f>-0.01*[5]Données!K5</f>
        <v>3.8584244908730803E-2</v>
      </c>
      <c r="K5" s="2">
        <f>-0.01*[5]Données!L5</f>
        <v>3.9769851520614408E-2</v>
      </c>
      <c r="L5" s="2">
        <f>-0.01*[5]Données!M5</f>
        <v>4.0839028310477483E-2</v>
      </c>
      <c r="M5" s="2">
        <f>-0.01*[5]Données!N5</f>
        <v>4.1905910967002136E-2</v>
      </c>
      <c r="N5" s="2">
        <f>-0.01*[5]Données!O5</f>
        <v>4.2937160831078014E-2</v>
      </c>
      <c r="O5" s="2">
        <f>-0.01*[5]Données!P5</f>
        <v>4.3947818394412079E-2</v>
      </c>
      <c r="P5" s="2">
        <f>-0.01*[5]Données!Q5</f>
        <v>4.4947063037846124E-2</v>
      </c>
      <c r="Q5" s="2">
        <f>-0.01*[5]Données!R5</f>
        <v>4.5940682799609715E-2</v>
      </c>
      <c r="R5" s="2">
        <f>-0.01*[5]Données!S5</f>
        <v>4.6993161966967456E-2</v>
      </c>
      <c r="S5" s="2">
        <f>-0.01*[5]Données!T5</f>
        <v>4.8055382159701843E-2</v>
      </c>
      <c r="T5" s="2">
        <f>-0.01*[5]Données!U5</f>
        <v>4.9126330076278091E-2</v>
      </c>
      <c r="U5" s="2">
        <f>-0.01*[5]Données!V5</f>
        <v>5.0203756817358891E-2</v>
      </c>
      <c r="V5" s="2">
        <f>-0.01*[5]Données!W5</f>
        <v>5.1289491238560303E-2</v>
      </c>
      <c r="W5" s="2">
        <f>-0.01*[5]Données!X5</f>
        <v>5.2372227712946029E-2</v>
      </c>
      <c r="X5" s="2">
        <f>-0.01*[5]Données!Y5</f>
        <v>5.3454880890333123E-2</v>
      </c>
      <c r="Y5" s="2">
        <f>-0.01*[5]Données!Z5</f>
        <v>5.4537218865997383E-2</v>
      </c>
      <c r="Z5" s="2">
        <f>-0.01*[5]Données!AA5</f>
        <v>5.5618193339959987E-2</v>
      </c>
      <c r="AA5" s="2">
        <f>-0.01*[5]Données!AB5</f>
        <v>5.6705376606647429E-2</v>
      </c>
      <c r="AB5" s="2">
        <f>-0.01*[5]Données!AC5</f>
        <v>5.7757830410869904E-2</v>
      </c>
      <c r="AC5" s="2">
        <f>-0.01*[5]Données!AD5</f>
        <v>5.8795706495365474E-2</v>
      </c>
      <c r="AD5" s="2">
        <f>-0.01*[5]Données!AE5</f>
        <v>5.9819669267490605E-2</v>
      </c>
      <c r="AE5" s="2">
        <f>-0.01*[5]Données!AF5</f>
        <v>6.0830142158722289E-2</v>
      </c>
      <c r="AF5" s="2">
        <f>-0.01*[5]Données!AG5</f>
        <v>6.1826991248262742E-2</v>
      </c>
      <c r="AG5" s="2">
        <f>-0.01*[5]Données!AH5</f>
        <v>6.2798309039570843E-2</v>
      </c>
      <c r="AH5" s="2">
        <f>-0.01*[5]Données!AI5</f>
        <v>6.3752506579558887E-2</v>
      </c>
      <c r="AI5" s="2">
        <f>-0.01*[5]Données!AJ5</f>
        <v>6.4689453223956139E-2</v>
      </c>
      <c r="AJ5" s="2">
        <f>-0.01*[5]Données!AK5</f>
        <v>6.5609251560287296E-2</v>
      </c>
      <c r="AK5" s="2">
        <f>-0.01*[5]Données!AL5</f>
        <v>6.6512021960051682E-2</v>
      </c>
      <c r="AL5" s="2">
        <f>-0.01*[5]Données!AM5</f>
        <v>6.7304775349177004E-2</v>
      </c>
      <c r="AM5" s="2">
        <f>-0.01*[5]Données!AN5</f>
        <v>6.806144490727295E-2</v>
      </c>
      <c r="AN5" s="2">
        <f>-0.01*[5]Données!AO5</f>
        <v>6.8786642434899847E-2</v>
      </c>
      <c r="AO5" s="2">
        <f>-0.01*[5]Données!AP5</f>
        <v>6.9486664767093975E-2</v>
      </c>
      <c r="AP5" s="2">
        <f>-0.01*[5]Données!AQ5</f>
        <v>7.0166712340561821E-2</v>
      </c>
      <c r="AQ5" s="2">
        <f>-0.01*[5]Données!AR5</f>
        <v>7.0816293112992867E-2</v>
      </c>
      <c r="AR5" s="2">
        <f>-0.01*[5]Données!AS5</f>
        <v>7.144950627012403E-2</v>
      </c>
      <c r="AS5" s="2">
        <f>-0.01*[5]Données!AT5</f>
        <v>7.2069472085133923E-2</v>
      </c>
      <c r="AT5" s="2">
        <f>-0.01*[5]Données!AU5</f>
        <v>7.2679041002716271E-2</v>
      </c>
      <c r="AU5" s="2">
        <f>-0.01*[5]Données!AV5</f>
        <v>7.3280575543701154E-2</v>
      </c>
      <c r="AV5" s="2">
        <f>-0.01*[5]Données!AW5</f>
        <v>7.3829783928810455E-2</v>
      </c>
      <c r="AW5" s="2">
        <f>-0.01*[5]Données!AX5</f>
        <v>7.4363922148458661E-2</v>
      </c>
      <c r="AX5" s="2">
        <f>-0.01*[5]Données!AY5</f>
        <v>7.4887381279848508E-2</v>
      </c>
      <c r="AY5" s="2">
        <f>-0.01*[5]Données!AZ5</f>
        <v>7.5404258420554982E-2</v>
      </c>
      <c r="AZ5" s="4">
        <f>-0.01*[5]Données!BA5</f>
        <v>7.5917522027450057E-2</v>
      </c>
    </row>
    <row r="6" spans="1:52" x14ac:dyDescent="0.35">
      <c r="A6" t="s">
        <v>0</v>
      </c>
      <c r="B6" s="2">
        <f>(([1]Données!C5)/100)*-1</f>
        <v>1.7920560060476931E-2</v>
      </c>
      <c r="C6" s="2">
        <f>(([1]Données!D5)/100)*-1</f>
        <v>2.2420987067714226E-2</v>
      </c>
      <c r="D6" s="2">
        <f>(([1]Données!E5)/100)*-1</f>
        <v>2.6391221765120765E-2</v>
      </c>
      <c r="E6" s="2">
        <f>(([1]Données!F5)/100)*-1</f>
        <v>2.9643816726273586E-2</v>
      </c>
      <c r="F6" s="2">
        <f>(([1]Données!G5)/100)*-1</f>
        <v>3.2296915621844557E-2</v>
      </c>
      <c r="G6" s="2">
        <f>(([1]Données!H5)/100)*-1</f>
        <v>3.4482070066652715E-2</v>
      </c>
      <c r="H6" s="2">
        <f>(([1]Données!I5)/100)*-1</f>
        <v>3.6326495606225029E-2</v>
      </c>
      <c r="I6" s="2">
        <f>(([1]Données!J5)/100)*-1</f>
        <v>3.7895724678620457E-2</v>
      </c>
      <c r="J6" s="2">
        <f>(([1]Données!K5)/100)*-1</f>
        <v>3.925561282951473E-2</v>
      </c>
      <c r="K6" s="2">
        <f>(([1]Données!L5)/100)*-1</f>
        <v>4.0461570845576562E-2</v>
      </c>
      <c r="L6" s="2">
        <f>(([1]Données!M5)/100)*-1</f>
        <v>4.1553333650161006E-2</v>
      </c>
      <c r="M6" s="2">
        <f>(([1]Données!N5)/100)*-1</f>
        <v>4.2645058246850172E-2</v>
      </c>
      <c r="N6" s="2">
        <f>(([1]Données!O5)/100)*-1</f>
        <v>4.3702166676571119E-2</v>
      </c>
      <c r="O6" s="2">
        <f>(([1]Données!P5)/100)*-1</f>
        <v>4.4739030661767654E-2</v>
      </c>
      <c r="P6" s="2">
        <f>(([1]Données!Q5)/100)*-1</f>
        <v>4.5764389712854792E-2</v>
      </c>
      <c r="Q6" s="2">
        <f>(([1]Données!R5)/100)*-1</f>
        <v>4.6783745751842624E-2</v>
      </c>
      <c r="R6" s="2">
        <f>(([1]Données!S5)/100)*-1</f>
        <v>4.7862161674368853E-2</v>
      </c>
      <c r="S6" s="2">
        <f>(([1]Données!T5)/100)*-1</f>
        <v>4.8950316546854659E-2</v>
      </c>
      <c r="T6" s="2">
        <f>(([1]Données!U5)/100)*-1</f>
        <v>5.0046765696343032E-2</v>
      </c>
      <c r="U6" s="2">
        <f>(([1]Données!V5)/100)*-1</f>
        <v>5.1148923511879829E-2</v>
      </c>
      <c r="V6" s="2">
        <f>(([1]Données!W5)/100)*-1</f>
        <v>5.2258308335493941E-2</v>
      </c>
      <c r="W6" s="2">
        <f>(([1]Données!X5)/100)*-1</f>
        <v>5.3363634323631892E-2</v>
      </c>
      <c r="X6" s="2">
        <f>(([1]Données!Y5)/100)*-1</f>
        <v>5.4467910406484243E-2</v>
      </c>
      <c r="Y6" s="2">
        <f>(([1]Données!Z5)/100)*-1</f>
        <v>5.5570910105028792E-2</v>
      </c>
      <c r="Z6" s="2">
        <f>(([1]Données!AA5)/100)*-1</f>
        <v>5.6671644214184358E-2</v>
      </c>
      <c r="AA6" s="2">
        <f>(([1]Données!AB5)/100)*-1</f>
        <v>5.777726539266171E-2</v>
      </c>
      <c r="AB6" s="2">
        <f>(([1]Données!AC5)/100)*-1</f>
        <v>5.8847122349554033E-2</v>
      </c>
      <c r="AC6" s="2">
        <f>(([1]Données!AD5)/100)*-1</f>
        <v>5.99016073495795E-2</v>
      </c>
      <c r="AD6" s="2">
        <f>(([1]Données!AE5)/100)*-1</f>
        <v>6.0941600957232896E-2</v>
      </c>
      <c r="AE6" s="2">
        <f>(([1]Données!AF5)/100)*-1</f>
        <v>6.1967742970330919E-2</v>
      </c>
      <c r="AF6" s="2">
        <f>(([1]Données!AG5)/100)*-1</f>
        <v>6.2980077039336835E-2</v>
      </c>
      <c r="AG6" s="2">
        <f>(([1]Données!AH5)/100)*-1</f>
        <v>6.3966700243280217E-2</v>
      </c>
      <c r="AH6" s="2">
        <f>(([1]Données!AI5)/100)*-1</f>
        <v>6.4936134241516674E-2</v>
      </c>
      <c r="AI6" s="2">
        <f>(([1]Données!AJ5)/100)*-1</f>
        <v>6.5888409746443721E-2</v>
      </c>
      <c r="AJ6" s="2">
        <f>(([1]Données!AK5)/100)*-1</f>
        <v>6.6823771179448932E-2</v>
      </c>
      <c r="AK6" s="2">
        <f>(([1]Données!AL5)/100)*-1</f>
        <v>6.7742466423518888E-2</v>
      </c>
      <c r="AL6" s="2">
        <f>(([1]Données!AM5)/100)*-1</f>
        <v>6.8550398816495273E-2</v>
      </c>
      <c r="AM6" s="2">
        <f>(([1]Données!AN5)/100)*-1</f>
        <v>6.9321634655607256E-2</v>
      </c>
      <c r="AN6" s="2">
        <f>(([1]Données!AO5)/100)*-1</f>
        <v>7.00615063337241E-2</v>
      </c>
      <c r="AO6" s="2">
        <f>(([1]Données!AP5)/100)*-1</f>
        <v>7.077691943323916E-2</v>
      </c>
      <c r="AP6" s="2">
        <f>(([1]Données!AQ5)/100)*-1</f>
        <v>7.1473490433306419E-2</v>
      </c>
      <c r="AQ6" s="2">
        <f>(([1]Données!AR5)/100)*-1</f>
        <v>7.2140795107235256E-2</v>
      </c>
      <c r="AR6" s="2">
        <f>(([1]Données!AS5)/100)*-1</f>
        <v>7.2792999868279917E-2</v>
      </c>
      <c r="AS6" s="2">
        <f>(([1]Données!AT5)/100)*-1</f>
        <v>7.3433338061466791E-2</v>
      </c>
      <c r="AT6" s="2">
        <f>(([1]Données!AU5)/100)*-1</f>
        <v>7.4064755589099751E-2</v>
      </c>
      <c r="AU6" s="2">
        <f>(([1]Données!AV5)/100)*-1</f>
        <v>7.4689697537801636E-2</v>
      </c>
      <c r="AV6" s="2">
        <f>(([1]Données!AW5)/100)*-1</f>
        <v>7.526348584849607E-2</v>
      </c>
      <c r="AW6" s="2">
        <f>(([1]Données!AX5)/100)*-1</f>
        <v>7.5823325968397137E-2</v>
      </c>
      <c r="AX6" s="2">
        <f>(([1]Données!AY5)/100)*-1</f>
        <v>7.6373940938334051E-2</v>
      </c>
      <c r="AY6" s="2">
        <f>(([1]Données!AZ5)/100)*-1</f>
        <v>7.6919753579055894E-2</v>
      </c>
      <c r="AZ6" s="4">
        <f>(([1]Données!BA5)/100)*-1</f>
        <v>7.7463988062068334E-2</v>
      </c>
    </row>
    <row r="8" spans="1:52" x14ac:dyDescent="0.35">
      <c r="B8" s="1">
        <f>B1</f>
        <v>42005</v>
      </c>
      <c r="C8" s="1">
        <f t="shared" ref="C8:AZ8" si="0">C1</f>
        <v>42370</v>
      </c>
      <c r="D8" s="1">
        <f t="shared" si="0"/>
        <v>42736</v>
      </c>
      <c r="E8" s="1">
        <f t="shared" si="0"/>
        <v>43101</v>
      </c>
      <c r="F8" s="1">
        <f t="shared" si="0"/>
        <v>43466</v>
      </c>
      <c r="G8" s="1">
        <f t="shared" si="0"/>
        <v>43831</v>
      </c>
      <c r="H8" s="1">
        <f t="shared" si="0"/>
        <v>44197</v>
      </c>
      <c r="I8" s="1">
        <f t="shared" si="0"/>
        <v>44562</v>
      </c>
      <c r="J8" s="1">
        <f t="shared" si="0"/>
        <v>44927</v>
      </c>
      <c r="K8" s="1">
        <f t="shared" si="0"/>
        <v>45292</v>
      </c>
      <c r="L8" s="1">
        <f t="shared" si="0"/>
        <v>45658</v>
      </c>
      <c r="M8" s="1">
        <f t="shared" si="0"/>
        <v>46023</v>
      </c>
      <c r="N8" s="1">
        <f t="shared" si="0"/>
        <v>46388</v>
      </c>
      <c r="O8" s="1">
        <f t="shared" si="0"/>
        <v>46753</v>
      </c>
      <c r="P8" s="1">
        <f t="shared" si="0"/>
        <v>47119</v>
      </c>
      <c r="Q8" s="1">
        <f t="shared" si="0"/>
        <v>47484</v>
      </c>
      <c r="R8" s="1">
        <f t="shared" si="0"/>
        <v>47849</v>
      </c>
      <c r="S8" s="1">
        <f t="shared" si="0"/>
        <v>48214</v>
      </c>
      <c r="T8" s="1">
        <f t="shared" si="0"/>
        <v>48580</v>
      </c>
      <c r="U8" s="1">
        <f t="shared" si="0"/>
        <v>48945</v>
      </c>
      <c r="V8" s="1">
        <f t="shared" si="0"/>
        <v>49310</v>
      </c>
      <c r="W8" s="1">
        <f t="shared" si="0"/>
        <v>49675</v>
      </c>
      <c r="X8" s="1">
        <f t="shared" si="0"/>
        <v>50041</v>
      </c>
      <c r="Y8" s="1">
        <f t="shared" si="0"/>
        <v>50406</v>
      </c>
      <c r="Z8" s="1">
        <f t="shared" si="0"/>
        <v>50771</v>
      </c>
      <c r="AA8" s="1">
        <f t="shared" si="0"/>
        <v>51136</v>
      </c>
      <c r="AB8" s="1">
        <f t="shared" si="0"/>
        <v>51502</v>
      </c>
      <c r="AC8" s="1">
        <f t="shared" si="0"/>
        <v>51867</v>
      </c>
      <c r="AD8" s="1">
        <f t="shared" si="0"/>
        <v>52232</v>
      </c>
      <c r="AE8" s="1">
        <f t="shared" si="0"/>
        <v>52597</v>
      </c>
      <c r="AF8" s="1">
        <f t="shared" si="0"/>
        <v>52963</v>
      </c>
      <c r="AG8" s="1">
        <f t="shared" si="0"/>
        <v>53328</v>
      </c>
      <c r="AH8" s="1">
        <f t="shared" si="0"/>
        <v>53693</v>
      </c>
      <c r="AI8" s="1">
        <f t="shared" si="0"/>
        <v>54058</v>
      </c>
      <c r="AJ8" s="1">
        <f t="shared" si="0"/>
        <v>54424</v>
      </c>
      <c r="AK8" s="1">
        <f t="shared" si="0"/>
        <v>54789</v>
      </c>
      <c r="AL8" s="1">
        <f t="shared" si="0"/>
        <v>55154</v>
      </c>
      <c r="AM8" s="1">
        <f t="shared" si="0"/>
        <v>55519</v>
      </c>
      <c r="AN8" s="1">
        <f t="shared" si="0"/>
        <v>55885</v>
      </c>
      <c r="AO8" s="1">
        <f t="shared" si="0"/>
        <v>56250</v>
      </c>
      <c r="AP8" s="1">
        <f t="shared" si="0"/>
        <v>56615</v>
      </c>
      <c r="AQ8" s="1">
        <f t="shared" si="0"/>
        <v>56980</v>
      </c>
      <c r="AR8" s="1">
        <f t="shared" si="0"/>
        <v>57346</v>
      </c>
      <c r="AS8" s="1">
        <f t="shared" si="0"/>
        <v>57711</v>
      </c>
      <c r="AT8" s="1">
        <f t="shared" si="0"/>
        <v>58076</v>
      </c>
      <c r="AU8" s="1">
        <f t="shared" si="0"/>
        <v>58441</v>
      </c>
      <c r="AV8" s="1">
        <f t="shared" si="0"/>
        <v>58807</v>
      </c>
      <c r="AW8" s="1">
        <f t="shared" si="0"/>
        <v>59172</v>
      </c>
      <c r="AX8" s="1">
        <f t="shared" si="0"/>
        <v>59537</v>
      </c>
      <c r="AY8" s="1">
        <f t="shared" si="0"/>
        <v>59902</v>
      </c>
      <c r="AZ8" s="1">
        <f t="shared" si="0"/>
        <v>60268</v>
      </c>
    </row>
    <row r="9" spans="1:52" x14ac:dyDescent="0.35">
      <c r="A9" t="s">
        <v>1</v>
      </c>
      <c r="B9" s="3">
        <f>B2</f>
        <v>1.7105840554810015E-2</v>
      </c>
      <c r="C9" s="3">
        <f t="shared" ref="C9:AZ9" si="1">C2</f>
        <v>2.098056736359466E-2</v>
      </c>
      <c r="D9" s="3">
        <f t="shared" si="1"/>
        <v>2.4532546055058613E-2</v>
      </c>
      <c r="E9" s="3">
        <f t="shared" si="1"/>
        <v>2.7517937372380175E-2</v>
      </c>
      <c r="F9" s="3">
        <f t="shared" si="1"/>
        <v>2.9990320526349201E-2</v>
      </c>
      <c r="G9" s="3">
        <f t="shared" si="1"/>
        <v>3.2030280950868795E-2</v>
      </c>
      <c r="H9" s="3">
        <f t="shared" si="1"/>
        <v>3.3733930388557543E-2</v>
      </c>
      <c r="I9" s="3">
        <f t="shared" si="1"/>
        <v>3.51562243585547E-2</v>
      </c>
      <c r="J9" s="3">
        <f t="shared" si="1"/>
        <v>3.6361018719246463E-2</v>
      </c>
      <c r="K9" s="3">
        <f t="shared" si="1"/>
        <v>3.7405791429351631E-2</v>
      </c>
      <c r="L9" s="3">
        <f t="shared" si="1"/>
        <v>3.8334394917893921E-2</v>
      </c>
      <c r="M9" s="3">
        <f t="shared" si="1"/>
        <v>3.925556698553101E-2</v>
      </c>
      <c r="N9" s="3">
        <f t="shared" si="1"/>
        <v>4.0138240489166144E-2</v>
      </c>
      <c r="O9" s="3">
        <f t="shared" si="1"/>
        <v>4.0997975041976102E-2</v>
      </c>
      <c r="P9" s="3">
        <f t="shared" si="1"/>
        <v>4.1844108990118138E-2</v>
      </c>
      <c r="Q9" s="3">
        <f t="shared" si="1"/>
        <v>4.2682193718009402E-2</v>
      </c>
      <c r="R9" s="3">
        <f t="shared" si="1"/>
        <v>4.3572346504538013E-2</v>
      </c>
      <c r="S9" s="3">
        <f t="shared" si="1"/>
        <v>4.4465811282116692E-2</v>
      </c>
      <c r="T9" s="3">
        <f t="shared" si="1"/>
        <v>4.5362483138397192E-2</v>
      </c>
      <c r="U9" s="3">
        <f t="shared" si="1"/>
        <v>4.6261021063189967E-2</v>
      </c>
      <c r="V9" s="3">
        <f t="shared" si="1"/>
        <v>4.7163174260623449E-2</v>
      </c>
      <c r="W9" s="3">
        <f t="shared" si="1"/>
        <v>4.8060004625971375E-2</v>
      </c>
      <c r="X9" s="3">
        <f t="shared" si="1"/>
        <v>4.8953489734531723E-2</v>
      </c>
      <c r="Y9" s="3">
        <f t="shared" si="1"/>
        <v>4.9843562098548233E-2</v>
      </c>
      <c r="Z9" s="3">
        <f t="shared" si="1"/>
        <v>5.0729292917466084E-2</v>
      </c>
      <c r="AA9" s="3">
        <f t="shared" si="1"/>
        <v>5.1616312992447518E-2</v>
      </c>
      <c r="AB9" s="3">
        <f t="shared" si="1"/>
        <v>5.2470427631295502E-2</v>
      </c>
      <c r="AC9" s="3">
        <f t="shared" si="1"/>
        <v>5.3309757047204975E-2</v>
      </c>
      <c r="AD9" s="3">
        <f t="shared" si="1"/>
        <v>5.4134537423666911E-2</v>
      </c>
      <c r="AE9" s="3">
        <f t="shared" si="1"/>
        <v>5.4944750354783627E-2</v>
      </c>
      <c r="AF9" s="3">
        <f t="shared" si="1"/>
        <v>5.5740006203695458E-2</v>
      </c>
      <c r="AG9" s="3">
        <f t="shared" si="1"/>
        <v>5.6509432844425334E-2</v>
      </c>
      <c r="AH9" s="3">
        <f t="shared" si="1"/>
        <v>5.7261280214704439E-2</v>
      </c>
      <c r="AI9" s="3">
        <f t="shared" si="1"/>
        <v>5.7995105060567376E-2</v>
      </c>
      <c r="AJ9" s="3">
        <f t="shared" si="1"/>
        <v>5.8710724612016547E-2</v>
      </c>
      <c r="AK9" s="3">
        <f t="shared" si="1"/>
        <v>5.9408064863598842E-2</v>
      </c>
      <c r="AL9" s="3">
        <f t="shared" si="1"/>
        <v>6.0003827900889546E-2</v>
      </c>
      <c r="AM9" s="3">
        <f t="shared" si="1"/>
        <v>6.0571000103954893E-2</v>
      </c>
      <c r="AN9" s="3">
        <f t="shared" si="1"/>
        <v>6.1110748911116231E-2</v>
      </c>
      <c r="AO9" s="3">
        <f t="shared" si="1"/>
        <v>6.1626563911912131E-2</v>
      </c>
      <c r="AP9" s="3">
        <f t="shared" si="1"/>
        <v>6.2122074676719145E-2</v>
      </c>
      <c r="AQ9" s="3">
        <f t="shared" si="1"/>
        <v>6.2587962491754912E-2</v>
      </c>
      <c r="AR9" s="3">
        <f t="shared" si="1"/>
        <v>6.3038097195504572E-2</v>
      </c>
      <c r="AS9" s="3">
        <f t="shared" si="1"/>
        <v>6.3475234557170079E-2</v>
      </c>
      <c r="AT9" s="3">
        <f t="shared" si="1"/>
        <v>6.3901885641366452E-2</v>
      </c>
      <c r="AU9" s="3">
        <f t="shared" si="1"/>
        <v>6.43201329379125E-2</v>
      </c>
      <c r="AV9" s="3">
        <f t="shared" si="1"/>
        <v>6.4691410532873417E-2</v>
      </c>
      <c r="AW9" s="3">
        <f t="shared" si="1"/>
        <v>6.5051793926074519E-2</v>
      </c>
      <c r="AX9" s="3">
        <f t="shared" si="1"/>
        <v>6.5403479043005697E-2</v>
      </c>
      <c r="AY9" s="3">
        <f t="shared" si="1"/>
        <v>6.5748713084534671E-2</v>
      </c>
      <c r="AZ9" s="3">
        <f t="shared" si="1"/>
        <v>6.6089373105816973E-2</v>
      </c>
    </row>
    <row r="10" spans="1:52" x14ac:dyDescent="0.35">
      <c r="A10" t="s">
        <v>3</v>
      </c>
      <c r="B10" s="3">
        <f>B3-B2</f>
        <v>1.3324322143182243E-4</v>
      </c>
      <c r="C10" s="3">
        <f t="shared" ref="C10:AZ13" si="2">C3-C2</f>
        <v>2.5936784348279396E-4</v>
      </c>
      <c r="D10" s="3">
        <f t="shared" si="2"/>
        <v>3.5867934026390103E-4</v>
      </c>
      <c r="E10" s="3">
        <f t="shared" si="2"/>
        <v>4.3321760704773116E-4</v>
      </c>
      <c r="F10" s="3">
        <f t="shared" si="2"/>
        <v>4.9468668139751593E-4</v>
      </c>
      <c r="G10" s="3">
        <f t="shared" si="2"/>
        <v>5.5417555389225548E-4</v>
      </c>
      <c r="H10" s="3">
        <f t="shared" si="2"/>
        <v>6.1757907081383401E-4</v>
      </c>
      <c r="I10" s="3">
        <f t="shared" si="2"/>
        <v>6.8583963207946574E-4</v>
      </c>
      <c r="J10" s="3">
        <f t="shared" si="2"/>
        <v>7.5819410229926998E-4</v>
      </c>
      <c r="K10" s="3">
        <f t="shared" si="2"/>
        <v>8.3314302656278816E-4</v>
      </c>
      <c r="L10" s="3">
        <f t="shared" si="2"/>
        <v>9.0941367200969569E-4</v>
      </c>
      <c r="M10" s="3">
        <f t="shared" si="2"/>
        <v>9.8748455042508426E-4</v>
      </c>
      <c r="N10" s="3">
        <f t="shared" si="2"/>
        <v>1.0667685359980819E-3</v>
      </c>
      <c r="O10" s="3">
        <f t="shared" si="2"/>
        <v>1.1468396075772283E-3</v>
      </c>
      <c r="P10" s="3">
        <f t="shared" si="2"/>
        <v>1.2274375326907297E-3</v>
      </c>
      <c r="Q10" s="3">
        <f t="shared" si="2"/>
        <v>1.3085078042389675E-3</v>
      </c>
      <c r="R10" s="3">
        <f t="shared" si="2"/>
        <v>1.3916915929794577E-3</v>
      </c>
      <c r="S10" s="3">
        <f t="shared" si="2"/>
        <v>1.4767756078585201E-3</v>
      </c>
      <c r="T10" s="3">
        <f t="shared" si="2"/>
        <v>1.5632585306784019E-3</v>
      </c>
      <c r="U10" s="3">
        <f t="shared" si="2"/>
        <v>1.6505753151656588E-3</v>
      </c>
      <c r="V10" s="3">
        <f t="shared" si="2"/>
        <v>1.7380304818160816E-3</v>
      </c>
      <c r="W10" s="3">
        <f t="shared" si="2"/>
        <v>1.8256020341624879E-3</v>
      </c>
      <c r="X10" s="3">
        <f t="shared" si="2"/>
        <v>1.9129834925784017E-3</v>
      </c>
      <c r="Y10" s="3">
        <f t="shared" si="2"/>
        <v>2.0000767114388626E-3</v>
      </c>
      <c r="Z10" s="3">
        <f t="shared" si="2"/>
        <v>2.0868483862193088E-3</v>
      </c>
      <c r="AA10" s="3">
        <f t="shared" si="2"/>
        <v>2.1725348345087298E-3</v>
      </c>
      <c r="AB10" s="3">
        <f t="shared" si="2"/>
        <v>2.2571988920424488E-3</v>
      </c>
      <c r="AC10" s="3">
        <f t="shared" si="2"/>
        <v>2.3407663910262055E-3</v>
      </c>
      <c r="AD10" s="3">
        <f t="shared" si="2"/>
        <v>2.4235085417653249E-3</v>
      </c>
      <c r="AE10" s="3">
        <f t="shared" si="2"/>
        <v>2.5057259235543583E-3</v>
      </c>
      <c r="AF10" s="3">
        <f t="shared" si="2"/>
        <v>2.5876371226732989E-3</v>
      </c>
      <c r="AG10" s="3">
        <f t="shared" si="2"/>
        <v>2.6689904023658936E-3</v>
      </c>
      <c r="AH10" s="3">
        <f t="shared" si="2"/>
        <v>2.7498721075444113E-3</v>
      </c>
      <c r="AI10" s="3">
        <f t="shared" si="2"/>
        <v>2.8304083889026874E-3</v>
      </c>
      <c r="AJ10" s="3">
        <f t="shared" si="2"/>
        <v>2.9107162689487737E-3</v>
      </c>
      <c r="AK10" s="3">
        <f t="shared" si="2"/>
        <v>2.9908803996285815E-3</v>
      </c>
      <c r="AL10" s="3">
        <f t="shared" si="2"/>
        <v>3.067489871852784E-3</v>
      </c>
      <c r="AM10" s="3">
        <f t="shared" si="2"/>
        <v>3.1409243679222307E-3</v>
      </c>
      <c r="AN10" s="3">
        <f t="shared" si="2"/>
        <v>3.2121616789450025E-3</v>
      </c>
      <c r="AO10" s="3">
        <f t="shared" si="2"/>
        <v>3.2822073507745506E-3</v>
      </c>
      <c r="AP10" s="3">
        <f t="shared" si="2"/>
        <v>3.3517955131837709E-3</v>
      </c>
      <c r="AQ10" s="3">
        <f t="shared" si="2"/>
        <v>3.4208056641107376E-3</v>
      </c>
      <c r="AR10" s="3">
        <f t="shared" si="2"/>
        <v>3.489396725786853E-3</v>
      </c>
      <c r="AS10" s="3">
        <f t="shared" si="2"/>
        <v>3.5577069072368905E-3</v>
      </c>
      <c r="AT10" s="3">
        <f t="shared" si="2"/>
        <v>3.6258381577166654E-3</v>
      </c>
      <c r="AU10" s="3">
        <f t="shared" si="2"/>
        <v>3.6938558959118684E-3</v>
      </c>
      <c r="AV10" s="3">
        <f t="shared" si="2"/>
        <v>3.7601128146916851E-3</v>
      </c>
      <c r="AW10" s="3">
        <f t="shared" si="2"/>
        <v>3.8246783854445354E-3</v>
      </c>
      <c r="AX10" s="3">
        <f t="shared" si="2"/>
        <v>3.8880748944648547E-3</v>
      </c>
      <c r="AY10" s="3">
        <f t="shared" si="2"/>
        <v>3.9508646712963502E-3</v>
      </c>
      <c r="AZ10" s="3">
        <f t="shared" si="2"/>
        <v>4.0134773342603847E-3</v>
      </c>
    </row>
    <row r="11" spans="1:52" x14ac:dyDescent="0.35">
      <c r="A11" t="s">
        <v>4</v>
      </c>
      <c r="B11" s="3">
        <f t="shared" ref="B11:Q13" si="3">B4-B3</f>
        <v>5.7638045987462583E-5</v>
      </c>
      <c r="C11" s="3">
        <f t="shared" si="3"/>
        <v>1.2009166610049693E-4</v>
      </c>
      <c r="D11" s="3">
        <f t="shared" si="3"/>
        <v>1.687411982959075E-4</v>
      </c>
      <c r="E11" s="3">
        <f t="shared" si="3"/>
        <v>2.0421975119078173E-4</v>
      </c>
      <c r="F11" s="3">
        <f t="shared" si="3"/>
        <v>2.344716659096191E-4</v>
      </c>
      <c r="G11" s="3">
        <f t="shared" si="3"/>
        <v>2.6645718861317835E-4</v>
      </c>
      <c r="H11" s="3">
        <f t="shared" si="3"/>
        <v>3.0382307994003543E-4</v>
      </c>
      <c r="I11" s="3">
        <f t="shared" si="3"/>
        <v>3.4703384205847509E-4</v>
      </c>
      <c r="J11" s="3">
        <f t="shared" si="3"/>
        <v>3.9463292062513755E-4</v>
      </c>
      <c r="K11" s="3">
        <f t="shared" si="3"/>
        <v>4.4462244276533003E-4</v>
      </c>
      <c r="L11" s="3">
        <f t="shared" si="3"/>
        <v>4.9535856636317988E-4</v>
      </c>
      <c r="M11" s="3">
        <f t="shared" si="3"/>
        <v>5.4647583905242242E-4</v>
      </c>
      <c r="N11" s="3">
        <f t="shared" si="3"/>
        <v>5.9763944798207902E-4</v>
      </c>
      <c r="O11" s="3">
        <f t="shared" si="3"/>
        <v>6.4849348657292083E-4</v>
      </c>
      <c r="P11" s="3">
        <f t="shared" si="3"/>
        <v>6.9903088351264131E-4</v>
      </c>
      <c r="Q11" s="3">
        <f t="shared" si="3"/>
        <v>7.4954679679806874E-4</v>
      </c>
      <c r="R11" s="3">
        <f t="shared" si="2"/>
        <v>8.0157666168491348E-4</v>
      </c>
      <c r="S11" s="3">
        <f t="shared" si="2"/>
        <v>8.5566109907541515E-4</v>
      </c>
      <c r="T11" s="3">
        <f t="shared" si="2"/>
        <v>9.1179353679293057E-4</v>
      </c>
      <c r="U11" s="3">
        <f t="shared" si="2"/>
        <v>9.6993306650561273E-4</v>
      </c>
      <c r="V11" s="3">
        <f t="shared" si="2"/>
        <v>1.0300632197927165E-3</v>
      </c>
      <c r="W11" s="3">
        <f t="shared" si="2"/>
        <v>1.0924539061640814E-3</v>
      </c>
      <c r="X11" s="3">
        <f t="shared" si="2"/>
        <v>1.1571751287592427E-3</v>
      </c>
      <c r="Y11" s="3">
        <f t="shared" si="2"/>
        <v>1.2243008983092857E-3</v>
      </c>
      <c r="Z11" s="3">
        <f t="shared" si="2"/>
        <v>1.2938674026730101E-3</v>
      </c>
      <c r="AA11" s="3">
        <f t="shared" si="2"/>
        <v>1.3655834103072501E-3</v>
      </c>
      <c r="AB11" s="3">
        <f t="shared" si="2"/>
        <v>1.4391426238076349E-3</v>
      </c>
      <c r="AC11" s="3">
        <f t="shared" si="2"/>
        <v>1.5143270412938392E-3</v>
      </c>
      <c r="AD11" s="3">
        <f t="shared" si="2"/>
        <v>1.5912321416542419E-3</v>
      </c>
      <c r="AE11" s="3">
        <f t="shared" si="2"/>
        <v>1.6699421928104766E-3</v>
      </c>
      <c r="AF11" s="3">
        <f t="shared" si="2"/>
        <v>1.7504521528086542E-3</v>
      </c>
      <c r="AG11" s="3">
        <f t="shared" si="2"/>
        <v>1.8323106487770982E-3</v>
      </c>
      <c r="AH11" s="3">
        <f t="shared" si="2"/>
        <v>1.9153967868150712E-3</v>
      </c>
      <c r="AI11" s="3">
        <f t="shared" si="2"/>
        <v>1.9997856099054426E-3</v>
      </c>
      <c r="AJ11" s="3">
        <f t="shared" si="2"/>
        <v>2.0855621098607793E-3</v>
      </c>
      <c r="AK11" s="3">
        <f t="shared" si="2"/>
        <v>2.1727691065059895E-3</v>
      </c>
      <c r="AL11" s="3">
        <f t="shared" si="2"/>
        <v>2.2576642330137675E-3</v>
      </c>
      <c r="AM11" s="3">
        <f t="shared" si="2"/>
        <v>2.3403050595077746E-3</v>
      </c>
      <c r="AN11" s="3">
        <f t="shared" si="2"/>
        <v>2.4224119145178635E-3</v>
      </c>
      <c r="AO11" s="3">
        <f t="shared" si="2"/>
        <v>2.5053133116933468E-3</v>
      </c>
      <c r="AP11" s="3">
        <f t="shared" si="2"/>
        <v>2.5895119995650306E-3</v>
      </c>
      <c r="AQ11" s="3">
        <f t="shared" si="2"/>
        <v>2.6742653688253126E-3</v>
      </c>
      <c r="AR11" s="3">
        <f t="shared" si="2"/>
        <v>2.7591957004773349E-3</v>
      </c>
      <c r="AS11" s="3">
        <f t="shared" si="2"/>
        <v>2.8442532176052859E-3</v>
      </c>
      <c r="AT11" s="3">
        <f t="shared" si="2"/>
        <v>2.9294815834385313E-3</v>
      </c>
      <c r="AU11" s="3">
        <f t="shared" si="2"/>
        <v>3.0149562091705828E-3</v>
      </c>
      <c r="AV11" s="3">
        <f t="shared" si="2"/>
        <v>3.0985357348083387E-3</v>
      </c>
      <c r="AW11" s="3">
        <f t="shared" si="2"/>
        <v>3.1802964182618965E-3</v>
      </c>
      <c r="AX11" s="3">
        <f t="shared" si="2"/>
        <v>3.2614553903712595E-3</v>
      </c>
      <c r="AY11" s="3">
        <f t="shared" si="2"/>
        <v>3.3430242100392915E-3</v>
      </c>
      <c r="AZ11" s="3">
        <f t="shared" si="2"/>
        <v>3.4254897640630944E-3</v>
      </c>
    </row>
    <row r="12" spans="1:52" x14ac:dyDescent="0.35">
      <c r="A12" t="s">
        <v>5</v>
      </c>
      <c r="B12" s="3">
        <f t="shared" si="3"/>
        <v>4.014010040395144E-4</v>
      </c>
      <c r="C12" s="3">
        <f t="shared" si="2"/>
        <v>6.3762562867408779E-4</v>
      </c>
      <c r="D12" s="3">
        <f t="shared" si="2"/>
        <v>7.8709449617453409E-4</v>
      </c>
      <c r="E12" s="3">
        <f t="shared" si="2"/>
        <v>8.8481089037906191E-4</v>
      </c>
      <c r="F12" s="3">
        <f t="shared" si="2"/>
        <v>9.502334990582062E-4</v>
      </c>
      <c r="G12" s="3">
        <f t="shared" si="2"/>
        <v>9.9507894045069989E-4</v>
      </c>
      <c r="H12" s="3">
        <f t="shared" si="2"/>
        <v>1.0276160048070526E-3</v>
      </c>
      <c r="I12" s="3">
        <f t="shared" si="2"/>
        <v>1.0516368655871799E-3</v>
      </c>
      <c r="J12" s="3">
        <f t="shared" si="2"/>
        <v>1.0703991665599322E-3</v>
      </c>
      <c r="K12" s="3">
        <f t="shared" si="2"/>
        <v>1.0862946219346581E-3</v>
      </c>
      <c r="L12" s="3">
        <f t="shared" si="2"/>
        <v>1.0998611542106865E-3</v>
      </c>
      <c r="M12" s="3">
        <f t="shared" si="2"/>
        <v>1.1163835919936194E-3</v>
      </c>
      <c r="N12" s="3">
        <f t="shared" si="2"/>
        <v>1.1345123579317093E-3</v>
      </c>
      <c r="O12" s="3">
        <f t="shared" si="2"/>
        <v>1.1545102582858277E-3</v>
      </c>
      <c r="P12" s="3">
        <f t="shared" si="2"/>
        <v>1.1764856315246153E-3</v>
      </c>
      <c r="Q12" s="3">
        <f t="shared" si="2"/>
        <v>1.2004344805632769E-3</v>
      </c>
      <c r="R12" s="3">
        <f t="shared" si="2"/>
        <v>1.2275472077650715E-3</v>
      </c>
      <c r="S12" s="3">
        <f t="shared" si="2"/>
        <v>1.2571341706512154E-3</v>
      </c>
      <c r="T12" s="3">
        <f t="shared" si="2"/>
        <v>1.2887948704095667E-3</v>
      </c>
      <c r="U12" s="3">
        <f t="shared" si="2"/>
        <v>1.322227372497653E-3</v>
      </c>
      <c r="V12" s="3">
        <f t="shared" si="2"/>
        <v>1.3582232763280563E-3</v>
      </c>
      <c r="W12" s="3">
        <f t="shared" si="2"/>
        <v>1.3941671466480843E-3</v>
      </c>
      <c r="X12" s="3">
        <f t="shared" si="2"/>
        <v>1.4312325344637555E-3</v>
      </c>
      <c r="Y12" s="3">
        <f t="shared" si="2"/>
        <v>1.469279157701002E-3</v>
      </c>
      <c r="Z12" s="3">
        <f t="shared" si="2"/>
        <v>1.5081846336015836E-3</v>
      </c>
      <c r="AA12" s="3">
        <f t="shared" si="2"/>
        <v>1.5509453693839312E-3</v>
      </c>
      <c r="AB12" s="3">
        <f t="shared" si="2"/>
        <v>1.5910612637243179E-3</v>
      </c>
      <c r="AC12" s="3">
        <f t="shared" si="2"/>
        <v>1.6308560158404539E-3</v>
      </c>
      <c r="AD12" s="3">
        <f t="shared" si="2"/>
        <v>1.6703911604041277E-3</v>
      </c>
      <c r="AE12" s="3">
        <f t="shared" si="2"/>
        <v>1.7097236875738275E-3</v>
      </c>
      <c r="AF12" s="3">
        <f t="shared" si="2"/>
        <v>1.7488957690853305E-3</v>
      </c>
      <c r="AG12" s="3">
        <f t="shared" si="2"/>
        <v>1.7875751440025178E-3</v>
      </c>
      <c r="AH12" s="3">
        <f t="shared" si="2"/>
        <v>1.8259574704949655E-3</v>
      </c>
      <c r="AI12" s="3">
        <f t="shared" si="2"/>
        <v>1.8641541645806337E-3</v>
      </c>
      <c r="AJ12" s="3">
        <f t="shared" si="2"/>
        <v>1.9022485694611957E-3</v>
      </c>
      <c r="AK12" s="3">
        <f t="shared" si="2"/>
        <v>1.9403075903182687E-3</v>
      </c>
      <c r="AL12" s="3">
        <f t="shared" si="2"/>
        <v>1.9757933434209063E-3</v>
      </c>
      <c r="AM12" s="3">
        <f t="shared" si="2"/>
        <v>2.0092153758880515E-3</v>
      </c>
      <c r="AN12" s="3">
        <f t="shared" si="2"/>
        <v>2.0413199303207508E-3</v>
      </c>
      <c r="AO12" s="3">
        <f t="shared" si="2"/>
        <v>2.0725801927139464E-3</v>
      </c>
      <c r="AP12" s="3">
        <f t="shared" si="2"/>
        <v>2.103330151093874E-3</v>
      </c>
      <c r="AQ12" s="3">
        <f t="shared" si="2"/>
        <v>2.1332595883019057E-3</v>
      </c>
      <c r="AR12" s="3">
        <f t="shared" si="2"/>
        <v>2.1628166483552702E-3</v>
      </c>
      <c r="AS12" s="3">
        <f t="shared" si="2"/>
        <v>2.1922774031216674E-3</v>
      </c>
      <c r="AT12" s="3">
        <f t="shared" si="2"/>
        <v>2.2218356201946232E-3</v>
      </c>
      <c r="AU12" s="3">
        <f t="shared" si="2"/>
        <v>2.2516305007062032E-3</v>
      </c>
      <c r="AV12" s="3">
        <f t="shared" si="2"/>
        <v>2.2797248464370146E-3</v>
      </c>
      <c r="AW12" s="3">
        <f t="shared" si="2"/>
        <v>2.3071534186777098E-3</v>
      </c>
      <c r="AX12" s="3">
        <f t="shared" si="2"/>
        <v>2.3343719520066974E-3</v>
      </c>
      <c r="AY12" s="3">
        <f t="shared" si="2"/>
        <v>2.3616564546846686E-3</v>
      </c>
      <c r="AZ12" s="3">
        <f t="shared" si="2"/>
        <v>2.3891818233096052E-3</v>
      </c>
    </row>
    <row r="13" spans="1:52" x14ac:dyDescent="0.35">
      <c r="A13" t="s">
        <v>2</v>
      </c>
      <c r="B13" s="3">
        <f t="shared" si="3"/>
        <v>2.2243723420811712E-4</v>
      </c>
      <c r="C13" s="3">
        <f t="shared" si="2"/>
        <v>4.2333456586218787E-4</v>
      </c>
      <c r="D13" s="3">
        <f t="shared" si="2"/>
        <v>5.4416067532780943E-4</v>
      </c>
      <c r="E13" s="3">
        <f t="shared" si="2"/>
        <v>6.0363110527583697E-4</v>
      </c>
      <c r="F13" s="3">
        <f t="shared" si="2"/>
        <v>6.2720324913001502E-4</v>
      </c>
      <c r="G13" s="3">
        <f t="shared" si="2"/>
        <v>6.3607743282778628E-4</v>
      </c>
      <c r="H13" s="3">
        <f t="shared" si="2"/>
        <v>6.435470621065642E-4</v>
      </c>
      <c r="I13" s="3">
        <f t="shared" si="2"/>
        <v>6.5498998034063671E-4</v>
      </c>
      <c r="J13" s="3">
        <f t="shared" si="2"/>
        <v>6.7136792078392737E-4</v>
      </c>
      <c r="K13" s="3">
        <f t="shared" si="2"/>
        <v>6.9171932496215477E-4</v>
      </c>
      <c r="L13" s="3">
        <f t="shared" si="2"/>
        <v>7.1430533968352278E-4</v>
      </c>
      <c r="M13" s="3">
        <f t="shared" si="2"/>
        <v>7.3914727984803613E-4</v>
      </c>
      <c r="N13" s="3">
        <f t="shared" si="2"/>
        <v>7.6500584549310524E-4</v>
      </c>
      <c r="O13" s="3">
        <f t="shared" si="2"/>
        <v>7.9121226735557465E-4</v>
      </c>
      <c r="P13" s="3">
        <f t="shared" si="2"/>
        <v>8.1732667500866718E-4</v>
      </c>
      <c r="Q13" s="3">
        <f t="shared" si="2"/>
        <v>8.4306295223290917E-4</v>
      </c>
      <c r="R13" s="3">
        <f t="shared" si="2"/>
        <v>8.6899970740139665E-4</v>
      </c>
      <c r="S13" s="3">
        <f t="shared" si="2"/>
        <v>8.9493438715281676E-4</v>
      </c>
      <c r="T13" s="3">
        <f t="shared" si="2"/>
        <v>9.2043562006494106E-4</v>
      </c>
      <c r="U13" s="3">
        <f t="shared" si="2"/>
        <v>9.4516669452093804E-4</v>
      </c>
      <c r="V13" s="3">
        <f t="shared" si="2"/>
        <v>9.6881709693363849E-4</v>
      </c>
      <c r="W13" s="3">
        <f t="shared" si="2"/>
        <v>9.9140661068586322E-4</v>
      </c>
      <c r="X13" s="3">
        <f t="shared" si="2"/>
        <v>1.0130295161511205E-3</v>
      </c>
      <c r="Y13" s="3">
        <f t="shared" si="2"/>
        <v>1.033691239031409E-3</v>
      </c>
      <c r="Z13" s="3">
        <f t="shared" si="2"/>
        <v>1.0534508742243709E-3</v>
      </c>
      <c r="AA13" s="3">
        <f t="shared" si="2"/>
        <v>1.0718887860142814E-3</v>
      </c>
      <c r="AB13" s="3">
        <f t="shared" si="2"/>
        <v>1.0892919386841296E-3</v>
      </c>
      <c r="AC13" s="3">
        <f t="shared" si="2"/>
        <v>1.1059008542140258E-3</v>
      </c>
      <c r="AD13" s="3">
        <f t="shared" si="2"/>
        <v>1.1219316897422907E-3</v>
      </c>
      <c r="AE13" s="3">
        <f t="shared" si="2"/>
        <v>1.13760081160863E-3</v>
      </c>
      <c r="AF13" s="3">
        <f t="shared" si="2"/>
        <v>1.1530857910740933E-3</v>
      </c>
      <c r="AG13" s="3">
        <f t="shared" si="2"/>
        <v>1.1683912037093735E-3</v>
      </c>
      <c r="AH13" s="3">
        <f t="shared" si="2"/>
        <v>1.1836276619577868E-3</v>
      </c>
      <c r="AI13" s="3">
        <f t="shared" si="2"/>
        <v>1.198956522487582E-3</v>
      </c>
      <c r="AJ13" s="3">
        <f t="shared" si="2"/>
        <v>1.2145196191616359E-3</v>
      </c>
      <c r="AK13" s="3">
        <f t="shared" si="2"/>
        <v>1.2304444634672063E-3</v>
      </c>
      <c r="AL13" s="3">
        <f t="shared" si="2"/>
        <v>1.2456234673182687E-3</v>
      </c>
      <c r="AM13" s="3">
        <f t="shared" si="2"/>
        <v>1.2601897483343061E-3</v>
      </c>
      <c r="AN13" s="3">
        <f t="shared" si="2"/>
        <v>1.2748638988242522E-3</v>
      </c>
      <c r="AO13" s="3">
        <f t="shared" si="2"/>
        <v>1.2902546661451852E-3</v>
      </c>
      <c r="AP13" s="3">
        <f t="shared" si="2"/>
        <v>1.3067780927445982E-3</v>
      </c>
      <c r="AQ13" s="3">
        <f t="shared" si="2"/>
        <v>1.3245019942423886E-3</v>
      </c>
      <c r="AR13" s="3">
        <f t="shared" si="2"/>
        <v>1.3434935981558871E-3</v>
      </c>
      <c r="AS13" s="3">
        <f t="shared" si="2"/>
        <v>1.3638659763328675E-3</v>
      </c>
      <c r="AT13" s="3">
        <f t="shared" si="2"/>
        <v>1.3857145863834797E-3</v>
      </c>
      <c r="AU13" s="3">
        <f t="shared" si="2"/>
        <v>1.4091219941004818E-3</v>
      </c>
      <c r="AV13" s="3">
        <f t="shared" si="2"/>
        <v>1.4337019196856149E-3</v>
      </c>
      <c r="AW13" s="3">
        <f t="shared" si="2"/>
        <v>1.4594038199384762E-3</v>
      </c>
      <c r="AX13" s="3">
        <f t="shared" si="2"/>
        <v>1.4865596584855423E-3</v>
      </c>
      <c r="AY13" s="3">
        <f t="shared" si="2"/>
        <v>1.5154951585009124E-3</v>
      </c>
      <c r="AZ13" s="3">
        <f t="shared" si="2"/>
        <v>1.5464660346182768E-3</v>
      </c>
    </row>
    <row r="16" spans="1:52" x14ac:dyDescent="0.35">
      <c r="B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Décompo</vt:lpstr>
      <vt:lpstr>Gr Décompo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2022-02-25T15:13:25Z</dcterms:created>
  <dcterms:modified xsi:type="dcterms:W3CDTF">2022-03-22T15:21:41Z</dcterms:modified>
</cp:coreProperties>
</file>