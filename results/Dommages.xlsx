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écompo" sheetId="1" r:id="rId1"/>
    <sheet name="Gr Décompo" sheetId="2" r:id="rId2"/>
  </sheets>
  <externalReferences>
    <externalReference r:id="rId3"/>
    <externalReference r:id="rId4"/>
    <externalReference r:id="rId5"/>
    <externalReference r:id="rId6"/>
    <externalReference r:id="rId7"/>
  </externalReferenc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" l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AZ5" i="1"/>
  <c r="AY5" i="1"/>
  <c r="AX5" i="1"/>
  <c r="AX12" i="1" s="1"/>
  <c r="AW5" i="1"/>
  <c r="AV5" i="1"/>
  <c r="AU5" i="1"/>
  <c r="AT5" i="1"/>
  <c r="AS5" i="1"/>
  <c r="AR5" i="1"/>
  <c r="AQ5" i="1"/>
  <c r="AP5" i="1"/>
  <c r="AP12" i="1" s="1"/>
  <c r="AO5" i="1"/>
  <c r="AN5" i="1"/>
  <c r="AM5" i="1"/>
  <c r="AL5" i="1"/>
  <c r="AK5" i="1"/>
  <c r="AJ5" i="1"/>
  <c r="AI5" i="1"/>
  <c r="AH5" i="1"/>
  <c r="AH12" i="1" s="1"/>
  <c r="AG5" i="1"/>
  <c r="AF5" i="1"/>
  <c r="AE5" i="1"/>
  <c r="AD5" i="1"/>
  <c r="AC5" i="1"/>
  <c r="AB5" i="1"/>
  <c r="AA5" i="1"/>
  <c r="Z5" i="1"/>
  <c r="Z12" i="1" s="1"/>
  <c r="Y5" i="1"/>
  <c r="X5" i="1"/>
  <c r="W5" i="1"/>
  <c r="V5" i="1"/>
  <c r="U5" i="1"/>
  <c r="T5" i="1"/>
  <c r="S5" i="1"/>
  <c r="R5" i="1"/>
  <c r="R12" i="1" s="1"/>
  <c r="Q5" i="1"/>
  <c r="P5" i="1"/>
  <c r="O5" i="1"/>
  <c r="N5" i="1"/>
  <c r="M5" i="1"/>
  <c r="L5" i="1"/>
  <c r="K5" i="1"/>
  <c r="J5" i="1"/>
  <c r="J12" i="1" s="1"/>
  <c r="I5" i="1"/>
  <c r="H5" i="1"/>
  <c r="G5" i="1"/>
  <c r="F5" i="1"/>
  <c r="E5" i="1"/>
  <c r="D5" i="1"/>
  <c r="C5" i="1"/>
  <c r="AZ4" i="1"/>
  <c r="AZ11" i="1" s="1"/>
  <c r="AY4" i="1"/>
  <c r="AX4" i="1"/>
  <c r="AW4" i="1"/>
  <c r="AV4" i="1"/>
  <c r="AU4" i="1"/>
  <c r="AT4" i="1"/>
  <c r="AS4" i="1"/>
  <c r="AR4" i="1"/>
  <c r="AR11" i="1" s="1"/>
  <c r="AQ4" i="1"/>
  <c r="AP4" i="1"/>
  <c r="AO4" i="1"/>
  <c r="AN4" i="1"/>
  <c r="AM4" i="1"/>
  <c r="AL4" i="1"/>
  <c r="AK4" i="1"/>
  <c r="AJ4" i="1"/>
  <c r="AJ11" i="1" s="1"/>
  <c r="AI4" i="1"/>
  <c r="AH4" i="1"/>
  <c r="AG4" i="1"/>
  <c r="AF4" i="1"/>
  <c r="AE4" i="1"/>
  <c r="AD4" i="1"/>
  <c r="AC4" i="1"/>
  <c r="AB4" i="1"/>
  <c r="AB11" i="1" s="1"/>
  <c r="AA4" i="1"/>
  <c r="Z4" i="1"/>
  <c r="Y4" i="1"/>
  <c r="X4" i="1"/>
  <c r="W4" i="1"/>
  <c r="V4" i="1"/>
  <c r="U4" i="1"/>
  <c r="T4" i="1"/>
  <c r="T11" i="1" s="1"/>
  <c r="S4" i="1"/>
  <c r="R4" i="1"/>
  <c r="Q4" i="1"/>
  <c r="P4" i="1"/>
  <c r="O4" i="1"/>
  <c r="N4" i="1"/>
  <c r="M4" i="1"/>
  <c r="L4" i="1"/>
  <c r="L11" i="1" s="1"/>
  <c r="K4" i="1"/>
  <c r="J4" i="1"/>
  <c r="I4" i="1"/>
  <c r="H4" i="1"/>
  <c r="G4" i="1"/>
  <c r="F4" i="1"/>
  <c r="E4" i="1"/>
  <c r="D4" i="1"/>
  <c r="D11" i="1" s="1"/>
  <c r="C4" i="1"/>
  <c r="AZ3" i="1"/>
  <c r="AY3" i="1"/>
  <c r="AX3" i="1"/>
  <c r="AW3" i="1"/>
  <c r="AV3" i="1"/>
  <c r="AU3" i="1"/>
  <c r="AT3" i="1"/>
  <c r="AT10" i="1" s="1"/>
  <c r="AS3" i="1"/>
  <c r="AR3" i="1"/>
  <c r="AQ3" i="1"/>
  <c r="AP3" i="1"/>
  <c r="AO3" i="1"/>
  <c r="AN3" i="1"/>
  <c r="AM3" i="1"/>
  <c r="AL3" i="1"/>
  <c r="AL10" i="1" s="1"/>
  <c r="AK3" i="1"/>
  <c r="AJ3" i="1"/>
  <c r="AI3" i="1"/>
  <c r="AH3" i="1"/>
  <c r="AG3" i="1"/>
  <c r="AF3" i="1"/>
  <c r="AE3" i="1"/>
  <c r="AD3" i="1"/>
  <c r="AD10" i="1" s="1"/>
  <c r="AC3" i="1"/>
  <c r="AB3" i="1"/>
  <c r="AA3" i="1"/>
  <c r="Z3" i="1"/>
  <c r="Y3" i="1"/>
  <c r="X3" i="1"/>
  <c r="W3" i="1"/>
  <c r="V3" i="1"/>
  <c r="V10" i="1" s="1"/>
  <c r="U3" i="1"/>
  <c r="T3" i="1"/>
  <c r="S3" i="1"/>
  <c r="R3" i="1"/>
  <c r="Q3" i="1"/>
  <c r="P3" i="1"/>
  <c r="O3" i="1"/>
  <c r="N3" i="1"/>
  <c r="N10" i="1" s="1"/>
  <c r="M3" i="1"/>
  <c r="L3" i="1"/>
  <c r="K3" i="1"/>
  <c r="J3" i="1"/>
  <c r="I3" i="1"/>
  <c r="H3" i="1"/>
  <c r="G3" i="1"/>
  <c r="F3" i="1"/>
  <c r="F10" i="1" s="1"/>
  <c r="E3" i="1"/>
  <c r="D3" i="1"/>
  <c r="C3" i="1"/>
  <c r="AZ2" i="1"/>
  <c r="AY2" i="1"/>
  <c r="AX2" i="1"/>
  <c r="AW2" i="1"/>
  <c r="AV2" i="1"/>
  <c r="AV9" i="1" s="1"/>
  <c r="AU2" i="1"/>
  <c r="AT2" i="1"/>
  <c r="AS2" i="1"/>
  <c r="AR2" i="1"/>
  <c r="AQ2" i="1"/>
  <c r="AP2" i="1"/>
  <c r="AO2" i="1"/>
  <c r="AN2" i="1"/>
  <c r="AN9" i="1" s="1"/>
  <c r="AM2" i="1"/>
  <c r="AL2" i="1"/>
  <c r="AK2" i="1"/>
  <c r="AJ2" i="1"/>
  <c r="AI2" i="1"/>
  <c r="AH2" i="1"/>
  <c r="AG2" i="1"/>
  <c r="AF2" i="1"/>
  <c r="AF9" i="1" s="1"/>
  <c r="AE2" i="1"/>
  <c r="AD2" i="1"/>
  <c r="AC2" i="1"/>
  <c r="AB2" i="1"/>
  <c r="AA2" i="1"/>
  <c r="Z2" i="1"/>
  <c r="Y2" i="1"/>
  <c r="X2" i="1"/>
  <c r="X9" i="1" s="1"/>
  <c r="W2" i="1"/>
  <c r="V2" i="1"/>
  <c r="U2" i="1"/>
  <c r="T2" i="1"/>
  <c r="S2" i="1"/>
  <c r="R2" i="1"/>
  <c r="Q2" i="1"/>
  <c r="P2" i="1"/>
  <c r="P9" i="1" s="1"/>
  <c r="O2" i="1"/>
  <c r="N2" i="1"/>
  <c r="M2" i="1"/>
  <c r="L2" i="1"/>
  <c r="K2" i="1"/>
  <c r="J2" i="1"/>
  <c r="I2" i="1"/>
  <c r="H2" i="1"/>
  <c r="H9" i="1" s="1"/>
  <c r="G2" i="1"/>
  <c r="F2" i="1"/>
  <c r="E2" i="1"/>
  <c r="D2" i="1"/>
  <c r="C2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Z12" i="1"/>
  <c r="AY12" i="1"/>
  <c r="AW12" i="1"/>
  <c r="AV12" i="1"/>
  <c r="AU12" i="1"/>
  <c r="AT12" i="1"/>
  <c r="AS12" i="1"/>
  <c r="AR12" i="1"/>
  <c r="AQ12" i="1"/>
  <c r="AO12" i="1"/>
  <c r="AN12" i="1"/>
  <c r="AM12" i="1"/>
  <c r="AL12" i="1"/>
  <c r="AK12" i="1"/>
  <c r="AJ12" i="1"/>
  <c r="AI12" i="1"/>
  <c r="AG12" i="1"/>
  <c r="AF12" i="1"/>
  <c r="AE12" i="1"/>
  <c r="AD12" i="1"/>
  <c r="AC12" i="1"/>
  <c r="AB12" i="1"/>
  <c r="AA12" i="1"/>
  <c r="Y12" i="1"/>
  <c r="X12" i="1"/>
  <c r="W12" i="1"/>
  <c r="V12" i="1"/>
  <c r="U12" i="1"/>
  <c r="T12" i="1"/>
  <c r="S12" i="1"/>
  <c r="Q12" i="1"/>
  <c r="P12" i="1"/>
  <c r="O12" i="1"/>
  <c r="N12" i="1"/>
  <c r="M12" i="1"/>
  <c r="L12" i="1"/>
  <c r="K12" i="1"/>
  <c r="I12" i="1"/>
  <c r="H12" i="1"/>
  <c r="G12" i="1"/>
  <c r="F12" i="1"/>
  <c r="E12" i="1"/>
  <c r="D12" i="1"/>
  <c r="C12" i="1"/>
  <c r="AY11" i="1"/>
  <c r="AX11" i="1"/>
  <c r="AW11" i="1"/>
  <c r="AV11" i="1"/>
  <c r="AU11" i="1"/>
  <c r="AT11" i="1"/>
  <c r="AS11" i="1"/>
  <c r="AQ11" i="1"/>
  <c r="AP11" i="1"/>
  <c r="AO11" i="1"/>
  <c r="AN11" i="1"/>
  <c r="AM11" i="1"/>
  <c r="AL11" i="1"/>
  <c r="AK11" i="1"/>
  <c r="AI11" i="1"/>
  <c r="AH11" i="1"/>
  <c r="AG11" i="1"/>
  <c r="AF11" i="1"/>
  <c r="AE11" i="1"/>
  <c r="AD11" i="1"/>
  <c r="AC11" i="1"/>
  <c r="AA11" i="1"/>
  <c r="Z11" i="1"/>
  <c r="Y11" i="1"/>
  <c r="X11" i="1"/>
  <c r="W11" i="1"/>
  <c r="V11" i="1"/>
  <c r="U11" i="1"/>
  <c r="S11" i="1"/>
  <c r="R11" i="1"/>
  <c r="Q11" i="1"/>
  <c r="P11" i="1"/>
  <c r="O11" i="1"/>
  <c r="N11" i="1"/>
  <c r="M11" i="1"/>
  <c r="K11" i="1"/>
  <c r="J11" i="1"/>
  <c r="I11" i="1"/>
  <c r="H11" i="1"/>
  <c r="G11" i="1"/>
  <c r="F11" i="1"/>
  <c r="E11" i="1"/>
  <c r="C11" i="1"/>
  <c r="AZ10" i="1"/>
  <c r="AY10" i="1"/>
  <c r="AX10" i="1"/>
  <c r="AW10" i="1"/>
  <c r="AV10" i="1"/>
  <c r="AU10" i="1"/>
  <c r="AS10" i="1"/>
  <c r="AR10" i="1"/>
  <c r="AQ10" i="1"/>
  <c r="AP10" i="1"/>
  <c r="AO10" i="1"/>
  <c r="AN10" i="1"/>
  <c r="AM10" i="1"/>
  <c r="AK10" i="1"/>
  <c r="AJ10" i="1"/>
  <c r="AI10" i="1"/>
  <c r="AH10" i="1"/>
  <c r="AG10" i="1"/>
  <c r="AF10" i="1"/>
  <c r="AE10" i="1"/>
  <c r="AC10" i="1"/>
  <c r="AB10" i="1"/>
  <c r="AA10" i="1"/>
  <c r="Z10" i="1"/>
  <c r="Y10" i="1"/>
  <c r="X10" i="1"/>
  <c r="W10" i="1"/>
  <c r="U10" i="1"/>
  <c r="T10" i="1"/>
  <c r="S10" i="1"/>
  <c r="R10" i="1"/>
  <c r="Q10" i="1"/>
  <c r="P10" i="1"/>
  <c r="O10" i="1"/>
  <c r="M10" i="1"/>
  <c r="L10" i="1"/>
  <c r="K10" i="1"/>
  <c r="J10" i="1"/>
  <c r="I10" i="1"/>
  <c r="H10" i="1"/>
  <c r="G10" i="1"/>
  <c r="E10" i="1"/>
  <c r="D10" i="1"/>
  <c r="C10" i="1"/>
  <c r="AZ9" i="1"/>
  <c r="AY9" i="1"/>
  <c r="AX9" i="1"/>
  <c r="AW9" i="1"/>
  <c r="AU9" i="1"/>
  <c r="AT9" i="1"/>
  <c r="AS9" i="1"/>
  <c r="AR9" i="1"/>
  <c r="AQ9" i="1"/>
  <c r="AP9" i="1"/>
  <c r="AO9" i="1"/>
  <c r="AM9" i="1"/>
  <c r="AL9" i="1"/>
  <c r="AK9" i="1"/>
  <c r="AJ9" i="1"/>
  <c r="AI9" i="1"/>
  <c r="AH9" i="1"/>
  <c r="AG9" i="1"/>
  <c r="AE9" i="1"/>
  <c r="AD9" i="1"/>
  <c r="AC9" i="1"/>
  <c r="AB9" i="1"/>
  <c r="AA9" i="1"/>
  <c r="Z9" i="1"/>
  <c r="Y9" i="1"/>
  <c r="W9" i="1"/>
  <c r="V9" i="1"/>
  <c r="U9" i="1"/>
  <c r="T9" i="1"/>
  <c r="S9" i="1"/>
  <c r="R9" i="1"/>
  <c r="Q9" i="1"/>
  <c r="O9" i="1"/>
  <c r="N9" i="1"/>
  <c r="M9" i="1"/>
  <c r="L9" i="1"/>
  <c r="K9" i="1"/>
  <c r="J9" i="1"/>
  <c r="I9" i="1"/>
  <c r="G9" i="1"/>
  <c r="F9" i="1"/>
  <c r="E9" i="1"/>
  <c r="D9" i="1"/>
  <c r="C9" i="1"/>
  <c r="B5" i="1"/>
  <c r="B12" i="1" s="1"/>
  <c r="B6" i="1" l="1"/>
  <c r="B13" i="1" s="1"/>
  <c r="B3" i="1"/>
  <c r="B11" i="1" s="1"/>
  <c r="B2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B10" i="1" l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B9" i="1"/>
</calcChain>
</file>

<file path=xl/sharedStrings.xml><?xml version="1.0" encoding="utf-8"?>
<sst xmlns="http://schemas.openxmlformats.org/spreadsheetml/2006/main" count="10" uniqueCount="6">
  <si>
    <t>Dommages</t>
  </si>
  <si>
    <t>Chaîne logistique</t>
  </si>
  <si>
    <t>Autres risques</t>
  </si>
  <si>
    <t>Rendements agricoles</t>
  </si>
  <si>
    <t>Température de l'air</t>
  </si>
  <si>
    <t>Mer et inondations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</si>
</sst>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#,##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Verdana" panose="020B0604030504040204" pitchFamily="34" charset="0"/>
                <a:cs typeface="+mn-cs"/>
              </a:defRPr>
            </a:pPr>
            <a:r>
              <a:rPr lang="fr-FR" sz="2400"/>
              <a:t>Coût</a:t>
            </a:r>
            <a:r>
              <a:rPr lang="fr-FR" sz="2400" baseline="0"/>
              <a:t> des dommages (en % du PIB)</a:t>
            </a:r>
            <a:endParaRPr lang="fr-FR" sz="24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Verdana" panose="020B0604030504040204" pitchFamily="34" charset="0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Décompo!$A$9</c:f>
              <c:strCache>
                <c:ptCount val="1"/>
                <c:pt idx="0">
                  <c:v>Chaîne logistique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Décompo!$B$8:$AZ$8</c:f>
              <c:numCache>
                <c:formatCode>m/d/yyyy</c:formatCode>
                <c:ptCount val="51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</c:numCache>
            </c:numRef>
          </c:cat>
          <c:val>
            <c:numRef>
              <c:f>Décompo!$B$9:$AZ$9</c:f>
              <c:numCache>
                <c:formatCode>0.0%</c:formatCode>
                <c:ptCount val="51"/>
                <c:pt idx="0">
                  <c:v>1.3538601712600906E-2</c:v>
                </c:pt>
                <c:pt idx="1">
                  <c:v>1.6912679139984843E-2</c:v>
                </c:pt>
                <c:pt idx="2">
                  <c:v>2.0115560050032899E-2</c:v>
                </c:pt>
                <c:pt idx="3">
                  <c:v>2.2943774902325131E-2</c:v>
                </c:pt>
                <c:pt idx="4">
                  <c:v>2.5425308096377663E-2</c:v>
                </c:pt>
                <c:pt idx="5">
                  <c:v>2.7611418605846372E-2</c:v>
                </c:pt>
                <c:pt idx="6">
                  <c:v>2.9576927529626262E-2</c:v>
                </c:pt>
                <c:pt idx="7">
                  <c:v>3.1353239073615535E-2</c:v>
                </c:pt>
                <c:pt idx="8">
                  <c:v>3.2985843392642766E-2</c:v>
                </c:pt>
                <c:pt idx="9">
                  <c:v>3.4516237501799885E-2</c:v>
                </c:pt>
                <c:pt idx="10">
                  <c:v>3.6927247412231856E-2</c:v>
                </c:pt>
                <c:pt idx="11">
                  <c:v>3.7901004681047845E-2</c:v>
                </c:pt>
                <c:pt idx="12">
                  <c:v>3.8748605891280929E-2</c:v>
                </c:pt>
                <c:pt idx="13">
                  <c:v>3.9477051688237563E-2</c:v>
                </c:pt>
                <c:pt idx="14">
                  <c:v>4.0116488877360634E-2</c:v>
                </c:pt>
                <c:pt idx="15">
                  <c:v>4.0694640941231978E-2</c:v>
                </c:pt>
                <c:pt idx="16">
                  <c:v>4.1277964002331198E-2</c:v>
                </c:pt>
                <c:pt idx="17">
                  <c:v>4.1849741026071745E-2</c:v>
                </c:pt>
                <c:pt idx="18">
                  <c:v>4.2425458296820991E-2</c:v>
                </c:pt>
                <c:pt idx="19">
                  <c:v>4.3016340742832782E-2</c:v>
                </c:pt>
                <c:pt idx="20">
                  <c:v>4.3633104309372284E-2</c:v>
                </c:pt>
                <c:pt idx="21">
                  <c:v>4.427314031618601E-2</c:v>
                </c:pt>
                <c:pt idx="22">
                  <c:v>4.4941592729452529E-2</c:v>
                </c:pt>
                <c:pt idx="23">
                  <c:v>4.563947337910957E-2</c:v>
                </c:pt>
                <c:pt idx="24">
                  <c:v>4.6365523266142288E-2</c:v>
                </c:pt>
                <c:pt idx="25">
                  <c:v>4.7123697653551948E-2</c:v>
                </c:pt>
                <c:pt idx="26">
                  <c:v>4.788032119780028E-2</c:v>
                </c:pt>
                <c:pt idx="27">
                  <c:v>4.8649621572917197E-2</c:v>
                </c:pt>
                <c:pt idx="28">
                  <c:v>4.9429610515789646E-2</c:v>
                </c:pt>
                <c:pt idx="29">
                  <c:v>5.0218084317584018E-2</c:v>
                </c:pt>
                <c:pt idx="30">
                  <c:v>5.1012621505727829E-2</c:v>
                </c:pt>
                <c:pt idx="31">
                  <c:v>5.1800471640880197E-2</c:v>
                </c:pt>
                <c:pt idx="32">
                  <c:v>5.2587995224248063E-2</c:v>
                </c:pt>
                <c:pt idx="33">
                  <c:v>5.33733113615723E-2</c:v>
                </c:pt>
                <c:pt idx="34">
                  <c:v>5.4154996240649018E-2</c:v>
                </c:pt>
                <c:pt idx="35">
                  <c:v>5.4931912985350273E-2</c:v>
                </c:pt>
                <c:pt idx="36">
                  <c:v>5.5612806592488247E-2</c:v>
                </c:pt>
                <c:pt idx="37">
                  <c:v>5.6273572035804416E-2</c:v>
                </c:pt>
                <c:pt idx="38">
                  <c:v>5.6914643529708646E-2</c:v>
                </c:pt>
                <c:pt idx="39">
                  <c:v>5.753897634474104E-2</c:v>
                </c:pt>
                <c:pt idx="40">
                  <c:v>5.8149801337017311E-2</c:v>
                </c:pt>
                <c:pt idx="41">
                  <c:v>5.8735596987392939E-2</c:v>
                </c:pt>
                <c:pt idx="42">
                  <c:v>5.9311343796265348E-2</c:v>
                </c:pt>
                <c:pt idx="43">
                  <c:v>5.9879563862663465E-2</c:v>
                </c:pt>
                <c:pt idx="44">
                  <c:v>6.0442828733665251E-2</c:v>
                </c:pt>
                <c:pt idx="45">
                  <c:v>6.1003296850866917E-2</c:v>
                </c:pt>
                <c:pt idx="46">
                  <c:v>6.1513652688195419E-2</c:v>
                </c:pt>
                <c:pt idx="47">
                  <c:v>6.2016559531788203E-2</c:v>
                </c:pt>
                <c:pt idx="48">
                  <c:v>6.2514296331188435E-2</c:v>
                </c:pt>
                <c:pt idx="49">
                  <c:v>6.3009329987089857E-2</c:v>
                </c:pt>
                <c:pt idx="50">
                  <c:v>6.3503741412501813E-2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7-4EC8-8433-CD6511F1540E}"/>
            </c:ext>
          </c:extLst>
        </c:ser>
        <c:ser>
          <c:idx val="1"/>
          <c:order val="1"/>
          <c:tx>
            <c:strRef>
              <c:f>Décompo!$A$10</c:f>
              <c:strCache>
                <c:ptCount val="1"/>
                <c:pt idx="0">
                  <c:v>Rendements agricoles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Décompo!$B$8:$AZ$8</c:f>
              <c:numCache>
                <c:formatCode>m/d/yyyy</c:formatCode>
                <c:ptCount val="51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</c:numCache>
            </c:numRef>
          </c:cat>
          <c:val>
            <c:numRef>
              <c:f>Décompo!$B$10:$AZ$10</c:f>
              <c:numCache>
                <c:formatCode>0.0%</c:formatCode>
                <c:ptCount val="51"/>
                <c:pt idx="0">
                  <c:v>1.3438789375808113E-4</c:v>
                </c:pt>
                <c:pt idx="1">
                  <c:v>2.6181616621756554E-4</c:v>
                </c:pt>
                <c:pt idx="2">
                  <c:v>3.621163355573831E-4</c:v>
                </c:pt>
                <c:pt idx="3">
                  <c:v>4.3724432175051842E-4</c:v>
                </c:pt>
                <c:pt idx="4">
                  <c:v>4.9908398422249256E-4</c:v>
                </c:pt>
                <c:pt idx="5">
                  <c:v>5.5892513906752317E-4</c:v>
                </c:pt>
                <c:pt idx="6">
                  <c:v>6.2275232294828342E-4</c:v>
                </c:pt>
                <c:pt idx="7">
                  <c:v>6.9139740652446324E-4</c:v>
                </c:pt>
                <c:pt idx="8">
                  <c:v>7.6394908653598659E-4</c:v>
                </c:pt>
                <c:pt idx="9">
                  <c:v>8.3886924188336653E-4</c:v>
                </c:pt>
                <c:pt idx="10">
                  <c:v>9.1286593600881094E-4</c:v>
                </c:pt>
                <c:pt idx="11">
                  <c:v>9.9162630619664682E-4</c:v>
                </c:pt>
                <c:pt idx="12">
                  <c:v>1.0720241721557944E-3</c:v>
                </c:pt>
                <c:pt idx="13">
                  <c:v>1.1535640345473608E-3</c:v>
                </c:pt>
                <c:pt idx="14">
                  <c:v>1.2358563924219634E-3</c:v>
                </c:pt>
                <c:pt idx="15">
                  <c:v>1.3187051360760219E-3</c:v>
                </c:pt>
                <c:pt idx="16">
                  <c:v>1.4037302002539651E-3</c:v>
                </c:pt>
                <c:pt idx="17">
                  <c:v>1.4906360662765294E-3</c:v>
                </c:pt>
                <c:pt idx="18">
                  <c:v>1.5789080261373531E-3</c:v>
                </c:pt>
                <c:pt idx="19">
                  <c:v>1.6679755653525863E-3</c:v>
                </c:pt>
                <c:pt idx="20">
                  <c:v>1.7571472529557333E-3</c:v>
                </c:pt>
                <c:pt idx="21">
                  <c:v>1.8463864538693642E-3</c:v>
                </c:pt>
                <c:pt idx="22">
                  <c:v>1.9353816062881446E-3</c:v>
                </c:pt>
                <c:pt idx="23">
                  <c:v>2.024025037136272E-3</c:v>
                </c:pt>
                <c:pt idx="24">
                  <c:v>2.1122705465630581E-3</c:v>
                </c:pt>
                <c:pt idx="25">
                  <c:v>2.1993524566710221E-3</c:v>
                </c:pt>
                <c:pt idx="26">
                  <c:v>2.2852918106983644E-3</c:v>
                </c:pt>
                <c:pt idx="27">
                  <c:v>2.3700224069685902E-3</c:v>
                </c:pt>
                <c:pt idx="28">
                  <c:v>2.4537980799140754E-3</c:v>
                </c:pt>
                <c:pt idx="29">
                  <c:v>2.5369167545655699E-3</c:v>
                </c:pt>
                <c:pt idx="30">
                  <c:v>2.6196162716446356E-3</c:v>
                </c:pt>
                <c:pt idx="31">
                  <c:v>2.7016507745774021E-3</c:v>
                </c:pt>
                <c:pt idx="32">
                  <c:v>2.7831101864821406E-3</c:v>
                </c:pt>
                <c:pt idx="33">
                  <c:v>2.8641228855196335E-3</c:v>
                </c:pt>
                <c:pt idx="34">
                  <c:v>2.9448077328281183E-3</c:v>
                </c:pt>
                <c:pt idx="35">
                  <c:v>3.0252520047377995E-3</c:v>
                </c:pt>
                <c:pt idx="36">
                  <c:v>3.1020826789411871E-3</c:v>
                </c:pt>
                <c:pt idx="37">
                  <c:v>3.1756576366343964E-3</c:v>
                </c:pt>
                <c:pt idx="38">
                  <c:v>3.2469566266472086E-3</c:v>
                </c:pt>
                <c:pt idx="39">
                  <c:v>3.3169858002710662E-3</c:v>
                </c:pt>
                <c:pt idx="40">
                  <c:v>3.3864791738471567E-3</c:v>
                </c:pt>
                <c:pt idx="41">
                  <c:v>3.4553360584705928E-3</c:v>
                </c:pt>
                <c:pt idx="42">
                  <c:v>3.5237223017656749E-3</c:v>
                </c:pt>
                <c:pt idx="43">
                  <c:v>3.5918993111437869E-3</c:v>
                </c:pt>
                <c:pt idx="44">
                  <c:v>3.6598822236594206E-3</c:v>
                </c:pt>
                <c:pt idx="45">
                  <c:v>3.7276654590847613E-3</c:v>
                </c:pt>
                <c:pt idx="46">
                  <c:v>3.7936479530592537E-3</c:v>
                </c:pt>
                <c:pt idx="47">
                  <c:v>3.8578144973709858E-3</c:v>
                </c:pt>
                <c:pt idx="48">
                  <c:v>3.9206724280951288E-3</c:v>
                </c:pt>
                <c:pt idx="49">
                  <c:v>3.9827770538726215E-3</c:v>
                </c:pt>
                <c:pt idx="50">
                  <c:v>4.0445557140917909E-3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7-4EC8-8433-CD6511F1540E}"/>
            </c:ext>
          </c:extLst>
        </c:ser>
        <c:ser>
          <c:idx val="2"/>
          <c:order val="2"/>
          <c:tx>
            <c:strRef>
              <c:f>Décompo!$A$11</c:f>
              <c:strCache>
                <c:ptCount val="1"/>
                <c:pt idx="0">
                  <c:v>Température de l'air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Décompo!$B$8:$AZ$8</c:f>
              <c:numCache>
                <c:formatCode>m/d/yyyy</c:formatCode>
                <c:ptCount val="51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</c:numCache>
            </c:numRef>
          </c:cat>
          <c:val>
            <c:numRef>
              <c:f>Décompo!$B$11:$AZ$11</c:f>
              <c:numCache>
                <c:formatCode>0.0%</c:formatCode>
                <c:ptCount val="51"/>
                <c:pt idx="0">
                  <c:v>6.166325736678413E-5</c:v>
                </c:pt>
                <c:pt idx="1">
                  <c:v>1.2406974180489971E-4</c:v>
                </c:pt>
                <c:pt idx="2">
                  <c:v>1.6798032322717926E-4</c:v>
                </c:pt>
                <c:pt idx="3">
                  <c:v>1.9531726047739006E-4</c:v>
                </c:pt>
                <c:pt idx="4">
                  <c:v>2.157012436457828E-4</c:v>
                </c:pt>
                <c:pt idx="5">
                  <c:v>2.3742380955982245E-4</c:v>
                </c:pt>
                <c:pt idx="6">
                  <c:v>2.6492154138157975E-4</c:v>
                </c:pt>
                <c:pt idx="7">
                  <c:v>2.9898978713482904E-4</c:v>
                </c:pt>
                <c:pt idx="8">
                  <c:v>3.3825210997651123E-4</c:v>
                </c:pt>
                <c:pt idx="9">
                  <c:v>3.8067326778778998E-4</c:v>
                </c:pt>
                <c:pt idx="10">
                  <c:v>4.2363293529634749E-4</c:v>
                </c:pt>
                <c:pt idx="11">
                  <c:v>4.6895746744057831E-4</c:v>
                </c:pt>
                <c:pt idx="12">
                  <c:v>5.1500073576260519E-4</c:v>
                </c:pt>
                <c:pt idx="13">
                  <c:v>5.6134116250994986E-4</c:v>
                </c:pt>
                <c:pt idx="14">
                  <c:v>6.0785770713067677E-4</c:v>
                </c:pt>
                <c:pt idx="15">
                  <c:v>6.5476914563755706E-4</c:v>
                </c:pt>
                <c:pt idx="16">
                  <c:v>7.0358864451414149E-4</c:v>
                </c:pt>
                <c:pt idx="17">
                  <c:v>7.547237955446498E-4</c:v>
                </c:pt>
                <c:pt idx="18">
                  <c:v>8.0806122963938271E-4</c:v>
                </c:pt>
                <c:pt idx="19">
                  <c:v>8.6346503463374802E-4</c:v>
                </c:pt>
                <c:pt idx="20">
                  <c:v>9.2084637913879275E-4</c:v>
                </c:pt>
                <c:pt idx="21">
                  <c:v>9.80411257173186E-4</c:v>
                </c:pt>
                <c:pt idx="22">
                  <c:v>1.0422023538963973E-3</c:v>
                </c:pt>
                <c:pt idx="23">
                  <c:v>1.1062791825026189E-3</c:v>
                </c:pt>
                <c:pt idx="24">
                  <c:v>1.1726705813077665E-3</c:v>
                </c:pt>
                <c:pt idx="25">
                  <c:v>1.2410816766340663E-3</c:v>
                </c:pt>
                <c:pt idx="26">
                  <c:v>1.3111531910162746E-3</c:v>
                </c:pt>
                <c:pt idx="27">
                  <c:v>1.3827054202674091E-3</c:v>
                </c:pt>
                <c:pt idx="28">
                  <c:v>1.4558694544935108E-3</c:v>
                </c:pt>
                <c:pt idx="29">
                  <c:v>1.5307536879812858E-3</c:v>
                </c:pt>
                <c:pt idx="30">
                  <c:v>1.6073581983827648E-3</c:v>
                </c:pt>
                <c:pt idx="31">
                  <c:v>1.6852278177769062E-3</c:v>
                </c:pt>
                <c:pt idx="32">
                  <c:v>1.7642629577990718E-3</c:v>
                </c:pt>
                <c:pt idx="33">
                  <c:v>1.8445390925142593E-3</c:v>
                </c:pt>
                <c:pt idx="34">
                  <c:v>1.9261368756108357E-3</c:v>
                </c:pt>
                <c:pt idx="35">
                  <c:v>2.0090918360936641E-3</c:v>
                </c:pt>
                <c:pt idx="36">
                  <c:v>2.0895786394496824E-3</c:v>
                </c:pt>
                <c:pt idx="37">
                  <c:v>2.1677130334341044E-3</c:v>
                </c:pt>
                <c:pt idx="38">
                  <c:v>2.2452746057254266E-3</c:v>
                </c:pt>
                <c:pt idx="39">
                  <c:v>2.3236380363928985E-3</c:v>
                </c:pt>
                <c:pt idx="40">
                  <c:v>2.4033272925388857E-3</c:v>
                </c:pt>
                <c:pt idx="41">
                  <c:v>2.4835948887653794E-3</c:v>
                </c:pt>
                <c:pt idx="42">
                  <c:v>2.5640596761753454E-3</c:v>
                </c:pt>
                <c:pt idx="43">
                  <c:v>2.6446648633973169E-3</c:v>
                </c:pt>
                <c:pt idx="44">
                  <c:v>2.7254406205889925E-3</c:v>
                </c:pt>
                <c:pt idx="45">
                  <c:v>2.8064438176084172E-3</c:v>
                </c:pt>
                <c:pt idx="46">
                  <c:v>2.8855094665938275E-3</c:v>
                </c:pt>
                <c:pt idx="47">
                  <c:v>2.9627060505986735E-3</c:v>
                </c:pt>
                <c:pt idx="48">
                  <c:v>3.0392718891184556E-3</c:v>
                </c:pt>
                <c:pt idx="49">
                  <c:v>3.1162286409965878E-3</c:v>
                </c:pt>
                <c:pt idx="50">
                  <c:v>3.1940607928172549E-3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7-4EC8-8433-CD6511F1540E}"/>
            </c:ext>
          </c:extLst>
        </c:ser>
        <c:ser>
          <c:idx val="3"/>
          <c:order val="3"/>
          <c:tx>
            <c:strRef>
              <c:f>Décompo!$A$12</c:f>
              <c:strCache>
                <c:ptCount val="1"/>
                <c:pt idx="0">
                  <c:v>Mer et inondations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 w="25400">
              <a:noFill/>
            </a:ln>
            <a:effectLst/>
          </c:spPr>
          <c:cat>
            <c:numRef>
              <c:f>Décompo!$B$8:$AZ$8</c:f>
              <c:numCache>
                <c:formatCode>m/d/yyyy</c:formatCode>
                <c:ptCount val="51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</c:numCache>
            </c:numRef>
          </c:cat>
          <c:val>
            <c:numRef>
              <c:f>Décompo!$B$12:$AZ$12</c:f>
              <c:numCache>
                <c:formatCode>0.0%</c:formatCode>
                <c:ptCount val="51"/>
                <c:pt idx="0">
                  <c:v>3.9972466572613108E-4</c:v>
                </c:pt>
                <c:pt idx="1">
                  <c:v>6.3665455638706181E-4</c:v>
                </c:pt>
                <c:pt idx="2">
                  <c:v>7.8740654790432352E-4</c:v>
                </c:pt>
                <c:pt idx="3">
                  <c:v>8.8671582443389241E-4</c:v>
                </c:pt>
                <c:pt idx="4">
                  <c:v>9.5367439926474784E-4</c:v>
                </c:pt>
                <c:pt idx="5">
                  <c:v>9.9974471688657474E-4</c:v>
                </c:pt>
                <c:pt idx="6">
                  <c:v>1.0331032043029431E-3</c:v>
                </c:pt>
                <c:pt idx="7">
                  <c:v>1.0575416159764872E-3</c:v>
                </c:pt>
                <c:pt idx="8">
                  <c:v>1.0763834282041529E-3</c:v>
                </c:pt>
                <c:pt idx="9">
                  <c:v>1.0921056494282988E-3</c:v>
                </c:pt>
                <c:pt idx="10">
                  <c:v>1.1057368566246284E-3</c:v>
                </c:pt>
                <c:pt idx="11">
                  <c:v>1.1209628843252828E-3</c:v>
                </c:pt>
                <c:pt idx="12">
                  <c:v>1.1381882674956767E-3</c:v>
                </c:pt>
                <c:pt idx="13">
                  <c:v>1.1575790415513307E-3</c:v>
                </c:pt>
                <c:pt idx="14">
                  <c:v>1.1792015706788561E-3</c:v>
                </c:pt>
                <c:pt idx="15">
                  <c:v>1.2030059910806898E-3</c:v>
                </c:pt>
                <c:pt idx="16">
                  <c:v>1.2301343960197109E-3</c:v>
                </c:pt>
                <c:pt idx="17">
                  <c:v>1.2598800045520164E-3</c:v>
                </c:pt>
                <c:pt idx="18">
                  <c:v>1.2918136021887808E-3</c:v>
                </c:pt>
                <c:pt idx="19">
                  <c:v>1.32561429079181E-3</c:v>
                </c:pt>
                <c:pt idx="20">
                  <c:v>1.3620583709840275E-3</c:v>
                </c:pt>
                <c:pt idx="21">
                  <c:v>1.3985062787638114E-3</c:v>
                </c:pt>
                <c:pt idx="22">
                  <c:v>1.4361223895582725E-3</c:v>
                </c:pt>
                <c:pt idx="23">
                  <c:v>1.4747510826485996E-3</c:v>
                </c:pt>
                <c:pt idx="24">
                  <c:v>1.5142564547891979E-3</c:v>
                </c:pt>
                <c:pt idx="25">
                  <c:v>1.5576401966460596E-3</c:v>
                </c:pt>
                <c:pt idx="26">
                  <c:v>1.5983562067459697E-3</c:v>
                </c:pt>
                <c:pt idx="27">
                  <c:v>1.6387247227599502E-3</c:v>
                </c:pt>
                <c:pt idx="28">
                  <c:v>1.6787970840530519E-3</c:v>
                </c:pt>
                <c:pt idx="29">
                  <c:v>1.7186206553632052E-3</c:v>
                </c:pt>
                <c:pt idx="30">
                  <c:v>1.7582305817761545E-3</c:v>
                </c:pt>
                <c:pt idx="31">
                  <c:v>1.7972845889957581E-3</c:v>
                </c:pt>
                <c:pt idx="32">
                  <c:v>1.8359746195955109E-3</c:v>
                </c:pt>
                <c:pt idx="33">
                  <c:v>1.8744092420992509E-3</c:v>
                </c:pt>
                <c:pt idx="34">
                  <c:v>1.9126703151580646E-3</c:v>
                </c:pt>
                <c:pt idx="35">
                  <c:v>1.9508234414471401E-3</c:v>
                </c:pt>
                <c:pt idx="36">
                  <c:v>1.9863117217567908E-3</c:v>
                </c:pt>
                <c:pt idx="37">
                  <c:v>2.0196579110873872E-3</c:v>
                </c:pt>
                <c:pt idx="38">
                  <c:v>2.0516174003635326E-3</c:v>
                </c:pt>
                <c:pt idx="39">
                  <c:v>2.082670029862066E-3</c:v>
                </c:pt>
                <c:pt idx="40">
                  <c:v>2.1131576966908483E-3</c:v>
                </c:pt>
                <c:pt idx="41">
                  <c:v>2.1427704929819491E-3</c:v>
                </c:pt>
                <c:pt idx="42">
                  <c:v>2.1719688309533858E-3</c:v>
                </c:pt>
                <c:pt idx="43">
                  <c:v>2.2010336584927792E-3</c:v>
                </c:pt>
                <c:pt idx="44">
                  <c:v>2.2301641625331881E-3</c:v>
                </c:pt>
                <c:pt idx="45">
                  <c:v>2.2595033146388666E-3</c:v>
                </c:pt>
                <c:pt idx="46">
                  <c:v>2.2871013262685258E-3</c:v>
                </c:pt>
                <c:pt idx="47">
                  <c:v>2.3140186070349511E-3</c:v>
                </c:pt>
                <c:pt idx="48">
                  <c:v>2.3407144772028543E-3</c:v>
                </c:pt>
                <c:pt idx="49">
                  <c:v>2.3674681380444484E-3</c:v>
                </c:pt>
                <c:pt idx="50">
                  <c:v>2.3944577475761841E-3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C6-4E26-91E0-1E0153E07C27}"/>
            </c:ext>
          </c:extLst>
        </c:ser>
        <c:ser>
          <c:idx val="4"/>
          <c:order val="4"/>
          <c:tx>
            <c:strRef>
              <c:f>Décompo!$A$13</c:f>
              <c:strCache>
                <c:ptCount val="1"/>
                <c:pt idx="0">
                  <c:v>Autres risques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numRef>
              <c:f>Décompo!$B$8:$AZ$8</c:f>
              <c:numCache>
                <c:formatCode>m/d/yyyy</c:formatCode>
                <c:ptCount val="51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</c:numCache>
            </c:numRef>
          </c:cat>
          <c:val>
            <c:numRef>
              <c:f>Décompo!$B$13:$AZ$13</c:f>
              <c:numCache>
                <c:formatCode>0.0%</c:formatCode>
                <c:ptCount val="51"/>
                <c:pt idx="0">
                  <c:v>2.2223002079790888E-4</c:v>
                </c:pt>
                <c:pt idx="1">
                  <c:v>4.2433615243542278E-4</c:v>
                </c:pt>
                <c:pt idx="2">
                  <c:v>5.460484776365071E-4</c:v>
                </c:pt>
                <c:pt idx="3">
                  <c:v>6.0582705880252163E-4</c:v>
                </c:pt>
                <c:pt idx="4">
                  <c:v>6.2931765114337956E-4</c:v>
                </c:pt>
                <c:pt idx="5">
                  <c:v>6.3797201827009431E-4</c:v>
                </c:pt>
                <c:pt idx="6">
                  <c:v>6.4523020353712823E-4</c:v>
                </c:pt>
                <c:pt idx="7">
                  <c:v>6.5651380013864724E-4</c:v>
                </c:pt>
                <c:pt idx="8">
                  <c:v>6.7277674351318151E-4</c:v>
                </c:pt>
                <c:pt idx="9">
                  <c:v>6.9236716254850172E-4</c:v>
                </c:pt>
                <c:pt idx="10">
                  <c:v>7.1186858567295203E-4</c:v>
                </c:pt>
                <c:pt idx="11">
                  <c:v>7.339265242249926E-4</c:v>
                </c:pt>
                <c:pt idx="12">
                  <c:v>7.5574492127428172E-4</c:v>
                </c:pt>
                <c:pt idx="13">
                  <c:v>7.7685716043829345E-4</c:v>
                </c:pt>
                <c:pt idx="14">
                  <c:v>7.9714597830683048E-4</c:v>
                </c:pt>
                <c:pt idx="15">
                  <c:v>8.1669863298294842E-4</c:v>
                </c:pt>
                <c:pt idx="16">
                  <c:v>8.3644969196160907E-4</c:v>
                </c:pt>
                <c:pt idx="17">
                  <c:v>8.5642039832490441E-4</c:v>
                </c:pt>
                <c:pt idx="18">
                  <c:v>8.7634582048701226E-4</c:v>
                </c:pt>
                <c:pt idx="19">
                  <c:v>8.9598727931495398E-4</c:v>
                </c:pt>
                <c:pt idx="20">
                  <c:v>9.1503285465011075E-4</c:v>
                </c:pt>
                <c:pt idx="21">
                  <c:v>9.335953487628057E-4</c:v>
                </c:pt>
                <c:pt idx="22">
                  <c:v>9.5171367511747568E-4</c:v>
                </c:pt>
                <c:pt idx="23">
                  <c:v>9.6935188907742997E-4</c:v>
                </c:pt>
                <c:pt idx="24">
                  <c:v>9.8651373350443911E-4</c:v>
                </c:pt>
                <c:pt idx="25">
                  <c:v>1.0025299021160228E-3</c:v>
                </c:pt>
                <c:pt idx="26">
                  <c:v>1.0178720288839191E-3</c:v>
                </c:pt>
                <c:pt idx="27">
                  <c:v>1.0326582515052252E-3</c:v>
                </c:pt>
                <c:pt idx="28">
                  <c:v>1.0470512460817247E-3</c:v>
                </c:pt>
                <c:pt idx="29">
                  <c:v>1.0612214383433072E-3</c:v>
                </c:pt>
                <c:pt idx="30">
                  <c:v>1.0753090623075723E-3</c:v>
                </c:pt>
                <c:pt idx="31">
                  <c:v>1.0892942806112194E-3</c:v>
                </c:pt>
                <c:pt idx="32">
                  <c:v>1.1032629738735311E-3</c:v>
                </c:pt>
                <c:pt idx="33">
                  <c:v>1.1173722355650589E-3</c:v>
                </c:pt>
                <c:pt idx="34">
                  <c:v>1.1317584707346562E-3</c:v>
                </c:pt>
                <c:pt idx="35">
                  <c:v>1.1465471099495472E-3</c:v>
                </c:pt>
                <c:pt idx="36">
                  <c:v>1.1606241133053086E-3</c:v>
                </c:pt>
                <c:pt idx="37">
                  <c:v>1.1741412275859675E-3</c:v>
                </c:pt>
                <c:pt idx="38">
                  <c:v>1.1878206457391904E-3</c:v>
                </c:pt>
                <c:pt idx="39">
                  <c:v>1.2022725018577818E-3</c:v>
                </c:pt>
                <c:pt idx="40">
                  <c:v>1.2179150664397564E-3</c:v>
                </c:pt>
                <c:pt idx="41">
                  <c:v>1.2348353848774529E-3</c:v>
                </c:pt>
                <c:pt idx="42">
                  <c:v>1.2530988614173344E-3</c:v>
                </c:pt>
                <c:pt idx="43">
                  <c:v>1.2728268323418668E-3</c:v>
                </c:pt>
                <c:pt idx="44">
                  <c:v>1.2941191998472323E-3</c:v>
                </c:pt>
                <c:pt idx="45">
                  <c:v>1.3170632297310192E-3</c:v>
                </c:pt>
                <c:pt idx="46">
                  <c:v>1.3413303100763274E-3</c:v>
                </c:pt>
                <c:pt idx="47">
                  <c:v>1.366829348992793E-3</c:v>
                </c:pt>
                <c:pt idx="48">
                  <c:v>1.3938871094382188E-3</c:v>
                </c:pt>
                <c:pt idx="49">
                  <c:v>1.4228244530135603E-3</c:v>
                </c:pt>
                <c:pt idx="50">
                  <c:v>1.4538930628853475E-3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D4-4220-87B3-3326FFCAF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2153232"/>
        <c:axId val="582155528"/>
      </c:areaChart>
      <c:dateAx>
        <c:axId val="58215323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Verdana" panose="020B0604030504040204" pitchFamily="34" charset="0"/>
                <a:cs typeface="+mn-cs"/>
              </a:defRPr>
            </a:pPr>
            <a:endParaRPr lang="fr-FR"/>
          </a:p>
        </c:txPr>
        <c:crossAx val="582155528"/>
        <c:crosses val="autoZero"/>
        <c:auto val="1"/>
        <c:lblOffset val="100"/>
        <c:baseTimeUnit val="years"/>
        <c:majorUnit val="5"/>
        <c:majorTimeUnit val="years"/>
      </c:dateAx>
      <c:valAx>
        <c:axId val="582155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Verdana" panose="020B0604030504040204" pitchFamily="34" charset="0"/>
                <a:cs typeface="+mn-cs"/>
              </a:defRPr>
            </a:pPr>
            <a:endParaRPr lang="fr-FR"/>
          </a:p>
        </c:txPr>
        <c:crossAx val="582153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Verdana" panose="020B0604030504040204" pitchFamily="34" charset="0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  <a:ea typeface="Verdana" panose="020B0604030504040204" pitchFamily="34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tabSelected="1" zoomScale="5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dommage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dommages%20-%20W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dommages%20-%20WD+agri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dommages%20-%20WD+agri+ai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dommages%20-%20WD+agri+air+se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4">
          <cell r="C4">
            <v>42005</v>
          </cell>
          <cell r="D4">
            <v>42370</v>
          </cell>
          <cell r="E4">
            <v>42736</v>
          </cell>
          <cell r="F4">
            <v>43101</v>
          </cell>
          <cell r="G4">
            <v>43466</v>
          </cell>
          <cell r="H4">
            <v>43831</v>
          </cell>
          <cell r="I4">
            <v>44197</v>
          </cell>
          <cell r="J4">
            <v>44562</v>
          </cell>
          <cell r="K4">
            <v>44927</v>
          </cell>
          <cell r="L4">
            <v>45292</v>
          </cell>
          <cell r="M4">
            <v>45658</v>
          </cell>
          <cell r="N4">
            <v>46023</v>
          </cell>
          <cell r="O4">
            <v>46388</v>
          </cell>
          <cell r="P4">
            <v>46753</v>
          </cell>
          <cell r="Q4">
            <v>47119</v>
          </cell>
          <cell r="R4">
            <v>47484</v>
          </cell>
          <cell r="S4">
            <v>47849</v>
          </cell>
          <cell r="T4">
            <v>48214</v>
          </cell>
          <cell r="U4">
            <v>48580</v>
          </cell>
          <cell r="V4">
            <v>48945</v>
          </cell>
          <cell r="W4">
            <v>49310</v>
          </cell>
          <cell r="X4">
            <v>49675</v>
          </cell>
          <cell r="Y4">
            <v>50041</v>
          </cell>
          <cell r="Z4">
            <v>50406</v>
          </cell>
          <cell r="AA4">
            <v>50771</v>
          </cell>
          <cell r="AB4">
            <v>51136</v>
          </cell>
          <cell r="AC4">
            <v>51502</v>
          </cell>
          <cell r="AD4">
            <v>51867</v>
          </cell>
          <cell r="AE4">
            <v>52232</v>
          </cell>
          <cell r="AF4">
            <v>52597</v>
          </cell>
          <cell r="AG4">
            <v>52963</v>
          </cell>
          <cell r="AH4">
            <v>53328</v>
          </cell>
          <cell r="AI4">
            <v>53693</v>
          </cell>
          <cell r="AJ4">
            <v>54058</v>
          </cell>
          <cell r="AK4">
            <v>54424</v>
          </cell>
          <cell r="AL4">
            <v>54789</v>
          </cell>
          <cell r="AM4">
            <v>55154</v>
          </cell>
          <cell r="AN4">
            <v>55519</v>
          </cell>
          <cell r="AO4">
            <v>55885</v>
          </cell>
          <cell r="AP4">
            <v>56250</v>
          </cell>
          <cell r="AQ4">
            <v>56615</v>
          </cell>
          <cell r="AR4">
            <v>56980</v>
          </cell>
          <cell r="AS4">
            <v>57346</v>
          </cell>
          <cell r="AT4">
            <v>57711</v>
          </cell>
          <cell r="AU4">
            <v>58076</v>
          </cell>
          <cell r="AV4">
            <v>58441</v>
          </cell>
          <cell r="AW4">
            <v>58807</v>
          </cell>
          <cell r="AX4">
            <v>59172</v>
          </cell>
          <cell r="AY4">
            <v>59537</v>
          </cell>
          <cell r="AZ4">
            <v>59902</v>
          </cell>
          <cell r="BA4">
            <v>60268</v>
          </cell>
        </row>
        <row r="5">
          <cell r="C5">
            <v>-1.4356607550249811</v>
          </cell>
          <cell r="D5">
            <v>-1.8359555756829793</v>
          </cell>
          <cell r="E5">
            <v>-2.1979111734358292</v>
          </cell>
          <cell r="F5">
            <v>-2.5068879367789454</v>
          </cell>
          <cell r="G5">
            <v>-2.7723085374654066</v>
          </cell>
          <cell r="H5">
            <v>-3.0045484289630386</v>
          </cell>
          <cell r="I5">
            <v>-3.2142934801796197</v>
          </cell>
          <cell r="J5">
            <v>-3.4057681683389962</v>
          </cell>
          <cell r="K5">
            <v>-3.5837204760872599</v>
          </cell>
          <cell r="L5">
            <v>-3.7520252823447842</v>
          </cell>
          <cell r="M5">
            <v>-4.0081351725834597</v>
          </cell>
          <cell r="N5">
            <v>-4.1216477863235346</v>
          </cell>
          <cell r="O5">
            <v>-4.2229563987969287</v>
          </cell>
          <cell r="P5">
            <v>-4.3126393087284498</v>
          </cell>
          <cell r="Q5">
            <v>-4.3936550525898959</v>
          </cell>
          <cell r="R5">
            <v>-4.4687819847009198</v>
          </cell>
          <cell r="S5">
            <v>-4.5451866935080627</v>
          </cell>
          <cell r="T5">
            <v>-4.6211401290769842</v>
          </cell>
          <cell r="U5">
            <v>-4.6980586975273519</v>
          </cell>
          <cell r="V5">
            <v>-4.7769382912925877</v>
          </cell>
          <cell r="W5">
            <v>-4.8588189167100948</v>
          </cell>
          <cell r="X5">
            <v>-4.9432039654755178</v>
          </cell>
          <cell r="Y5">
            <v>-5.0307012754312819</v>
          </cell>
          <cell r="Z5">
            <v>-5.121388057047449</v>
          </cell>
          <cell r="AA5">
            <v>-5.2151234582306749</v>
          </cell>
          <cell r="AB5">
            <v>-5.3124301885619118</v>
          </cell>
          <cell r="AC5">
            <v>-5.409299443514481</v>
          </cell>
          <cell r="AD5">
            <v>-5.5073732374418372</v>
          </cell>
          <cell r="AE5">
            <v>-5.6065126380332009</v>
          </cell>
          <cell r="AF5">
            <v>-5.7065596853837386</v>
          </cell>
          <cell r="AG5">
            <v>-5.8073135619838956</v>
          </cell>
          <cell r="AH5">
            <v>-5.9073929102841483</v>
          </cell>
          <cell r="AI5">
            <v>-6.0074605961998317</v>
          </cell>
          <cell r="AJ5">
            <v>-6.1073754817270505</v>
          </cell>
          <cell r="AK5">
            <v>-6.2070369634980693</v>
          </cell>
          <cell r="AL5">
            <v>-6.3063627377578424</v>
          </cell>
          <cell r="AM5">
            <v>-6.3951403745941215</v>
          </cell>
          <cell r="AN5">
            <v>-6.4810741844546271</v>
          </cell>
          <cell r="AO5">
            <v>-6.5646312808184</v>
          </cell>
          <cell r="AP5">
            <v>-6.6464542713124857</v>
          </cell>
          <cell r="AQ5">
            <v>-6.7270680566533958</v>
          </cell>
          <cell r="AR5">
            <v>-6.8052133812488318</v>
          </cell>
          <cell r="AS5">
            <v>-6.8824193466577093</v>
          </cell>
          <cell r="AT5">
            <v>-6.9589988528039211</v>
          </cell>
          <cell r="AU5">
            <v>-7.0352434940294089</v>
          </cell>
          <cell r="AV5">
            <v>-7.1113972671929986</v>
          </cell>
          <cell r="AW5">
            <v>-7.1821241744193358</v>
          </cell>
          <cell r="AX5">
            <v>-7.2517928035785602</v>
          </cell>
          <cell r="AY5">
            <v>-7.3208842235043097</v>
          </cell>
          <cell r="AZ5">
            <v>-7.3898628273017071</v>
          </cell>
          <cell r="BA5">
            <v>-7.4590708729872386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5">
          <cell r="C5">
            <v>-1.3538601712600906</v>
          </cell>
          <cell r="D5">
            <v>-1.6912679139984843</v>
          </cell>
          <cell r="E5">
            <v>-2.0115560050032899</v>
          </cell>
          <cell r="F5">
            <v>-2.2943774902325131</v>
          </cell>
          <cell r="G5">
            <v>-2.5425308096377663</v>
          </cell>
          <cell r="H5">
            <v>-2.7611418605846372</v>
          </cell>
          <cell r="I5">
            <v>-2.9576927529626262</v>
          </cell>
          <cell r="J5">
            <v>-3.1353239073615535</v>
          </cell>
          <cell r="K5">
            <v>-3.2985843392642766</v>
          </cell>
          <cell r="L5">
            <v>-3.4516237501799885</v>
          </cell>
          <cell r="M5">
            <v>-3.6927247412231856</v>
          </cell>
          <cell r="N5">
            <v>-3.7901004681047845</v>
          </cell>
          <cell r="O5">
            <v>-3.8748605891280929</v>
          </cell>
          <cell r="P5">
            <v>-3.9477051688237563</v>
          </cell>
          <cell r="Q5">
            <v>-4.0116488877360634</v>
          </cell>
          <cell r="R5">
            <v>-4.0694640941231981</v>
          </cell>
          <cell r="S5">
            <v>-4.1277964002331196</v>
          </cell>
          <cell r="T5">
            <v>-4.1849741026071747</v>
          </cell>
          <cell r="U5">
            <v>-4.2425458296820988</v>
          </cell>
          <cell r="V5">
            <v>-4.3016340742832782</v>
          </cell>
          <cell r="W5">
            <v>-4.3633104309372284</v>
          </cell>
          <cell r="X5">
            <v>-4.427314031618601</v>
          </cell>
          <cell r="Y5">
            <v>-4.4941592729452529</v>
          </cell>
          <cell r="Z5">
            <v>-4.5639473379109567</v>
          </cell>
          <cell r="AA5">
            <v>-4.636552326614229</v>
          </cell>
          <cell r="AB5">
            <v>-4.712369765355195</v>
          </cell>
          <cell r="AC5">
            <v>-4.788032119780028</v>
          </cell>
          <cell r="AD5">
            <v>-4.8649621572917194</v>
          </cell>
          <cell r="AE5">
            <v>-4.9429610515789646</v>
          </cell>
          <cell r="AF5">
            <v>-5.0218084317584015</v>
          </cell>
          <cell r="AG5">
            <v>-5.1012621505727829</v>
          </cell>
          <cell r="AH5">
            <v>-5.1800471640880197</v>
          </cell>
          <cell r="AI5">
            <v>-5.2587995224248063</v>
          </cell>
          <cell r="AJ5">
            <v>-5.3373311361572302</v>
          </cell>
          <cell r="AK5">
            <v>-5.4154996240649016</v>
          </cell>
          <cell r="AL5">
            <v>-5.4931912985350273</v>
          </cell>
          <cell r="AM5">
            <v>-5.5612806592488244</v>
          </cell>
          <cell r="AN5">
            <v>-5.6273572035804413</v>
          </cell>
          <cell r="AO5">
            <v>-5.6914643529708648</v>
          </cell>
          <cell r="AP5">
            <v>-5.7538976344741037</v>
          </cell>
          <cell r="AQ5">
            <v>-5.8149801337017308</v>
          </cell>
          <cell r="AR5">
            <v>-5.8735596987392942</v>
          </cell>
          <cell r="AS5">
            <v>-5.9311343796265348</v>
          </cell>
          <cell r="AT5">
            <v>-5.9879563862663465</v>
          </cell>
          <cell r="AU5">
            <v>-6.0442828733665248</v>
          </cell>
          <cell r="AV5">
            <v>-6.1003296850866917</v>
          </cell>
          <cell r="AW5">
            <v>-6.1513652688195419</v>
          </cell>
          <cell r="AX5">
            <v>-6.20165595317882</v>
          </cell>
          <cell r="AY5">
            <v>-6.2514296331188435</v>
          </cell>
          <cell r="AZ5">
            <v>-6.3009329987089853</v>
          </cell>
          <cell r="BA5">
            <v>-6.3503741412501817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5">
          <cell r="C5">
            <v>-1.3672989606358987</v>
          </cell>
          <cell r="D5">
            <v>-1.7174495306202409</v>
          </cell>
          <cell r="E5">
            <v>-2.0477676385590282</v>
          </cell>
          <cell r="F5">
            <v>-2.338101922407565</v>
          </cell>
          <cell r="G5">
            <v>-2.5924392080600156</v>
          </cell>
          <cell r="H5">
            <v>-2.8170343744913895</v>
          </cell>
          <cell r="I5">
            <v>-3.0199679852574546</v>
          </cell>
          <cell r="J5">
            <v>-3.2044636480139999</v>
          </cell>
          <cell r="K5">
            <v>-3.3749792479178753</v>
          </cell>
          <cell r="L5">
            <v>-3.5355106743683251</v>
          </cell>
          <cell r="M5">
            <v>-3.7840113348240667</v>
          </cell>
          <cell r="N5">
            <v>-3.8892630987244492</v>
          </cell>
          <cell r="O5">
            <v>-3.9820630063436724</v>
          </cell>
          <cell r="P5">
            <v>-4.0630615722784924</v>
          </cell>
          <cell r="Q5">
            <v>-4.1352345269782598</v>
          </cell>
          <cell r="R5">
            <v>-4.2013346077308</v>
          </cell>
          <cell r="S5">
            <v>-4.2681694202585163</v>
          </cell>
          <cell r="T5">
            <v>-4.3340377092348277</v>
          </cell>
          <cell r="U5">
            <v>-4.4004366322958344</v>
          </cell>
          <cell r="V5">
            <v>-4.4684316308185368</v>
          </cell>
          <cell r="W5">
            <v>-4.5390251562328015</v>
          </cell>
          <cell r="X5">
            <v>-4.6119526770055375</v>
          </cell>
          <cell r="Y5">
            <v>-4.6876974335740673</v>
          </cell>
          <cell r="Z5">
            <v>-4.7663498416245842</v>
          </cell>
          <cell r="AA5">
            <v>-4.8477793812705343</v>
          </cell>
          <cell r="AB5">
            <v>-4.9323050110222972</v>
          </cell>
          <cell r="AC5">
            <v>-5.0165613008498644</v>
          </cell>
          <cell r="AD5">
            <v>-5.1019643979885787</v>
          </cell>
          <cell r="AE5">
            <v>-5.1883408595703724</v>
          </cell>
          <cell r="AF5">
            <v>-5.2755001072149588</v>
          </cell>
          <cell r="AG5">
            <v>-5.3632237777372467</v>
          </cell>
          <cell r="AH5">
            <v>-5.4502122415457599</v>
          </cell>
          <cell r="AI5">
            <v>-5.5371105410730204</v>
          </cell>
          <cell r="AJ5">
            <v>-5.6237434247091933</v>
          </cell>
          <cell r="AK5">
            <v>-5.7099803973477137</v>
          </cell>
          <cell r="AL5">
            <v>-5.7957164990088073</v>
          </cell>
          <cell r="AM5">
            <v>-5.8714889271429431</v>
          </cell>
          <cell r="AN5">
            <v>-5.9449229672438815</v>
          </cell>
          <cell r="AO5">
            <v>-6.0161600156355854</v>
          </cell>
          <cell r="AP5">
            <v>-6.0855962145012104</v>
          </cell>
          <cell r="AQ5">
            <v>-6.1536280510864465</v>
          </cell>
          <cell r="AR5">
            <v>-6.2190933045863535</v>
          </cell>
          <cell r="AS5">
            <v>-6.2835066098031023</v>
          </cell>
          <cell r="AT5">
            <v>-6.3471463173807248</v>
          </cell>
          <cell r="AU5">
            <v>-6.4102710957324671</v>
          </cell>
          <cell r="AV5">
            <v>-6.4730962309951678</v>
          </cell>
          <cell r="AW5">
            <v>-6.5307300641254677</v>
          </cell>
          <cell r="AX5">
            <v>-6.5874374029159188</v>
          </cell>
          <cell r="AY5">
            <v>-6.6434968759283564</v>
          </cell>
          <cell r="AZ5">
            <v>-6.6992107040962479</v>
          </cell>
          <cell r="BA5">
            <v>-6.7548297126593599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5">
          <cell r="C5">
            <v>-1.3734652863725771</v>
          </cell>
          <cell r="D5">
            <v>-1.7298565048007308</v>
          </cell>
          <cell r="E5">
            <v>-2.0645656708817461</v>
          </cell>
          <cell r="F5">
            <v>-2.357633648455304</v>
          </cell>
          <cell r="G5">
            <v>-2.6140093324245939</v>
          </cell>
          <cell r="H5">
            <v>-2.8407767554473717</v>
          </cell>
          <cell r="I5">
            <v>-3.0464601393956126</v>
          </cell>
          <cell r="J5">
            <v>-3.2343626267274828</v>
          </cell>
          <cell r="K5">
            <v>-3.4088044589155264</v>
          </cell>
          <cell r="L5">
            <v>-3.5735780011471041</v>
          </cell>
          <cell r="M5">
            <v>-3.8263746283537015</v>
          </cell>
          <cell r="N5">
            <v>-3.936158845468507</v>
          </cell>
          <cell r="O5">
            <v>-4.0335630799199329</v>
          </cell>
          <cell r="P5">
            <v>-4.1191956885294871</v>
          </cell>
          <cell r="Q5">
            <v>-4.1960202976913274</v>
          </cell>
          <cell r="R5">
            <v>-4.2668115222945557</v>
          </cell>
          <cell r="S5">
            <v>-4.3385282847099305</v>
          </cell>
          <cell r="T5">
            <v>-4.4095100887892924</v>
          </cell>
          <cell r="U5">
            <v>-4.4812427552597729</v>
          </cell>
          <cell r="V5">
            <v>-4.5547781342819116</v>
          </cell>
          <cell r="W5">
            <v>-4.6311097941466812</v>
          </cell>
          <cell r="X5">
            <v>-4.7099938027228561</v>
          </cell>
          <cell r="Y5">
            <v>-4.7919176689637073</v>
          </cell>
          <cell r="Z5">
            <v>-4.8769777598748458</v>
          </cell>
          <cell r="AA5">
            <v>-4.965046439401311</v>
          </cell>
          <cell r="AB5">
            <v>-5.0564131786857036</v>
          </cell>
          <cell r="AC5">
            <v>-5.1476766199514916</v>
          </cell>
          <cell r="AD5">
            <v>-5.2402349400153199</v>
          </cell>
          <cell r="AE5">
            <v>-5.333927805019723</v>
          </cell>
          <cell r="AF5">
            <v>-5.4285754760130871</v>
          </cell>
          <cell r="AG5">
            <v>-5.5239595975755229</v>
          </cell>
          <cell r="AH5">
            <v>-5.6187350233234508</v>
          </cell>
          <cell r="AI5">
            <v>-5.7135368368529278</v>
          </cell>
          <cell r="AJ5">
            <v>-5.808197333960619</v>
          </cell>
          <cell r="AK5">
            <v>-5.902594084908797</v>
          </cell>
          <cell r="AL5">
            <v>-5.9966256826181734</v>
          </cell>
          <cell r="AM5">
            <v>-6.0804467910879119</v>
          </cell>
          <cell r="AN5">
            <v>-6.1616942705872919</v>
          </cell>
          <cell r="AO5">
            <v>-6.2406874762081284</v>
          </cell>
          <cell r="AP5">
            <v>-6.3179600181405</v>
          </cell>
          <cell r="AQ5">
            <v>-6.3939607803403353</v>
          </cell>
          <cell r="AR5">
            <v>-6.4674527934628916</v>
          </cell>
          <cell r="AS5">
            <v>-6.5399125774206368</v>
          </cell>
          <cell r="AT5">
            <v>-6.6116128037204565</v>
          </cell>
          <cell r="AU5">
            <v>-6.6828151577913664</v>
          </cell>
          <cell r="AV5">
            <v>-6.75374061275601</v>
          </cell>
          <cell r="AW5">
            <v>-6.8192810107848505</v>
          </cell>
          <cell r="AX5">
            <v>-6.8837080079757857</v>
          </cell>
          <cell r="AY5">
            <v>-6.9474240648402024</v>
          </cell>
          <cell r="AZ5">
            <v>-7.0108335681959062</v>
          </cell>
          <cell r="BA5">
            <v>-7.0742357919410859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5">
          <cell r="C5">
            <v>-1.4134377529451903</v>
          </cell>
          <cell r="D5">
            <v>-1.793521960439437</v>
          </cell>
          <cell r="E5">
            <v>-2.1433063256721785</v>
          </cell>
          <cell r="F5">
            <v>-2.4463052308986932</v>
          </cell>
          <cell r="G5">
            <v>-2.7093767723510687</v>
          </cell>
          <cell r="H5">
            <v>-2.9407512271360292</v>
          </cell>
          <cell r="I5">
            <v>-3.1497704598259069</v>
          </cell>
          <cell r="J5">
            <v>-3.3401167883251315</v>
          </cell>
          <cell r="K5">
            <v>-3.5164428017359417</v>
          </cell>
          <cell r="L5">
            <v>-3.682788566089934</v>
          </cell>
          <cell r="M5">
            <v>-3.9369483140161643</v>
          </cell>
          <cell r="N5">
            <v>-4.0482551339010353</v>
          </cell>
          <cell r="O5">
            <v>-4.1473819066695006</v>
          </cell>
          <cell r="P5">
            <v>-4.2349535926846205</v>
          </cell>
          <cell r="Q5">
            <v>-4.3139404547592131</v>
          </cell>
          <cell r="R5">
            <v>-4.387112121402625</v>
          </cell>
          <cell r="S5">
            <v>-4.4615417243119015</v>
          </cell>
          <cell r="T5">
            <v>-4.535498089244494</v>
          </cell>
          <cell r="U5">
            <v>-4.6104241154786507</v>
          </cell>
          <cell r="V5">
            <v>-4.6873395633610926</v>
          </cell>
          <cell r="W5">
            <v>-4.7673156312450837</v>
          </cell>
          <cell r="X5">
            <v>-4.8498444305992372</v>
          </cell>
          <cell r="Y5">
            <v>-4.9355299079195341</v>
          </cell>
          <cell r="Z5">
            <v>-5.024452868139706</v>
          </cell>
          <cell r="AA5">
            <v>-5.1164720848802308</v>
          </cell>
          <cell r="AB5">
            <v>-5.2121771983503091</v>
          </cell>
          <cell r="AC5">
            <v>-5.3075122406260888</v>
          </cell>
          <cell r="AD5">
            <v>-5.4041074122913146</v>
          </cell>
          <cell r="AE5">
            <v>-5.5018075134250282</v>
          </cell>
          <cell r="AF5">
            <v>-5.6004375415494074</v>
          </cell>
          <cell r="AG5">
            <v>-5.6997826557531379</v>
          </cell>
          <cell r="AH5">
            <v>-5.7984634822230259</v>
          </cell>
          <cell r="AI5">
            <v>-5.8971342988124782</v>
          </cell>
          <cell r="AJ5">
            <v>-5.9956382581705441</v>
          </cell>
          <cell r="AK5">
            <v>-6.0938611164246037</v>
          </cell>
          <cell r="AL5">
            <v>-6.1917080267628872</v>
          </cell>
          <cell r="AM5">
            <v>-6.2790779632635907</v>
          </cell>
          <cell r="AN5">
            <v>-6.3636600616960308</v>
          </cell>
          <cell r="AO5">
            <v>-6.4458492162444809</v>
          </cell>
          <cell r="AP5">
            <v>-6.5262270211267071</v>
          </cell>
          <cell r="AQ5">
            <v>-6.6052765500094202</v>
          </cell>
          <cell r="AR5">
            <v>-6.6817298427610865</v>
          </cell>
          <cell r="AS5">
            <v>-6.7571094605159754</v>
          </cell>
          <cell r="AT5">
            <v>-6.8317161695697344</v>
          </cell>
          <cell r="AU5">
            <v>-6.9058315740446847</v>
          </cell>
          <cell r="AV5">
            <v>-6.9796909442198967</v>
          </cell>
          <cell r="AW5">
            <v>-7.0479911434117026</v>
          </cell>
          <cell r="AX5">
            <v>-7.1151098686792817</v>
          </cell>
          <cell r="AY5">
            <v>-7.1814955125604873</v>
          </cell>
          <cell r="AZ5">
            <v>-7.2475803820003515</v>
          </cell>
          <cell r="BA5">
            <v>-7.3136815666987047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6"/>
  <sheetViews>
    <sheetView workbookViewId="0">
      <selection activeCell="B9" sqref="B9"/>
    </sheetView>
  </sheetViews>
  <sheetFormatPr baseColWidth="10" defaultRowHeight="14.5" x14ac:dyDescent="0.35"/>
  <cols>
    <col min="1" max="1" width="19.81640625" customWidth="1"/>
  </cols>
  <sheetData>
    <row r="1" spans="1:52" x14ac:dyDescent="0.35">
      <c r="B1" s="1">
        <f>[1]Données!C4</f>
        <v>42005</v>
      </c>
      <c r="C1" s="1">
        <f>[1]Données!D4</f>
        <v>42370</v>
      </c>
      <c r="D1" s="1">
        <f>[1]Données!E4</f>
        <v>42736</v>
      </c>
      <c r="E1" s="1">
        <f>[1]Données!F4</f>
        <v>43101</v>
      </c>
      <c r="F1" s="1">
        <f>[1]Données!G4</f>
        <v>43466</v>
      </c>
      <c r="G1" s="1">
        <f>[1]Données!H4</f>
        <v>43831</v>
      </c>
      <c r="H1" s="1">
        <f>[1]Données!I4</f>
        <v>44197</v>
      </c>
      <c r="I1" s="1">
        <f>[1]Données!J4</f>
        <v>44562</v>
      </c>
      <c r="J1" s="1">
        <f>[1]Données!K4</f>
        <v>44927</v>
      </c>
      <c r="K1" s="1">
        <f>[1]Données!L4</f>
        <v>45292</v>
      </c>
      <c r="L1" s="1">
        <f>[1]Données!M4</f>
        <v>45658</v>
      </c>
      <c r="M1" s="1">
        <f>[1]Données!N4</f>
        <v>46023</v>
      </c>
      <c r="N1" s="1">
        <f>[1]Données!O4</f>
        <v>46388</v>
      </c>
      <c r="O1" s="1">
        <f>[1]Données!P4</f>
        <v>46753</v>
      </c>
      <c r="P1" s="1">
        <f>[1]Données!Q4</f>
        <v>47119</v>
      </c>
      <c r="Q1" s="1">
        <f>[1]Données!R4</f>
        <v>47484</v>
      </c>
      <c r="R1" s="1">
        <f>[1]Données!S4</f>
        <v>47849</v>
      </c>
      <c r="S1" s="1">
        <f>[1]Données!T4</f>
        <v>48214</v>
      </c>
      <c r="T1" s="1">
        <f>[1]Données!U4</f>
        <v>48580</v>
      </c>
      <c r="U1" s="1">
        <f>[1]Données!V4</f>
        <v>48945</v>
      </c>
      <c r="V1" s="1">
        <f>[1]Données!W4</f>
        <v>49310</v>
      </c>
      <c r="W1" s="1">
        <f>[1]Données!X4</f>
        <v>49675</v>
      </c>
      <c r="X1" s="1">
        <f>[1]Données!Y4</f>
        <v>50041</v>
      </c>
      <c r="Y1" s="1">
        <f>[1]Données!Z4</f>
        <v>50406</v>
      </c>
      <c r="Z1" s="1">
        <f>[1]Données!AA4</f>
        <v>50771</v>
      </c>
      <c r="AA1" s="1">
        <f>[1]Données!AB4</f>
        <v>51136</v>
      </c>
      <c r="AB1" s="1">
        <f>[1]Données!AC4</f>
        <v>51502</v>
      </c>
      <c r="AC1" s="1">
        <f>[1]Données!AD4</f>
        <v>51867</v>
      </c>
      <c r="AD1" s="1">
        <f>[1]Données!AE4</f>
        <v>52232</v>
      </c>
      <c r="AE1" s="1">
        <f>[1]Données!AF4</f>
        <v>52597</v>
      </c>
      <c r="AF1" s="1">
        <f>[1]Données!AG4</f>
        <v>52963</v>
      </c>
      <c r="AG1" s="1">
        <f>[1]Données!AH4</f>
        <v>53328</v>
      </c>
      <c r="AH1" s="1">
        <f>[1]Données!AI4</f>
        <v>53693</v>
      </c>
      <c r="AI1" s="1">
        <f>[1]Données!AJ4</f>
        <v>54058</v>
      </c>
      <c r="AJ1" s="1">
        <f>[1]Données!AK4</f>
        <v>54424</v>
      </c>
      <c r="AK1" s="1">
        <f>[1]Données!AL4</f>
        <v>54789</v>
      </c>
      <c r="AL1" s="1">
        <f>[1]Données!AM4</f>
        <v>55154</v>
      </c>
      <c r="AM1" s="1">
        <f>[1]Données!AN4</f>
        <v>55519</v>
      </c>
      <c r="AN1" s="1">
        <f>[1]Données!AO4</f>
        <v>55885</v>
      </c>
      <c r="AO1" s="1">
        <f>[1]Données!AP4</f>
        <v>56250</v>
      </c>
      <c r="AP1" s="1">
        <f>[1]Données!AQ4</f>
        <v>56615</v>
      </c>
      <c r="AQ1" s="1">
        <f>[1]Données!AR4</f>
        <v>56980</v>
      </c>
      <c r="AR1" s="1">
        <f>[1]Données!AS4</f>
        <v>57346</v>
      </c>
      <c r="AS1" s="1">
        <f>[1]Données!AT4</f>
        <v>57711</v>
      </c>
      <c r="AT1" s="1">
        <f>[1]Données!AU4</f>
        <v>58076</v>
      </c>
      <c r="AU1" s="1">
        <f>[1]Données!AV4</f>
        <v>58441</v>
      </c>
      <c r="AV1" s="1">
        <f>[1]Données!AW4</f>
        <v>58807</v>
      </c>
      <c r="AW1" s="1">
        <f>[1]Données!AX4</f>
        <v>59172</v>
      </c>
      <c r="AX1" s="1">
        <f>[1]Données!AY4</f>
        <v>59537</v>
      </c>
      <c r="AY1" s="1">
        <f>[1]Données!AZ4</f>
        <v>59902</v>
      </c>
      <c r="AZ1" s="1">
        <f>[1]Données!BA4</f>
        <v>60268</v>
      </c>
    </row>
    <row r="2" spans="1:52" x14ac:dyDescent="0.35">
      <c r="A2" t="s">
        <v>1</v>
      </c>
      <c r="B2" s="2">
        <f>(([2]Données!C5)/100)*-1</f>
        <v>1.3538601712600906E-2</v>
      </c>
      <c r="C2" s="2">
        <f>(([2]Données!D5)/100)*-1</f>
        <v>1.6912679139984843E-2</v>
      </c>
      <c r="D2" s="2">
        <f>(([2]Données!E5)/100)*-1</f>
        <v>2.0115560050032899E-2</v>
      </c>
      <c r="E2" s="2">
        <f>(([2]Données!F5)/100)*-1</f>
        <v>2.2943774902325131E-2</v>
      </c>
      <c r="F2" s="2">
        <f>(([2]Données!G5)/100)*-1</f>
        <v>2.5425308096377663E-2</v>
      </c>
      <c r="G2" s="2">
        <f>(([2]Données!H5)/100)*-1</f>
        <v>2.7611418605846372E-2</v>
      </c>
      <c r="H2" s="2">
        <f>(([2]Données!I5)/100)*-1</f>
        <v>2.9576927529626262E-2</v>
      </c>
      <c r="I2" s="2">
        <f>(([2]Données!J5)/100)*-1</f>
        <v>3.1353239073615535E-2</v>
      </c>
      <c r="J2" s="2">
        <f>(([2]Données!K5)/100)*-1</f>
        <v>3.2985843392642766E-2</v>
      </c>
      <c r="K2" s="2">
        <f>(([2]Données!L5)/100)*-1</f>
        <v>3.4516237501799885E-2</v>
      </c>
      <c r="L2" s="2">
        <f>(([2]Données!M5)/100)*-1</f>
        <v>3.6927247412231856E-2</v>
      </c>
      <c r="M2" s="2">
        <f>(([2]Données!N5)/100)*-1</f>
        <v>3.7901004681047845E-2</v>
      </c>
      <c r="N2" s="2">
        <f>(([2]Données!O5)/100)*-1</f>
        <v>3.8748605891280929E-2</v>
      </c>
      <c r="O2" s="2">
        <f>(([2]Données!P5)/100)*-1</f>
        <v>3.9477051688237563E-2</v>
      </c>
      <c r="P2" s="2">
        <f>(([2]Données!Q5)/100)*-1</f>
        <v>4.0116488877360634E-2</v>
      </c>
      <c r="Q2" s="2">
        <f>(([2]Données!R5)/100)*-1</f>
        <v>4.0694640941231978E-2</v>
      </c>
      <c r="R2" s="2">
        <f>(([2]Données!S5)/100)*-1</f>
        <v>4.1277964002331198E-2</v>
      </c>
      <c r="S2" s="2">
        <f>(([2]Données!T5)/100)*-1</f>
        <v>4.1849741026071745E-2</v>
      </c>
      <c r="T2" s="2">
        <f>(([2]Données!U5)/100)*-1</f>
        <v>4.2425458296820991E-2</v>
      </c>
      <c r="U2" s="2">
        <f>(([2]Données!V5)/100)*-1</f>
        <v>4.3016340742832782E-2</v>
      </c>
      <c r="V2" s="2">
        <f>(([2]Données!W5)/100)*-1</f>
        <v>4.3633104309372284E-2</v>
      </c>
      <c r="W2" s="2">
        <f>(([2]Données!X5)/100)*-1</f>
        <v>4.427314031618601E-2</v>
      </c>
      <c r="X2" s="2">
        <f>(([2]Données!Y5)/100)*-1</f>
        <v>4.4941592729452529E-2</v>
      </c>
      <c r="Y2" s="2">
        <f>(([2]Données!Z5)/100)*-1</f>
        <v>4.563947337910957E-2</v>
      </c>
      <c r="Z2" s="2">
        <f>(([2]Données!AA5)/100)*-1</f>
        <v>4.6365523266142288E-2</v>
      </c>
      <c r="AA2" s="2">
        <f>(([2]Données!AB5)/100)*-1</f>
        <v>4.7123697653551948E-2</v>
      </c>
      <c r="AB2" s="2">
        <f>(([2]Données!AC5)/100)*-1</f>
        <v>4.788032119780028E-2</v>
      </c>
      <c r="AC2" s="2">
        <f>(([2]Données!AD5)/100)*-1</f>
        <v>4.8649621572917197E-2</v>
      </c>
      <c r="AD2" s="2">
        <f>(([2]Données!AE5)/100)*-1</f>
        <v>4.9429610515789646E-2</v>
      </c>
      <c r="AE2" s="2">
        <f>(([2]Données!AF5)/100)*-1</f>
        <v>5.0218084317584018E-2</v>
      </c>
      <c r="AF2" s="2">
        <f>(([2]Données!AG5)/100)*-1</f>
        <v>5.1012621505727829E-2</v>
      </c>
      <c r="AG2" s="2">
        <f>(([2]Données!AH5)/100)*-1</f>
        <v>5.1800471640880197E-2</v>
      </c>
      <c r="AH2" s="2">
        <f>(([2]Données!AI5)/100)*-1</f>
        <v>5.2587995224248063E-2</v>
      </c>
      <c r="AI2" s="2">
        <f>(([2]Données!AJ5)/100)*-1</f>
        <v>5.33733113615723E-2</v>
      </c>
      <c r="AJ2" s="2">
        <f>(([2]Données!AK5)/100)*-1</f>
        <v>5.4154996240649018E-2</v>
      </c>
      <c r="AK2" s="2">
        <f>(([2]Données!AL5)/100)*-1</f>
        <v>5.4931912985350273E-2</v>
      </c>
      <c r="AL2" s="2">
        <f>(([2]Données!AM5)/100)*-1</f>
        <v>5.5612806592488247E-2</v>
      </c>
      <c r="AM2" s="2">
        <f>(([2]Données!AN5)/100)*-1</f>
        <v>5.6273572035804416E-2</v>
      </c>
      <c r="AN2" s="2">
        <f>(([2]Données!AO5)/100)*-1</f>
        <v>5.6914643529708646E-2</v>
      </c>
      <c r="AO2" s="2">
        <f>(([2]Données!AP5)/100)*-1</f>
        <v>5.753897634474104E-2</v>
      </c>
      <c r="AP2" s="2">
        <f>(([2]Données!AQ5)/100)*-1</f>
        <v>5.8149801337017311E-2</v>
      </c>
      <c r="AQ2" s="2">
        <f>(([2]Données!AR5)/100)*-1</f>
        <v>5.8735596987392939E-2</v>
      </c>
      <c r="AR2" s="2">
        <f>(([2]Données!AS5)/100)*-1</f>
        <v>5.9311343796265348E-2</v>
      </c>
      <c r="AS2" s="2">
        <f>(([2]Données!AT5)/100)*-1</f>
        <v>5.9879563862663465E-2</v>
      </c>
      <c r="AT2" s="2">
        <f>(([2]Données!AU5)/100)*-1</f>
        <v>6.0442828733665251E-2</v>
      </c>
      <c r="AU2" s="2">
        <f>(([2]Données!AV5)/100)*-1</f>
        <v>6.1003296850866917E-2</v>
      </c>
      <c r="AV2" s="2">
        <f>(([2]Données!AW5)/100)*-1</f>
        <v>6.1513652688195419E-2</v>
      </c>
      <c r="AW2" s="2">
        <f>(([2]Données!AX5)/100)*-1</f>
        <v>6.2016559531788203E-2</v>
      </c>
      <c r="AX2" s="2">
        <f>(([2]Données!AY5)/100)*-1</f>
        <v>6.2514296331188435E-2</v>
      </c>
      <c r="AY2" s="2">
        <f>(([2]Données!AZ5)/100)*-1</f>
        <v>6.3009329987089857E-2</v>
      </c>
      <c r="AZ2" s="4">
        <f>(([2]Données!BA5)/100)*-1</f>
        <v>6.3503741412501813E-2</v>
      </c>
    </row>
    <row r="3" spans="1:52" x14ac:dyDescent="0.35">
      <c r="A3" t="s">
        <v>3</v>
      </c>
      <c r="B3" s="2">
        <f>(([3]Données!C5)/100)*-1</f>
        <v>1.3672989606358987E-2</v>
      </c>
      <c r="C3" s="2">
        <f>(([3]Données!D5)/100)*-1</f>
        <v>1.7174495306202409E-2</v>
      </c>
      <c r="D3" s="2">
        <f>(([3]Données!E5)/100)*-1</f>
        <v>2.0477676385590282E-2</v>
      </c>
      <c r="E3" s="2">
        <f>(([3]Données!F5)/100)*-1</f>
        <v>2.338101922407565E-2</v>
      </c>
      <c r="F3" s="2">
        <f>(([3]Données!G5)/100)*-1</f>
        <v>2.5924392080600156E-2</v>
      </c>
      <c r="G3" s="2">
        <f>(([3]Données!H5)/100)*-1</f>
        <v>2.8170343744913895E-2</v>
      </c>
      <c r="H3" s="2">
        <f>(([3]Données!I5)/100)*-1</f>
        <v>3.0199679852574546E-2</v>
      </c>
      <c r="I3" s="2">
        <f>(([3]Données!J5)/100)*-1</f>
        <v>3.2044636480139999E-2</v>
      </c>
      <c r="J3" s="2">
        <f>(([3]Données!K5)/100)*-1</f>
        <v>3.3749792479178753E-2</v>
      </c>
      <c r="K3" s="2">
        <f>(([3]Données!L5)/100)*-1</f>
        <v>3.5355106743683251E-2</v>
      </c>
      <c r="L3" s="2">
        <f>(([3]Données!M5)/100)*-1</f>
        <v>3.7840113348240667E-2</v>
      </c>
      <c r="M3" s="2">
        <f>(([3]Données!N5)/100)*-1</f>
        <v>3.8892630987244492E-2</v>
      </c>
      <c r="N3" s="2">
        <f>(([3]Données!O5)/100)*-1</f>
        <v>3.9820630063436724E-2</v>
      </c>
      <c r="O3" s="2">
        <f>(([3]Données!P5)/100)*-1</f>
        <v>4.0630615722784924E-2</v>
      </c>
      <c r="P3" s="2">
        <f>(([3]Données!Q5)/100)*-1</f>
        <v>4.1352345269782598E-2</v>
      </c>
      <c r="Q3" s="2">
        <f>(([3]Données!R5)/100)*-1</f>
        <v>4.2013346077308E-2</v>
      </c>
      <c r="R3" s="2">
        <f>(([3]Données!S5)/100)*-1</f>
        <v>4.2681694202585163E-2</v>
      </c>
      <c r="S3" s="2">
        <f>(([3]Données!T5)/100)*-1</f>
        <v>4.3340377092348274E-2</v>
      </c>
      <c r="T3" s="2">
        <f>(([3]Données!U5)/100)*-1</f>
        <v>4.4004366322958344E-2</v>
      </c>
      <c r="U3" s="2">
        <f>(([3]Données!V5)/100)*-1</f>
        <v>4.4684316308185368E-2</v>
      </c>
      <c r="V3" s="2">
        <f>(([3]Données!W5)/100)*-1</f>
        <v>4.5390251562328017E-2</v>
      </c>
      <c r="W3" s="2">
        <f>(([3]Données!X5)/100)*-1</f>
        <v>4.6119526770055375E-2</v>
      </c>
      <c r="X3" s="2">
        <f>(([3]Données!Y5)/100)*-1</f>
        <v>4.6876974335740673E-2</v>
      </c>
      <c r="Y3" s="2">
        <f>(([3]Données!Z5)/100)*-1</f>
        <v>4.7663498416245842E-2</v>
      </c>
      <c r="Z3" s="2">
        <f>(([3]Données!AA5)/100)*-1</f>
        <v>4.8477793812705346E-2</v>
      </c>
      <c r="AA3" s="2">
        <f>(([3]Données!AB5)/100)*-1</f>
        <v>4.932305011022297E-2</v>
      </c>
      <c r="AB3" s="2">
        <f>(([3]Données!AC5)/100)*-1</f>
        <v>5.0165613008498644E-2</v>
      </c>
      <c r="AC3" s="2">
        <f>(([3]Données!AD5)/100)*-1</f>
        <v>5.1019643979885787E-2</v>
      </c>
      <c r="AD3" s="2">
        <f>(([3]Données!AE5)/100)*-1</f>
        <v>5.1883408595703721E-2</v>
      </c>
      <c r="AE3" s="2">
        <f>(([3]Données!AF5)/100)*-1</f>
        <v>5.2755001072149588E-2</v>
      </c>
      <c r="AF3" s="2">
        <f>(([3]Données!AG5)/100)*-1</f>
        <v>5.3632237777372464E-2</v>
      </c>
      <c r="AG3" s="2">
        <f>(([3]Données!AH5)/100)*-1</f>
        <v>5.4502122415457599E-2</v>
      </c>
      <c r="AH3" s="2">
        <f>(([3]Données!AI5)/100)*-1</f>
        <v>5.5371105410730204E-2</v>
      </c>
      <c r="AI3" s="2">
        <f>(([3]Données!AJ5)/100)*-1</f>
        <v>5.6237434247091933E-2</v>
      </c>
      <c r="AJ3" s="2">
        <f>(([3]Données!AK5)/100)*-1</f>
        <v>5.7099803973477137E-2</v>
      </c>
      <c r="AK3" s="2">
        <f>(([3]Données!AL5)/100)*-1</f>
        <v>5.7957164990088073E-2</v>
      </c>
      <c r="AL3" s="2">
        <f>(([3]Données!AM5)/100)*-1</f>
        <v>5.8714889271429434E-2</v>
      </c>
      <c r="AM3" s="2">
        <f>(([3]Données!AN5)/100)*-1</f>
        <v>5.9449229672438812E-2</v>
      </c>
      <c r="AN3" s="2">
        <f>(([3]Données!AO5)/100)*-1</f>
        <v>6.0161600156355854E-2</v>
      </c>
      <c r="AO3" s="2">
        <f>(([3]Données!AP5)/100)*-1</f>
        <v>6.0855962145012106E-2</v>
      </c>
      <c r="AP3" s="2">
        <f>(([3]Données!AQ5)/100)*-1</f>
        <v>6.1536280510864468E-2</v>
      </c>
      <c r="AQ3" s="2">
        <f>(([3]Données!AR5)/100)*-1</f>
        <v>6.2190933045863532E-2</v>
      </c>
      <c r="AR3" s="2">
        <f>(([3]Données!AS5)/100)*-1</f>
        <v>6.2835066098031023E-2</v>
      </c>
      <c r="AS3" s="2">
        <f>(([3]Données!AT5)/100)*-1</f>
        <v>6.3471463173807252E-2</v>
      </c>
      <c r="AT3" s="2">
        <f>(([3]Données!AU5)/100)*-1</f>
        <v>6.4102710957324671E-2</v>
      </c>
      <c r="AU3" s="2">
        <f>(([3]Données!AV5)/100)*-1</f>
        <v>6.4730962309951678E-2</v>
      </c>
      <c r="AV3" s="2">
        <f>(([3]Données!AW5)/100)*-1</f>
        <v>6.5307300641254673E-2</v>
      </c>
      <c r="AW3" s="2">
        <f>(([3]Données!AX5)/100)*-1</f>
        <v>6.5874374029159188E-2</v>
      </c>
      <c r="AX3" s="2">
        <f>(([3]Données!AY5)/100)*-1</f>
        <v>6.6434968759283564E-2</v>
      </c>
      <c r="AY3" s="2">
        <f>(([3]Données!AZ5)/100)*-1</f>
        <v>6.6992107040962479E-2</v>
      </c>
      <c r="AZ3" s="4">
        <f>(([3]Données!BA5)/100)*-1</f>
        <v>6.7548297126593604E-2</v>
      </c>
    </row>
    <row r="4" spans="1:52" x14ac:dyDescent="0.35">
      <c r="A4" t="s">
        <v>4</v>
      </c>
      <c r="B4" s="2">
        <f>-0.01*[4]Données!C5</f>
        <v>1.3734652863725771E-2</v>
      </c>
      <c r="C4" s="2">
        <f>([4]Données!D5/100)*-1</f>
        <v>1.7298565048007308E-2</v>
      </c>
      <c r="D4" s="2">
        <f>([4]Données!E5/100)*-1</f>
        <v>2.0645656708817461E-2</v>
      </c>
      <c r="E4" s="2">
        <f>([4]Données!F5/100)*-1</f>
        <v>2.357633648455304E-2</v>
      </c>
      <c r="F4" s="2">
        <f>([4]Données!G5/100)*-1</f>
        <v>2.6140093324245939E-2</v>
      </c>
      <c r="G4" s="2">
        <f>([4]Données!H5/100)*-1</f>
        <v>2.8407767554473717E-2</v>
      </c>
      <c r="H4" s="2">
        <f>([4]Données!I5/100)*-1</f>
        <v>3.0464601393956126E-2</v>
      </c>
      <c r="I4" s="2">
        <f>([4]Données!J5/100)*-1</f>
        <v>3.2343626267274828E-2</v>
      </c>
      <c r="J4" s="2">
        <f>([4]Données!K5/100)*-1</f>
        <v>3.4088044589155264E-2</v>
      </c>
      <c r="K4" s="2">
        <f>([4]Données!L5/100)*-1</f>
        <v>3.5735780011471041E-2</v>
      </c>
      <c r="L4" s="2">
        <f>([4]Données!M5/100)*-1</f>
        <v>3.8263746283537015E-2</v>
      </c>
      <c r="M4" s="2">
        <f>([4]Données!N5/100)*-1</f>
        <v>3.936158845468507E-2</v>
      </c>
      <c r="N4" s="2">
        <f>([4]Données!O5/100)*-1</f>
        <v>4.0335630799199329E-2</v>
      </c>
      <c r="O4" s="2">
        <f>([4]Données!P5/100)*-1</f>
        <v>4.1191956885294874E-2</v>
      </c>
      <c r="P4" s="2">
        <f>([4]Données!Q5/100)*-1</f>
        <v>4.1960202976913274E-2</v>
      </c>
      <c r="Q4" s="2">
        <f>([4]Données!R5/100)*-1</f>
        <v>4.2668115222945557E-2</v>
      </c>
      <c r="R4" s="2">
        <f>([4]Données!S5/100)*-1</f>
        <v>4.3385282847099305E-2</v>
      </c>
      <c r="S4" s="2">
        <f>([4]Données!T5/100)*-1</f>
        <v>4.4095100887892924E-2</v>
      </c>
      <c r="T4" s="2">
        <f>([4]Données!U5/100)*-1</f>
        <v>4.4812427552597726E-2</v>
      </c>
      <c r="U4" s="2">
        <f>([4]Données!V5/100)*-1</f>
        <v>4.5547781342819116E-2</v>
      </c>
      <c r="V4" s="2">
        <f>([4]Données!W5/100)*-1</f>
        <v>4.631109794146681E-2</v>
      </c>
      <c r="W4" s="2">
        <f>([4]Données!X5/100)*-1</f>
        <v>4.7099938027228561E-2</v>
      </c>
      <c r="X4" s="2">
        <f>([4]Données!Y5/100)*-1</f>
        <v>4.791917668963707E-2</v>
      </c>
      <c r="Y4" s="2">
        <f>([4]Données!Z5/100)*-1</f>
        <v>4.8769777598748461E-2</v>
      </c>
      <c r="Z4" s="2">
        <f>([4]Données!AA5/100)*-1</f>
        <v>4.9650464394013112E-2</v>
      </c>
      <c r="AA4" s="2">
        <f>([4]Données!AB5/100)*-1</f>
        <v>5.0564131786857036E-2</v>
      </c>
      <c r="AB4" s="2">
        <f>([4]Données!AC5/100)*-1</f>
        <v>5.1476766199514919E-2</v>
      </c>
      <c r="AC4" s="2">
        <f>([4]Données!AD5/100)*-1</f>
        <v>5.2402349400153196E-2</v>
      </c>
      <c r="AD4" s="2">
        <f>([4]Données!AE5/100)*-1</f>
        <v>5.3339278050197232E-2</v>
      </c>
      <c r="AE4" s="2">
        <f>([4]Données!AF5/100)*-1</f>
        <v>5.4285754760130873E-2</v>
      </c>
      <c r="AF4" s="2">
        <f>([4]Données!AG5/100)*-1</f>
        <v>5.5239595975755229E-2</v>
      </c>
      <c r="AG4" s="2">
        <f>([4]Données!AH5/100)*-1</f>
        <v>5.6187350233234505E-2</v>
      </c>
      <c r="AH4" s="2">
        <f>([4]Données!AI5/100)*-1</f>
        <v>5.7135368368529275E-2</v>
      </c>
      <c r="AI4" s="2">
        <f>([4]Données!AJ5/100)*-1</f>
        <v>5.8081973339606192E-2</v>
      </c>
      <c r="AJ4" s="2">
        <f>([4]Données!AK5/100)*-1</f>
        <v>5.9025940849087973E-2</v>
      </c>
      <c r="AK4" s="2">
        <f>([4]Données!AL5/100)*-1</f>
        <v>5.9966256826181737E-2</v>
      </c>
      <c r="AL4" s="2">
        <f>([4]Données!AM5/100)*-1</f>
        <v>6.0804467910879116E-2</v>
      </c>
      <c r="AM4" s="2">
        <f>([4]Données!AN5/100)*-1</f>
        <v>6.1616942705872917E-2</v>
      </c>
      <c r="AN4" s="2">
        <f>([4]Données!AO5/100)*-1</f>
        <v>6.2406874762081281E-2</v>
      </c>
      <c r="AO4" s="2">
        <f>([4]Données!AP5/100)*-1</f>
        <v>6.3179600181405005E-2</v>
      </c>
      <c r="AP4" s="2">
        <f>([4]Données!AQ5/100)*-1</f>
        <v>6.3939607803403353E-2</v>
      </c>
      <c r="AQ4" s="2">
        <f>([4]Données!AR5/100)*-1</f>
        <v>6.4674527934628911E-2</v>
      </c>
      <c r="AR4" s="2">
        <f>([4]Données!AS5/100)*-1</f>
        <v>6.5399125774206368E-2</v>
      </c>
      <c r="AS4" s="2">
        <f>([4]Données!AT5/100)*-1</f>
        <v>6.6116128037204569E-2</v>
      </c>
      <c r="AT4" s="2">
        <f>([4]Données!AU5/100)*-1</f>
        <v>6.6828151577913664E-2</v>
      </c>
      <c r="AU4" s="2">
        <f>([4]Données!AV5/100)*-1</f>
        <v>6.7537406127560096E-2</v>
      </c>
      <c r="AV4" s="2">
        <f>([4]Données!AW5/100)*-1</f>
        <v>6.8192810107848501E-2</v>
      </c>
      <c r="AW4" s="2">
        <f>([4]Données!AX5/100)*-1</f>
        <v>6.8837080079757862E-2</v>
      </c>
      <c r="AX4" s="2">
        <f>([4]Données!AY5/100)*-1</f>
        <v>6.9474240648402019E-2</v>
      </c>
      <c r="AY4" s="2">
        <f>([4]Données!AZ5/100)*-1</f>
        <v>7.0108335681959066E-2</v>
      </c>
      <c r="AZ4" s="4">
        <f>([4]Données!BA5/100)*-1</f>
        <v>7.0742357919410859E-2</v>
      </c>
    </row>
    <row r="5" spans="1:52" x14ac:dyDescent="0.35">
      <c r="A5" t="s">
        <v>5</v>
      </c>
      <c r="B5" s="2">
        <f>-0.01*[5]Données!C5</f>
        <v>1.4134377529451903E-2</v>
      </c>
      <c r="C5" s="2">
        <f>-0.01*[5]Données!D5</f>
        <v>1.793521960439437E-2</v>
      </c>
      <c r="D5" s="2">
        <f>-0.01*[5]Données!E5</f>
        <v>2.1433063256721785E-2</v>
      </c>
      <c r="E5" s="2">
        <f>-0.01*[5]Données!F5</f>
        <v>2.4463052308986932E-2</v>
      </c>
      <c r="F5" s="2">
        <f>-0.01*[5]Données!G5</f>
        <v>2.7093767723510687E-2</v>
      </c>
      <c r="G5" s="2">
        <f>-0.01*[5]Données!H5</f>
        <v>2.9407512271360292E-2</v>
      </c>
      <c r="H5" s="2">
        <f>-0.01*[5]Données!I5</f>
        <v>3.1497704598259069E-2</v>
      </c>
      <c r="I5" s="2">
        <f>-0.01*[5]Données!J5</f>
        <v>3.3401167883251315E-2</v>
      </c>
      <c r="J5" s="2">
        <f>-0.01*[5]Données!K5</f>
        <v>3.5164428017359417E-2</v>
      </c>
      <c r="K5" s="2">
        <f>-0.01*[5]Données!L5</f>
        <v>3.682788566089934E-2</v>
      </c>
      <c r="L5" s="2">
        <f>-0.01*[5]Données!M5</f>
        <v>3.9369483140161643E-2</v>
      </c>
      <c r="M5" s="2">
        <f>-0.01*[5]Données!N5</f>
        <v>4.0482551339010353E-2</v>
      </c>
      <c r="N5" s="2">
        <f>-0.01*[5]Données!O5</f>
        <v>4.1473819066695006E-2</v>
      </c>
      <c r="O5" s="2">
        <f>-0.01*[5]Données!P5</f>
        <v>4.2349535926846205E-2</v>
      </c>
      <c r="P5" s="2">
        <f>-0.01*[5]Données!Q5</f>
        <v>4.3139404547592131E-2</v>
      </c>
      <c r="Q5" s="2">
        <f>-0.01*[5]Données!R5</f>
        <v>4.3871121214026247E-2</v>
      </c>
      <c r="R5" s="2">
        <f>-0.01*[5]Données!S5</f>
        <v>4.4615417243119015E-2</v>
      </c>
      <c r="S5" s="2">
        <f>-0.01*[5]Données!T5</f>
        <v>4.535498089244494E-2</v>
      </c>
      <c r="T5" s="2">
        <f>-0.01*[5]Données!U5</f>
        <v>4.6104241154786507E-2</v>
      </c>
      <c r="U5" s="2">
        <f>-0.01*[5]Données!V5</f>
        <v>4.6873395633610926E-2</v>
      </c>
      <c r="V5" s="2">
        <f>-0.01*[5]Données!W5</f>
        <v>4.7673156312450837E-2</v>
      </c>
      <c r="W5" s="2">
        <f>-0.01*[5]Données!X5</f>
        <v>4.8498444305992372E-2</v>
      </c>
      <c r="X5" s="2">
        <f>-0.01*[5]Données!Y5</f>
        <v>4.9355299079195343E-2</v>
      </c>
      <c r="Y5" s="2">
        <f>-0.01*[5]Données!Z5</f>
        <v>5.024452868139706E-2</v>
      </c>
      <c r="Z5" s="2">
        <f>-0.01*[5]Données!AA5</f>
        <v>5.116472084880231E-2</v>
      </c>
      <c r="AA5" s="2">
        <f>-0.01*[5]Données!AB5</f>
        <v>5.2121771983503096E-2</v>
      </c>
      <c r="AB5" s="2">
        <f>-0.01*[5]Données!AC5</f>
        <v>5.3075122406260888E-2</v>
      </c>
      <c r="AC5" s="2">
        <f>-0.01*[5]Données!AD5</f>
        <v>5.4041074122913146E-2</v>
      </c>
      <c r="AD5" s="2">
        <f>-0.01*[5]Données!AE5</f>
        <v>5.5018075134250284E-2</v>
      </c>
      <c r="AE5" s="2">
        <f>-0.01*[5]Données!AF5</f>
        <v>5.6004375415494079E-2</v>
      </c>
      <c r="AF5" s="2">
        <f>-0.01*[5]Données!AG5</f>
        <v>5.6997826557531384E-2</v>
      </c>
      <c r="AG5" s="2">
        <f>-0.01*[5]Données!AH5</f>
        <v>5.7984634822230263E-2</v>
      </c>
      <c r="AH5" s="2">
        <f>-0.01*[5]Données!AI5</f>
        <v>5.8971342988124786E-2</v>
      </c>
      <c r="AI5" s="2">
        <f>-0.01*[5]Données!AJ5</f>
        <v>5.9956382581705443E-2</v>
      </c>
      <c r="AJ5" s="2">
        <f>-0.01*[5]Données!AK5</f>
        <v>6.0938611164246037E-2</v>
      </c>
      <c r="AK5" s="2">
        <f>-0.01*[5]Données!AL5</f>
        <v>6.1917080267628877E-2</v>
      </c>
      <c r="AL5" s="2">
        <f>-0.01*[5]Données!AM5</f>
        <v>6.2790779632635907E-2</v>
      </c>
      <c r="AM5" s="2">
        <f>-0.01*[5]Données!AN5</f>
        <v>6.3636600616960304E-2</v>
      </c>
      <c r="AN5" s="2">
        <f>-0.01*[5]Données!AO5</f>
        <v>6.4458492162444814E-2</v>
      </c>
      <c r="AO5" s="2">
        <f>-0.01*[5]Données!AP5</f>
        <v>6.5262270211267071E-2</v>
      </c>
      <c r="AP5" s="2">
        <f>-0.01*[5]Données!AQ5</f>
        <v>6.6052765500094202E-2</v>
      </c>
      <c r="AQ5" s="2">
        <f>-0.01*[5]Données!AR5</f>
        <v>6.6817298427610861E-2</v>
      </c>
      <c r="AR5" s="2">
        <f>-0.01*[5]Données!AS5</f>
        <v>6.7571094605159754E-2</v>
      </c>
      <c r="AS5" s="2">
        <f>-0.01*[5]Données!AT5</f>
        <v>6.8317161695697348E-2</v>
      </c>
      <c r="AT5" s="2">
        <f>-0.01*[5]Données!AU5</f>
        <v>6.9058315740446852E-2</v>
      </c>
      <c r="AU5" s="2">
        <f>-0.01*[5]Données!AV5</f>
        <v>6.9796909442198962E-2</v>
      </c>
      <c r="AV5" s="2">
        <f>-0.01*[5]Données!AW5</f>
        <v>7.0479911434117026E-2</v>
      </c>
      <c r="AW5" s="2">
        <f>-0.01*[5]Données!AX5</f>
        <v>7.1151098686792813E-2</v>
      </c>
      <c r="AX5" s="2">
        <f>-0.01*[5]Données!AY5</f>
        <v>7.1814955125604873E-2</v>
      </c>
      <c r="AY5" s="2">
        <f>-0.01*[5]Données!AZ5</f>
        <v>7.2475803820003515E-2</v>
      </c>
      <c r="AZ5" s="4">
        <f>-0.01*[5]Données!BA5</f>
        <v>7.3136815666987043E-2</v>
      </c>
    </row>
    <row r="6" spans="1:52" x14ac:dyDescent="0.35">
      <c r="A6" t="s">
        <v>0</v>
      </c>
      <c r="B6" s="2">
        <f>(([1]Données!C5)/100)*-1</f>
        <v>1.4356607550249811E-2</v>
      </c>
      <c r="C6" s="2">
        <f>(([1]Données!D5)/100)*-1</f>
        <v>1.8359555756829793E-2</v>
      </c>
      <c r="D6" s="2">
        <f>(([1]Données!E5)/100)*-1</f>
        <v>2.1979111734358292E-2</v>
      </c>
      <c r="E6" s="2">
        <f>(([1]Données!F5)/100)*-1</f>
        <v>2.5068879367789454E-2</v>
      </c>
      <c r="F6" s="2">
        <f>(([1]Données!G5)/100)*-1</f>
        <v>2.7723085374654066E-2</v>
      </c>
      <c r="G6" s="2">
        <f>(([1]Données!H5)/100)*-1</f>
        <v>3.0045484289630386E-2</v>
      </c>
      <c r="H6" s="2">
        <f>(([1]Données!I5)/100)*-1</f>
        <v>3.2142934801796197E-2</v>
      </c>
      <c r="I6" s="2">
        <f>(([1]Données!J5)/100)*-1</f>
        <v>3.4057681683389962E-2</v>
      </c>
      <c r="J6" s="2">
        <f>(([1]Données!K5)/100)*-1</f>
        <v>3.5837204760872599E-2</v>
      </c>
      <c r="K6" s="2">
        <f>(([1]Données!L5)/100)*-1</f>
        <v>3.7520252823447842E-2</v>
      </c>
      <c r="L6" s="2">
        <f>(([1]Données!M5)/100)*-1</f>
        <v>4.0081351725834595E-2</v>
      </c>
      <c r="M6" s="2">
        <f>(([1]Données!N5)/100)*-1</f>
        <v>4.1216477863235346E-2</v>
      </c>
      <c r="N6" s="2">
        <f>(([1]Données!O5)/100)*-1</f>
        <v>4.2229563987969287E-2</v>
      </c>
      <c r="O6" s="2">
        <f>(([1]Données!P5)/100)*-1</f>
        <v>4.3126393087284498E-2</v>
      </c>
      <c r="P6" s="2">
        <f>(([1]Données!Q5)/100)*-1</f>
        <v>4.3936550525898961E-2</v>
      </c>
      <c r="Q6" s="2">
        <f>(([1]Données!R5)/100)*-1</f>
        <v>4.4687819847009196E-2</v>
      </c>
      <c r="R6" s="2">
        <f>(([1]Données!S5)/100)*-1</f>
        <v>4.5451866935080625E-2</v>
      </c>
      <c r="S6" s="2">
        <f>(([1]Données!T5)/100)*-1</f>
        <v>4.6211401290769845E-2</v>
      </c>
      <c r="T6" s="2">
        <f>(([1]Données!U5)/100)*-1</f>
        <v>4.6980586975273519E-2</v>
      </c>
      <c r="U6" s="2">
        <f>(([1]Données!V5)/100)*-1</f>
        <v>4.776938291292588E-2</v>
      </c>
      <c r="V6" s="2">
        <f>(([1]Données!W5)/100)*-1</f>
        <v>4.8588189167100948E-2</v>
      </c>
      <c r="W6" s="2">
        <f>(([1]Données!X5)/100)*-1</f>
        <v>4.9432039654755178E-2</v>
      </c>
      <c r="X6" s="2">
        <f>(([1]Données!Y5)/100)*-1</f>
        <v>5.0307012754312819E-2</v>
      </c>
      <c r="Y6" s="2">
        <f>(([1]Données!Z5)/100)*-1</f>
        <v>5.121388057047449E-2</v>
      </c>
      <c r="Z6" s="2">
        <f>(([1]Données!AA5)/100)*-1</f>
        <v>5.2151234582306749E-2</v>
      </c>
      <c r="AA6" s="2">
        <f>(([1]Données!AB5)/100)*-1</f>
        <v>5.3124301885619118E-2</v>
      </c>
      <c r="AB6" s="2">
        <f>(([1]Données!AC5)/100)*-1</f>
        <v>5.4092994435144807E-2</v>
      </c>
      <c r="AC6" s="2">
        <f>(([1]Données!AD5)/100)*-1</f>
        <v>5.5073732374418372E-2</v>
      </c>
      <c r="AD6" s="2">
        <f>(([1]Données!AE5)/100)*-1</f>
        <v>5.6065126380332009E-2</v>
      </c>
      <c r="AE6" s="2">
        <f>(([1]Données!AF5)/100)*-1</f>
        <v>5.7065596853837386E-2</v>
      </c>
      <c r="AF6" s="2">
        <f>(([1]Données!AG5)/100)*-1</f>
        <v>5.8073135619838956E-2</v>
      </c>
      <c r="AG6" s="2">
        <f>(([1]Données!AH5)/100)*-1</f>
        <v>5.9073929102841483E-2</v>
      </c>
      <c r="AH6" s="2">
        <f>(([1]Données!AI5)/100)*-1</f>
        <v>6.0074605961998317E-2</v>
      </c>
      <c r="AI6" s="2">
        <f>(([1]Données!AJ5)/100)*-1</f>
        <v>6.1073754817270502E-2</v>
      </c>
      <c r="AJ6" s="2">
        <f>(([1]Données!AK5)/100)*-1</f>
        <v>6.2070369634980693E-2</v>
      </c>
      <c r="AK6" s="2">
        <f>(([1]Données!AL5)/100)*-1</f>
        <v>6.3063627377578424E-2</v>
      </c>
      <c r="AL6" s="2">
        <f>(([1]Données!AM5)/100)*-1</f>
        <v>6.3951403745941215E-2</v>
      </c>
      <c r="AM6" s="2">
        <f>(([1]Données!AN5)/100)*-1</f>
        <v>6.4810741844546271E-2</v>
      </c>
      <c r="AN6" s="2">
        <f>(([1]Données!AO5)/100)*-1</f>
        <v>6.5646312808184004E-2</v>
      </c>
      <c r="AO6" s="2">
        <f>(([1]Données!AP5)/100)*-1</f>
        <v>6.6464542713124852E-2</v>
      </c>
      <c r="AP6" s="2">
        <f>(([1]Données!AQ5)/100)*-1</f>
        <v>6.7270680566533958E-2</v>
      </c>
      <c r="AQ6" s="2">
        <f>(([1]Données!AR5)/100)*-1</f>
        <v>6.8052133812488314E-2</v>
      </c>
      <c r="AR6" s="2">
        <f>(([1]Données!AS5)/100)*-1</f>
        <v>6.8824193466577088E-2</v>
      </c>
      <c r="AS6" s="2">
        <f>(([1]Données!AT5)/100)*-1</f>
        <v>6.9589988528039215E-2</v>
      </c>
      <c r="AT6" s="2">
        <f>(([1]Données!AU5)/100)*-1</f>
        <v>7.0352434940294084E-2</v>
      </c>
      <c r="AU6" s="2">
        <f>(([1]Données!AV5)/100)*-1</f>
        <v>7.1113972671929981E-2</v>
      </c>
      <c r="AV6" s="2">
        <f>(([1]Données!AW5)/100)*-1</f>
        <v>7.1821241744193354E-2</v>
      </c>
      <c r="AW6" s="2">
        <f>(([1]Données!AX5)/100)*-1</f>
        <v>7.2517928035785606E-2</v>
      </c>
      <c r="AX6" s="2">
        <f>(([1]Données!AY5)/100)*-1</f>
        <v>7.3208842235043092E-2</v>
      </c>
      <c r="AY6" s="2">
        <f>(([1]Données!AZ5)/100)*-1</f>
        <v>7.3898628273017075E-2</v>
      </c>
      <c r="AZ6" s="4">
        <f>(([1]Données!BA5)/100)*-1</f>
        <v>7.459070872987239E-2</v>
      </c>
    </row>
    <row r="8" spans="1:52" x14ac:dyDescent="0.35">
      <c r="B8" s="1">
        <f>B1</f>
        <v>42005</v>
      </c>
      <c r="C8" s="1">
        <f t="shared" ref="C8:AZ8" si="0">C1</f>
        <v>42370</v>
      </c>
      <c r="D8" s="1">
        <f t="shared" si="0"/>
        <v>42736</v>
      </c>
      <c r="E8" s="1">
        <f t="shared" si="0"/>
        <v>43101</v>
      </c>
      <c r="F8" s="1">
        <f t="shared" si="0"/>
        <v>43466</v>
      </c>
      <c r="G8" s="1">
        <f t="shared" si="0"/>
        <v>43831</v>
      </c>
      <c r="H8" s="1">
        <f t="shared" si="0"/>
        <v>44197</v>
      </c>
      <c r="I8" s="1">
        <f t="shared" si="0"/>
        <v>44562</v>
      </c>
      <c r="J8" s="1">
        <f t="shared" si="0"/>
        <v>44927</v>
      </c>
      <c r="K8" s="1">
        <f t="shared" si="0"/>
        <v>45292</v>
      </c>
      <c r="L8" s="1">
        <f t="shared" si="0"/>
        <v>45658</v>
      </c>
      <c r="M8" s="1">
        <f t="shared" si="0"/>
        <v>46023</v>
      </c>
      <c r="N8" s="1">
        <f t="shared" si="0"/>
        <v>46388</v>
      </c>
      <c r="O8" s="1">
        <f t="shared" si="0"/>
        <v>46753</v>
      </c>
      <c r="P8" s="1">
        <f t="shared" si="0"/>
        <v>47119</v>
      </c>
      <c r="Q8" s="1">
        <f t="shared" si="0"/>
        <v>47484</v>
      </c>
      <c r="R8" s="1">
        <f t="shared" si="0"/>
        <v>47849</v>
      </c>
      <c r="S8" s="1">
        <f t="shared" si="0"/>
        <v>48214</v>
      </c>
      <c r="T8" s="1">
        <f t="shared" si="0"/>
        <v>48580</v>
      </c>
      <c r="U8" s="1">
        <f t="shared" si="0"/>
        <v>48945</v>
      </c>
      <c r="V8" s="1">
        <f t="shared" si="0"/>
        <v>49310</v>
      </c>
      <c r="W8" s="1">
        <f t="shared" si="0"/>
        <v>49675</v>
      </c>
      <c r="X8" s="1">
        <f t="shared" si="0"/>
        <v>50041</v>
      </c>
      <c r="Y8" s="1">
        <f t="shared" si="0"/>
        <v>50406</v>
      </c>
      <c r="Z8" s="1">
        <f t="shared" si="0"/>
        <v>50771</v>
      </c>
      <c r="AA8" s="1">
        <f t="shared" si="0"/>
        <v>51136</v>
      </c>
      <c r="AB8" s="1">
        <f t="shared" si="0"/>
        <v>51502</v>
      </c>
      <c r="AC8" s="1">
        <f t="shared" si="0"/>
        <v>51867</v>
      </c>
      <c r="AD8" s="1">
        <f t="shared" si="0"/>
        <v>52232</v>
      </c>
      <c r="AE8" s="1">
        <f t="shared" si="0"/>
        <v>52597</v>
      </c>
      <c r="AF8" s="1">
        <f t="shared" si="0"/>
        <v>52963</v>
      </c>
      <c r="AG8" s="1">
        <f t="shared" si="0"/>
        <v>53328</v>
      </c>
      <c r="AH8" s="1">
        <f t="shared" si="0"/>
        <v>53693</v>
      </c>
      <c r="AI8" s="1">
        <f t="shared" si="0"/>
        <v>54058</v>
      </c>
      <c r="AJ8" s="1">
        <f t="shared" si="0"/>
        <v>54424</v>
      </c>
      <c r="AK8" s="1">
        <f t="shared" si="0"/>
        <v>54789</v>
      </c>
      <c r="AL8" s="1">
        <f t="shared" si="0"/>
        <v>55154</v>
      </c>
      <c r="AM8" s="1">
        <f t="shared" si="0"/>
        <v>55519</v>
      </c>
      <c r="AN8" s="1">
        <f t="shared" si="0"/>
        <v>55885</v>
      </c>
      <c r="AO8" s="1">
        <f t="shared" si="0"/>
        <v>56250</v>
      </c>
      <c r="AP8" s="1">
        <f t="shared" si="0"/>
        <v>56615</v>
      </c>
      <c r="AQ8" s="1">
        <f t="shared" si="0"/>
        <v>56980</v>
      </c>
      <c r="AR8" s="1">
        <f t="shared" si="0"/>
        <v>57346</v>
      </c>
      <c r="AS8" s="1">
        <f t="shared" si="0"/>
        <v>57711</v>
      </c>
      <c r="AT8" s="1">
        <f t="shared" si="0"/>
        <v>58076</v>
      </c>
      <c r="AU8" s="1">
        <f t="shared" si="0"/>
        <v>58441</v>
      </c>
      <c r="AV8" s="1">
        <f t="shared" si="0"/>
        <v>58807</v>
      </c>
      <c r="AW8" s="1">
        <f t="shared" si="0"/>
        <v>59172</v>
      </c>
      <c r="AX8" s="1">
        <f t="shared" si="0"/>
        <v>59537</v>
      </c>
      <c r="AY8" s="1">
        <f t="shared" si="0"/>
        <v>59902</v>
      </c>
      <c r="AZ8" s="1">
        <f t="shared" si="0"/>
        <v>60268</v>
      </c>
    </row>
    <row r="9" spans="1:52" x14ac:dyDescent="0.35">
      <c r="A9" t="s">
        <v>1</v>
      </c>
      <c r="B9" s="3">
        <f>B2</f>
        <v>1.3538601712600906E-2</v>
      </c>
      <c r="C9" s="3">
        <f t="shared" ref="C9:AZ9" si="1">C2</f>
        <v>1.6912679139984843E-2</v>
      </c>
      <c r="D9" s="3">
        <f t="shared" si="1"/>
        <v>2.0115560050032899E-2</v>
      </c>
      <c r="E9" s="3">
        <f t="shared" si="1"/>
        <v>2.2943774902325131E-2</v>
      </c>
      <c r="F9" s="3">
        <f t="shared" si="1"/>
        <v>2.5425308096377663E-2</v>
      </c>
      <c r="G9" s="3">
        <f t="shared" si="1"/>
        <v>2.7611418605846372E-2</v>
      </c>
      <c r="H9" s="3">
        <f t="shared" si="1"/>
        <v>2.9576927529626262E-2</v>
      </c>
      <c r="I9" s="3">
        <f t="shared" si="1"/>
        <v>3.1353239073615535E-2</v>
      </c>
      <c r="J9" s="3">
        <f t="shared" si="1"/>
        <v>3.2985843392642766E-2</v>
      </c>
      <c r="K9" s="3">
        <f t="shared" si="1"/>
        <v>3.4516237501799885E-2</v>
      </c>
      <c r="L9" s="3">
        <f t="shared" si="1"/>
        <v>3.6927247412231856E-2</v>
      </c>
      <c r="M9" s="3">
        <f t="shared" si="1"/>
        <v>3.7901004681047845E-2</v>
      </c>
      <c r="N9" s="3">
        <f t="shared" si="1"/>
        <v>3.8748605891280929E-2</v>
      </c>
      <c r="O9" s="3">
        <f t="shared" si="1"/>
        <v>3.9477051688237563E-2</v>
      </c>
      <c r="P9" s="3">
        <f t="shared" si="1"/>
        <v>4.0116488877360634E-2</v>
      </c>
      <c r="Q9" s="3">
        <f t="shared" si="1"/>
        <v>4.0694640941231978E-2</v>
      </c>
      <c r="R9" s="3">
        <f t="shared" si="1"/>
        <v>4.1277964002331198E-2</v>
      </c>
      <c r="S9" s="3">
        <f t="shared" si="1"/>
        <v>4.1849741026071745E-2</v>
      </c>
      <c r="T9" s="3">
        <f t="shared" si="1"/>
        <v>4.2425458296820991E-2</v>
      </c>
      <c r="U9" s="3">
        <f t="shared" si="1"/>
        <v>4.3016340742832782E-2</v>
      </c>
      <c r="V9" s="3">
        <f t="shared" si="1"/>
        <v>4.3633104309372284E-2</v>
      </c>
      <c r="W9" s="3">
        <f t="shared" si="1"/>
        <v>4.427314031618601E-2</v>
      </c>
      <c r="X9" s="3">
        <f t="shared" si="1"/>
        <v>4.4941592729452529E-2</v>
      </c>
      <c r="Y9" s="3">
        <f t="shared" si="1"/>
        <v>4.563947337910957E-2</v>
      </c>
      <c r="Z9" s="3">
        <f t="shared" si="1"/>
        <v>4.6365523266142288E-2</v>
      </c>
      <c r="AA9" s="3">
        <f t="shared" si="1"/>
        <v>4.7123697653551948E-2</v>
      </c>
      <c r="AB9" s="3">
        <f t="shared" si="1"/>
        <v>4.788032119780028E-2</v>
      </c>
      <c r="AC9" s="3">
        <f t="shared" si="1"/>
        <v>4.8649621572917197E-2</v>
      </c>
      <c r="AD9" s="3">
        <f t="shared" si="1"/>
        <v>4.9429610515789646E-2</v>
      </c>
      <c r="AE9" s="3">
        <f t="shared" si="1"/>
        <v>5.0218084317584018E-2</v>
      </c>
      <c r="AF9" s="3">
        <f t="shared" si="1"/>
        <v>5.1012621505727829E-2</v>
      </c>
      <c r="AG9" s="3">
        <f t="shared" si="1"/>
        <v>5.1800471640880197E-2</v>
      </c>
      <c r="AH9" s="3">
        <f t="shared" si="1"/>
        <v>5.2587995224248063E-2</v>
      </c>
      <c r="AI9" s="3">
        <f t="shared" si="1"/>
        <v>5.33733113615723E-2</v>
      </c>
      <c r="AJ9" s="3">
        <f t="shared" si="1"/>
        <v>5.4154996240649018E-2</v>
      </c>
      <c r="AK9" s="3">
        <f t="shared" si="1"/>
        <v>5.4931912985350273E-2</v>
      </c>
      <c r="AL9" s="3">
        <f t="shared" si="1"/>
        <v>5.5612806592488247E-2</v>
      </c>
      <c r="AM9" s="3">
        <f t="shared" si="1"/>
        <v>5.6273572035804416E-2</v>
      </c>
      <c r="AN9" s="3">
        <f t="shared" si="1"/>
        <v>5.6914643529708646E-2</v>
      </c>
      <c r="AO9" s="3">
        <f t="shared" si="1"/>
        <v>5.753897634474104E-2</v>
      </c>
      <c r="AP9" s="3">
        <f t="shared" si="1"/>
        <v>5.8149801337017311E-2</v>
      </c>
      <c r="AQ9" s="3">
        <f t="shared" si="1"/>
        <v>5.8735596987392939E-2</v>
      </c>
      <c r="AR9" s="3">
        <f t="shared" si="1"/>
        <v>5.9311343796265348E-2</v>
      </c>
      <c r="AS9" s="3">
        <f t="shared" si="1"/>
        <v>5.9879563862663465E-2</v>
      </c>
      <c r="AT9" s="3">
        <f t="shared" si="1"/>
        <v>6.0442828733665251E-2</v>
      </c>
      <c r="AU9" s="3">
        <f t="shared" si="1"/>
        <v>6.1003296850866917E-2</v>
      </c>
      <c r="AV9" s="3">
        <f t="shared" si="1"/>
        <v>6.1513652688195419E-2</v>
      </c>
      <c r="AW9" s="3">
        <f t="shared" si="1"/>
        <v>6.2016559531788203E-2</v>
      </c>
      <c r="AX9" s="3">
        <f t="shared" si="1"/>
        <v>6.2514296331188435E-2</v>
      </c>
      <c r="AY9" s="3">
        <f t="shared" si="1"/>
        <v>6.3009329987089857E-2</v>
      </c>
      <c r="AZ9" s="3">
        <f t="shared" si="1"/>
        <v>6.3503741412501813E-2</v>
      </c>
    </row>
    <row r="10" spans="1:52" x14ac:dyDescent="0.35">
      <c r="A10" t="s">
        <v>3</v>
      </c>
      <c r="B10" s="3">
        <f>B3-B2</f>
        <v>1.3438789375808113E-4</v>
      </c>
      <c r="C10" s="3">
        <f t="shared" ref="C10:AZ13" si="2">C3-C2</f>
        <v>2.6181616621756554E-4</v>
      </c>
      <c r="D10" s="3">
        <f t="shared" si="2"/>
        <v>3.621163355573831E-4</v>
      </c>
      <c r="E10" s="3">
        <f t="shared" si="2"/>
        <v>4.3724432175051842E-4</v>
      </c>
      <c r="F10" s="3">
        <f t="shared" si="2"/>
        <v>4.9908398422249256E-4</v>
      </c>
      <c r="G10" s="3">
        <f t="shared" si="2"/>
        <v>5.5892513906752317E-4</v>
      </c>
      <c r="H10" s="3">
        <f t="shared" si="2"/>
        <v>6.2275232294828342E-4</v>
      </c>
      <c r="I10" s="3">
        <f t="shared" si="2"/>
        <v>6.9139740652446324E-4</v>
      </c>
      <c r="J10" s="3">
        <f t="shared" si="2"/>
        <v>7.6394908653598659E-4</v>
      </c>
      <c r="K10" s="3">
        <f t="shared" si="2"/>
        <v>8.3886924188336653E-4</v>
      </c>
      <c r="L10" s="3">
        <f t="shared" si="2"/>
        <v>9.1286593600881094E-4</v>
      </c>
      <c r="M10" s="3">
        <f t="shared" si="2"/>
        <v>9.9162630619664682E-4</v>
      </c>
      <c r="N10" s="3">
        <f t="shared" si="2"/>
        <v>1.0720241721557944E-3</v>
      </c>
      <c r="O10" s="3">
        <f t="shared" si="2"/>
        <v>1.1535640345473608E-3</v>
      </c>
      <c r="P10" s="3">
        <f t="shared" si="2"/>
        <v>1.2358563924219634E-3</v>
      </c>
      <c r="Q10" s="3">
        <f t="shared" si="2"/>
        <v>1.3187051360760219E-3</v>
      </c>
      <c r="R10" s="3">
        <f t="shared" si="2"/>
        <v>1.4037302002539651E-3</v>
      </c>
      <c r="S10" s="3">
        <f t="shared" si="2"/>
        <v>1.4906360662765294E-3</v>
      </c>
      <c r="T10" s="3">
        <f t="shared" si="2"/>
        <v>1.5789080261373531E-3</v>
      </c>
      <c r="U10" s="3">
        <f t="shared" si="2"/>
        <v>1.6679755653525863E-3</v>
      </c>
      <c r="V10" s="3">
        <f t="shared" si="2"/>
        <v>1.7571472529557333E-3</v>
      </c>
      <c r="W10" s="3">
        <f t="shared" si="2"/>
        <v>1.8463864538693642E-3</v>
      </c>
      <c r="X10" s="3">
        <f t="shared" si="2"/>
        <v>1.9353816062881446E-3</v>
      </c>
      <c r="Y10" s="3">
        <f t="shared" si="2"/>
        <v>2.024025037136272E-3</v>
      </c>
      <c r="Z10" s="3">
        <f t="shared" si="2"/>
        <v>2.1122705465630581E-3</v>
      </c>
      <c r="AA10" s="3">
        <f t="shared" si="2"/>
        <v>2.1993524566710221E-3</v>
      </c>
      <c r="AB10" s="3">
        <f t="shared" si="2"/>
        <v>2.2852918106983644E-3</v>
      </c>
      <c r="AC10" s="3">
        <f t="shared" si="2"/>
        <v>2.3700224069685902E-3</v>
      </c>
      <c r="AD10" s="3">
        <f t="shared" si="2"/>
        <v>2.4537980799140754E-3</v>
      </c>
      <c r="AE10" s="3">
        <f t="shared" si="2"/>
        <v>2.5369167545655699E-3</v>
      </c>
      <c r="AF10" s="3">
        <f t="shared" si="2"/>
        <v>2.6196162716446356E-3</v>
      </c>
      <c r="AG10" s="3">
        <f t="shared" si="2"/>
        <v>2.7016507745774021E-3</v>
      </c>
      <c r="AH10" s="3">
        <f t="shared" si="2"/>
        <v>2.7831101864821406E-3</v>
      </c>
      <c r="AI10" s="3">
        <f t="shared" si="2"/>
        <v>2.8641228855196335E-3</v>
      </c>
      <c r="AJ10" s="3">
        <f t="shared" si="2"/>
        <v>2.9448077328281183E-3</v>
      </c>
      <c r="AK10" s="3">
        <f t="shared" si="2"/>
        <v>3.0252520047377995E-3</v>
      </c>
      <c r="AL10" s="3">
        <f t="shared" si="2"/>
        <v>3.1020826789411871E-3</v>
      </c>
      <c r="AM10" s="3">
        <f t="shared" si="2"/>
        <v>3.1756576366343964E-3</v>
      </c>
      <c r="AN10" s="3">
        <f t="shared" si="2"/>
        <v>3.2469566266472086E-3</v>
      </c>
      <c r="AO10" s="3">
        <f t="shared" si="2"/>
        <v>3.3169858002710662E-3</v>
      </c>
      <c r="AP10" s="3">
        <f t="shared" si="2"/>
        <v>3.3864791738471567E-3</v>
      </c>
      <c r="AQ10" s="3">
        <f t="shared" si="2"/>
        <v>3.4553360584705928E-3</v>
      </c>
      <c r="AR10" s="3">
        <f t="shared" si="2"/>
        <v>3.5237223017656749E-3</v>
      </c>
      <c r="AS10" s="3">
        <f t="shared" si="2"/>
        <v>3.5918993111437869E-3</v>
      </c>
      <c r="AT10" s="3">
        <f t="shared" si="2"/>
        <v>3.6598822236594206E-3</v>
      </c>
      <c r="AU10" s="3">
        <f t="shared" si="2"/>
        <v>3.7276654590847613E-3</v>
      </c>
      <c r="AV10" s="3">
        <f t="shared" si="2"/>
        <v>3.7936479530592537E-3</v>
      </c>
      <c r="AW10" s="3">
        <f t="shared" si="2"/>
        <v>3.8578144973709858E-3</v>
      </c>
      <c r="AX10" s="3">
        <f t="shared" si="2"/>
        <v>3.9206724280951288E-3</v>
      </c>
      <c r="AY10" s="3">
        <f t="shared" si="2"/>
        <v>3.9827770538726215E-3</v>
      </c>
      <c r="AZ10" s="3">
        <f t="shared" si="2"/>
        <v>4.0445557140917909E-3</v>
      </c>
    </row>
    <row r="11" spans="1:52" x14ac:dyDescent="0.35">
      <c r="A11" t="s">
        <v>4</v>
      </c>
      <c r="B11" s="3">
        <f t="shared" ref="B11:Q13" si="3">B4-B3</f>
        <v>6.166325736678413E-5</v>
      </c>
      <c r="C11" s="3">
        <f t="shared" si="3"/>
        <v>1.2406974180489971E-4</v>
      </c>
      <c r="D11" s="3">
        <f t="shared" si="3"/>
        <v>1.6798032322717926E-4</v>
      </c>
      <c r="E11" s="3">
        <f t="shared" si="3"/>
        <v>1.9531726047739006E-4</v>
      </c>
      <c r="F11" s="3">
        <f t="shared" si="3"/>
        <v>2.157012436457828E-4</v>
      </c>
      <c r="G11" s="3">
        <f t="shared" si="3"/>
        <v>2.3742380955982245E-4</v>
      </c>
      <c r="H11" s="3">
        <f t="shared" si="3"/>
        <v>2.6492154138157975E-4</v>
      </c>
      <c r="I11" s="3">
        <f t="shared" si="3"/>
        <v>2.9898978713482904E-4</v>
      </c>
      <c r="J11" s="3">
        <f t="shared" si="3"/>
        <v>3.3825210997651123E-4</v>
      </c>
      <c r="K11" s="3">
        <f t="shared" si="3"/>
        <v>3.8067326778778998E-4</v>
      </c>
      <c r="L11" s="3">
        <f t="shared" si="3"/>
        <v>4.2363293529634749E-4</v>
      </c>
      <c r="M11" s="3">
        <f t="shared" si="3"/>
        <v>4.6895746744057831E-4</v>
      </c>
      <c r="N11" s="3">
        <f t="shared" si="3"/>
        <v>5.1500073576260519E-4</v>
      </c>
      <c r="O11" s="3">
        <f t="shared" si="3"/>
        <v>5.6134116250994986E-4</v>
      </c>
      <c r="P11" s="3">
        <f t="shared" si="3"/>
        <v>6.0785770713067677E-4</v>
      </c>
      <c r="Q11" s="3">
        <f t="shared" si="3"/>
        <v>6.5476914563755706E-4</v>
      </c>
      <c r="R11" s="3">
        <f t="shared" si="2"/>
        <v>7.0358864451414149E-4</v>
      </c>
      <c r="S11" s="3">
        <f t="shared" si="2"/>
        <v>7.547237955446498E-4</v>
      </c>
      <c r="T11" s="3">
        <f t="shared" si="2"/>
        <v>8.0806122963938271E-4</v>
      </c>
      <c r="U11" s="3">
        <f t="shared" si="2"/>
        <v>8.6346503463374802E-4</v>
      </c>
      <c r="V11" s="3">
        <f t="shared" si="2"/>
        <v>9.2084637913879275E-4</v>
      </c>
      <c r="W11" s="3">
        <f t="shared" si="2"/>
        <v>9.80411257173186E-4</v>
      </c>
      <c r="X11" s="3">
        <f t="shared" si="2"/>
        <v>1.0422023538963973E-3</v>
      </c>
      <c r="Y11" s="3">
        <f t="shared" si="2"/>
        <v>1.1062791825026189E-3</v>
      </c>
      <c r="Z11" s="3">
        <f t="shared" si="2"/>
        <v>1.1726705813077665E-3</v>
      </c>
      <c r="AA11" s="3">
        <f t="shared" si="2"/>
        <v>1.2410816766340663E-3</v>
      </c>
      <c r="AB11" s="3">
        <f t="shared" si="2"/>
        <v>1.3111531910162746E-3</v>
      </c>
      <c r="AC11" s="3">
        <f t="shared" si="2"/>
        <v>1.3827054202674091E-3</v>
      </c>
      <c r="AD11" s="3">
        <f t="shared" si="2"/>
        <v>1.4558694544935108E-3</v>
      </c>
      <c r="AE11" s="3">
        <f t="shared" si="2"/>
        <v>1.5307536879812858E-3</v>
      </c>
      <c r="AF11" s="3">
        <f t="shared" si="2"/>
        <v>1.6073581983827648E-3</v>
      </c>
      <c r="AG11" s="3">
        <f t="shared" si="2"/>
        <v>1.6852278177769062E-3</v>
      </c>
      <c r="AH11" s="3">
        <f t="shared" si="2"/>
        <v>1.7642629577990718E-3</v>
      </c>
      <c r="AI11" s="3">
        <f t="shared" si="2"/>
        <v>1.8445390925142593E-3</v>
      </c>
      <c r="AJ11" s="3">
        <f t="shared" si="2"/>
        <v>1.9261368756108357E-3</v>
      </c>
      <c r="AK11" s="3">
        <f t="shared" si="2"/>
        <v>2.0090918360936641E-3</v>
      </c>
      <c r="AL11" s="3">
        <f t="shared" si="2"/>
        <v>2.0895786394496824E-3</v>
      </c>
      <c r="AM11" s="3">
        <f t="shared" si="2"/>
        <v>2.1677130334341044E-3</v>
      </c>
      <c r="AN11" s="3">
        <f t="shared" si="2"/>
        <v>2.2452746057254266E-3</v>
      </c>
      <c r="AO11" s="3">
        <f t="shared" si="2"/>
        <v>2.3236380363928985E-3</v>
      </c>
      <c r="AP11" s="3">
        <f t="shared" si="2"/>
        <v>2.4033272925388857E-3</v>
      </c>
      <c r="AQ11" s="3">
        <f t="shared" si="2"/>
        <v>2.4835948887653794E-3</v>
      </c>
      <c r="AR11" s="3">
        <f t="shared" si="2"/>
        <v>2.5640596761753454E-3</v>
      </c>
      <c r="AS11" s="3">
        <f t="shared" si="2"/>
        <v>2.6446648633973169E-3</v>
      </c>
      <c r="AT11" s="3">
        <f t="shared" si="2"/>
        <v>2.7254406205889925E-3</v>
      </c>
      <c r="AU11" s="3">
        <f t="shared" si="2"/>
        <v>2.8064438176084172E-3</v>
      </c>
      <c r="AV11" s="3">
        <f t="shared" si="2"/>
        <v>2.8855094665938275E-3</v>
      </c>
      <c r="AW11" s="3">
        <f t="shared" si="2"/>
        <v>2.9627060505986735E-3</v>
      </c>
      <c r="AX11" s="3">
        <f t="shared" si="2"/>
        <v>3.0392718891184556E-3</v>
      </c>
      <c r="AY11" s="3">
        <f t="shared" si="2"/>
        <v>3.1162286409965878E-3</v>
      </c>
      <c r="AZ11" s="3">
        <f t="shared" si="2"/>
        <v>3.1940607928172549E-3</v>
      </c>
    </row>
    <row r="12" spans="1:52" x14ac:dyDescent="0.35">
      <c r="A12" t="s">
        <v>5</v>
      </c>
      <c r="B12" s="3">
        <f t="shared" si="3"/>
        <v>3.9972466572613108E-4</v>
      </c>
      <c r="C12" s="3">
        <f t="shared" si="2"/>
        <v>6.3665455638706181E-4</v>
      </c>
      <c r="D12" s="3">
        <f t="shared" si="2"/>
        <v>7.8740654790432352E-4</v>
      </c>
      <c r="E12" s="3">
        <f t="shared" si="2"/>
        <v>8.8671582443389241E-4</v>
      </c>
      <c r="F12" s="3">
        <f t="shared" si="2"/>
        <v>9.5367439926474784E-4</v>
      </c>
      <c r="G12" s="3">
        <f t="shared" si="2"/>
        <v>9.9974471688657474E-4</v>
      </c>
      <c r="H12" s="3">
        <f t="shared" si="2"/>
        <v>1.0331032043029431E-3</v>
      </c>
      <c r="I12" s="3">
        <f t="shared" si="2"/>
        <v>1.0575416159764872E-3</v>
      </c>
      <c r="J12" s="3">
        <f t="shared" si="2"/>
        <v>1.0763834282041529E-3</v>
      </c>
      <c r="K12" s="3">
        <f t="shared" si="2"/>
        <v>1.0921056494282988E-3</v>
      </c>
      <c r="L12" s="3">
        <f t="shared" si="2"/>
        <v>1.1057368566246284E-3</v>
      </c>
      <c r="M12" s="3">
        <f t="shared" si="2"/>
        <v>1.1209628843252828E-3</v>
      </c>
      <c r="N12" s="3">
        <f t="shared" si="2"/>
        <v>1.1381882674956767E-3</v>
      </c>
      <c r="O12" s="3">
        <f t="shared" si="2"/>
        <v>1.1575790415513307E-3</v>
      </c>
      <c r="P12" s="3">
        <f t="shared" si="2"/>
        <v>1.1792015706788561E-3</v>
      </c>
      <c r="Q12" s="3">
        <f t="shared" si="2"/>
        <v>1.2030059910806898E-3</v>
      </c>
      <c r="R12" s="3">
        <f t="shared" si="2"/>
        <v>1.2301343960197109E-3</v>
      </c>
      <c r="S12" s="3">
        <f t="shared" si="2"/>
        <v>1.2598800045520164E-3</v>
      </c>
      <c r="T12" s="3">
        <f t="shared" si="2"/>
        <v>1.2918136021887808E-3</v>
      </c>
      <c r="U12" s="3">
        <f t="shared" si="2"/>
        <v>1.32561429079181E-3</v>
      </c>
      <c r="V12" s="3">
        <f t="shared" si="2"/>
        <v>1.3620583709840275E-3</v>
      </c>
      <c r="W12" s="3">
        <f t="shared" si="2"/>
        <v>1.3985062787638114E-3</v>
      </c>
      <c r="X12" s="3">
        <f t="shared" si="2"/>
        <v>1.4361223895582725E-3</v>
      </c>
      <c r="Y12" s="3">
        <f t="shared" si="2"/>
        <v>1.4747510826485996E-3</v>
      </c>
      <c r="Z12" s="3">
        <f t="shared" si="2"/>
        <v>1.5142564547891979E-3</v>
      </c>
      <c r="AA12" s="3">
        <f t="shared" si="2"/>
        <v>1.5576401966460596E-3</v>
      </c>
      <c r="AB12" s="3">
        <f t="shared" si="2"/>
        <v>1.5983562067459697E-3</v>
      </c>
      <c r="AC12" s="3">
        <f t="shared" si="2"/>
        <v>1.6387247227599502E-3</v>
      </c>
      <c r="AD12" s="3">
        <f t="shared" si="2"/>
        <v>1.6787970840530519E-3</v>
      </c>
      <c r="AE12" s="3">
        <f t="shared" si="2"/>
        <v>1.7186206553632052E-3</v>
      </c>
      <c r="AF12" s="3">
        <f t="shared" si="2"/>
        <v>1.7582305817761545E-3</v>
      </c>
      <c r="AG12" s="3">
        <f t="shared" si="2"/>
        <v>1.7972845889957581E-3</v>
      </c>
      <c r="AH12" s="3">
        <f t="shared" si="2"/>
        <v>1.8359746195955109E-3</v>
      </c>
      <c r="AI12" s="3">
        <f t="shared" si="2"/>
        <v>1.8744092420992509E-3</v>
      </c>
      <c r="AJ12" s="3">
        <f t="shared" si="2"/>
        <v>1.9126703151580646E-3</v>
      </c>
      <c r="AK12" s="3">
        <f t="shared" si="2"/>
        <v>1.9508234414471401E-3</v>
      </c>
      <c r="AL12" s="3">
        <f t="shared" si="2"/>
        <v>1.9863117217567908E-3</v>
      </c>
      <c r="AM12" s="3">
        <f t="shared" si="2"/>
        <v>2.0196579110873872E-3</v>
      </c>
      <c r="AN12" s="3">
        <f t="shared" si="2"/>
        <v>2.0516174003635326E-3</v>
      </c>
      <c r="AO12" s="3">
        <f t="shared" si="2"/>
        <v>2.082670029862066E-3</v>
      </c>
      <c r="AP12" s="3">
        <f t="shared" si="2"/>
        <v>2.1131576966908483E-3</v>
      </c>
      <c r="AQ12" s="3">
        <f t="shared" si="2"/>
        <v>2.1427704929819491E-3</v>
      </c>
      <c r="AR12" s="3">
        <f t="shared" si="2"/>
        <v>2.1719688309533858E-3</v>
      </c>
      <c r="AS12" s="3">
        <f t="shared" si="2"/>
        <v>2.2010336584927792E-3</v>
      </c>
      <c r="AT12" s="3">
        <f t="shared" si="2"/>
        <v>2.2301641625331881E-3</v>
      </c>
      <c r="AU12" s="3">
        <f t="shared" si="2"/>
        <v>2.2595033146388666E-3</v>
      </c>
      <c r="AV12" s="3">
        <f t="shared" si="2"/>
        <v>2.2871013262685258E-3</v>
      </c>
      <c r="AW12" s="3">
        <f t="shared" si="2"/>
        <v>2.3140186070349511E-3</v>
      </c>
      <c r="AX12" s="3">
        <f t="shared" si="2"/>
        <v>2.3407144772028543E-3</v>
      </c>
      <c r="AY12" s="3">
        <f t="shared" si="2"/>
        <v>2.3674681380444484E-3</v>
      </c>
      <c r="AZ12" s="3">
        <f t="shared" si="2"/>
        <v>2.3944577475761841E-3</v>
      </c>
    </row>
    <row r="13" spans="1:52" x14ac:dyDescent="0.35">
      <c r="A13" t="s">
        <v>2</v>
      </c>
      <c r="B13" s="3">
        <f t="shared" si="3"/>
        <v>2.2223002079790888E-4</v>
      </c>
      <c r="C13" s="3">
        <f t="shared" si="2"/>
        <v>4.2433615243542278E-4</v>
      </c>
      <c r="D13" s="3">
        <f t="shared" si="2"/>
        <v>5.460484776365071E-4</v>
      </c>
      <c r="E13" s="3">
        <f t="shared" si="2"/>
        <v>6.0582705880252163E-4</v>
      </c>
      <c r="F13" s="3">
        <f t="shared" si="2"/>
        <v>6.2931765114337956E-4</v>
      </c>
      <c r="G13" s="3">
        <f t="shared" si="2"/>
        <v>6.3797201827009431E-4</v>
      </c>
      <c r="H13" s="3">
        <f t="shared" si="2"/>
        <v>6.4523020353712823E-4</v>
      </c>
      <c r="I13" s="3">
        <f t="shared" si="2"/>
        <v>6.5651380013864724E-4</v>
      </c>
      <c r="J13" s="3">
        <f t="shared" si="2"/>
        <v>6.7277674351318151E-4</v>
      </c>
      <c r="K13" s="3">
        <f t="shared" si="2"/>
        <v>6.9236716254850172E-4</v>
      </c>
      <c r="L13" s="3">
        <f t="shared" si="2"/>
        <v>7.1186858567295203E-4</v>
      </c>
      <c r="M13" s="3">
        <f t="shared" si="2"/>
        <v>7.339265242249926E-4</v>
      </c>
      <c r="N13" s="3">
        <f t="shared" si="2"/>
        <v>7.5574492127428172E-4</v>
      </c>
      <c r="O13" s="3">
        <f t="shared" si="2"/>
        <v>7.7685716043829345E-4</v>
      </c>
      <c r="P13" s="3">
        <f t="shared" si="2"/>
        <v>7.9714597830683048E-4</v>
      </c>
      <c r="Q13" s="3">
        <f t="shared" si="2"/>
        <v>8.1669863298294842E-4</v>
      </c>
      <c r="R13" s="3">
        <f t="shared" si="2"/>
        <v>8.3644969196160907E-4</v>
      </c>
      <c r="S13" s="3">
        <f t="shared" si="2"/>
        <v>8.5642039832490441E-4</v>
      </c>
      <c r="T13" s="3">
        <f t="shared" si="2"/>
        <v>8.7634582048701226E-4</v>
      </c>
      <c r="U13" s="3">
        <f t="shared" si="2"/>
        <v>8.9598727931495398E-4</v>
      </c>
      <c r="V13" s="3">
        <f t="shared" si="2"/>
        <v>9.1503285465011075E-4</v>
      </c>
      <c r="W13" s="3">
        <f t="shared" si="2"/>
        <v>9.335953487628057E-4</v>
      </c>
      <c r="X13" s="3">
        <f t="shared" si="2"/>
        <v>9.5171367511747568E-4</v>
      </c>
      <c r="Y13" s="3">
        <f t="shared" si="2"/>
        <v>9.6935188907742997E-4</v>
      </c>
      <c r="Z13" s="3">
        <f t="shared" si="2"/>
        <v>9.8651373350443911E-4</v>
      </c>
      <c r="AA13" s="3">
        <f t="shared" si="2"/>
        <v>1.0025299021160228E-3</v>
      </c>
      <c r="AB13" s="3">
        <f t="shared" si="2"/>
        <v>1.0178720288839191E-3</v>
      </c>
      <c r="AC13" s="3">
        <f t="shared" si="2"/>
        <v>1.0326582515052252E-3</v>
      </c>
      <c r="AD13" s="3">
        <f t="shared" si="2"/>
        <v>1.0470512460817247E-3</v>
      </c>
      <c r="AE13" s="3">
        <f t="shared" si="2"/>
        <v>1.0612214383433072E-3</v>
      </c>
      <c r="AF13" s="3">
        <f t="shared" si="2"/>
        <v>1.0753090623075723E-3</v>
      </c>
      <c r="AG13" s="3">
        <f t="shared" si="2"/>
        <v>1.0892942806112194E-3</v>
      </c>
      <c r="AH13" s="3">
        <f t="shared" si="2"/>
        <v>1.1032629738735311E-3</v>
      </c>
      <c r="AI13" s="3">
        <f t="shared" si="2"/>
        <v>1.1173722355650589E-3</v>
      </c>
      <c r="AJ13" s="3">
        <f t="shared" si="2"/>
        <v>1.1317584707346562E-3</v>
      </c>
      <c r="AK13" s="3">
        <f t="shared" si="2"/>
        <v>1.1465471099495472E-3</v>
      </c>
      <c r="AL13" s="3">
        <f t="shared" si="2"/>
        <v>1.1606241133053086E-3</v>
      </c>
      <c r="AM13" s="3">
        <f t="shared" si="2"/>
        <v>1.1741412275859675E-3</v>
      </c>
      <c r="AN13" s="3">
        <f t="shared" si="2"/>
        <v>1.1878206457391904E-3</v>
      </c>
      <c r="AO13" s="3">
        <f t="shared" si="2"/>
        <v>1.2022725018577818E-3</v>
      </c>
      <c r="AP13" s="3">
        <f t="shared" si="2"/>
        <v>1.2179150664397564E-3</v>
      </c>
      <c r="AQ13" s="3">
        <f t="shared" si="2"/>
        <v>1.2348353848774529E-3</v>
      </c>
      <c r="AR13" s="3">
        <f t="shared" si="2"/>
        <v>1.2530988614173344E-3</v>
      </c>
      <c r="AS13" s="3">
        <f t="shared" si="2"/>
        <v>1.2728268323418668E-3</v>
      </c>
      <c r="AT13" s="3">
        <f t="shared" si="2"/>
        <v>1.2941191998472323E-3</v>
      </c>
      <c r="AU13" s="3">
        <f t="shared" si="2"/>
        <v>1.3170632297310192E-3</v>
      </c>
      <c r="AV13" s="3">
        <f t="shared" si="2"/>
        <v>1.3413303100763274E-3</v>
      </c>
      <c r="AW13" s="3">
        <f t="shared" si="2"/>
        <v>1.366829348992793E-3</v>
      </c>
      <c r="AX13" s="3">
        <f t="shared" si="2"/>
        <v>1.3938871094382188E-3</v>
      </c>
      <c r="AY13" s="3">
        <f t="shared" si="2"/>
        <v>1.4228244530135603E-3</v>
      </c>
      <c r="AZ13" s="3">
        <f t="shared" si="2"/>
        <v>1.4538930628853475E-3</v>
      </c>
    </row>
    <row r="16" spans="1:52" x14ac:dyDescent="0.35">
      <c r="B16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1</vt:i4>
      </vt:variant>
    </vt:vector>
  </HeadingPairs>
  <TitlesOfParts>
    <vt:vector size="2" baseType="lpstr">
      <vt:lpstr>Décompo</vt:lpstr>
      <vt:lpstr>Gr Décompo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2022-02-25T15:13:25Z</dcterms:created>
  <dcterms:modified xsi:type="dcterms:W3CDTF">2022-03-04T18:20:39Z</dcterms:modified>
</cp:coreProperties>
</file>