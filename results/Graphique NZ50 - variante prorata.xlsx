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ACQUETINF\Documents\documents\ThreeME_V3-ADEME\results\"/>
    </mc:Choice>
  </mc:AlternateContent>
  <bookViews>
    <workbookView xWindow="0" yWindow="0" windowWidth="19200" windowHeight="5890" activeTab="1"/>
  </bookViews>
  <sheets>
    <sheet name="Données" sheetId="2" r:id="rId1"/>
    <sheet name="Gr Macro" sheetId="5" r:id="rId2"/>
    <sheet name="Gr inflation" sheetId="6" r:id="rId3"/>
    <sheet name="Gr émissions" sheetId="7" r:id="rId4"/>
    <sheet name="Gr VA secteurs (% dev)" sheetId="12" r:id="rId5"/>
    <sheet name="Gr VA secteurs (% share)" sheetId="13" r:id="rId6"/>
    <sheet name="Gr Y secteurs (% dev)" sheetId="14" r:id="rId7"/>
    <sheet name="Gr Y secteurs (% share)" sheetId="15" r:id="rId8"/>
  </sheets>
  <externalReferences>
    <externalReference r:id="rId9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L115" i="2" l="1"/>
  <c r="AK115" i="2"/>
  <c r="AJ115" i="2"/>
  <c r="AI115" i="2"/>
  <c r="AH115" i="2"/>
  <c r="AG115" i="2"/>
  <c r="AF115" i="2"/>
  <c r="AE115" i="2"/>
  <c r="AD115" i="2"/>
  <c r="AC115" i="2"/>
  <c r="AB115" i="2"/>
  <c r="AA115" i="2"/>
  <c r="Z115" i="2"/>
  <c r="Y115" i="2"/>
  <c r="X115" i="2"/>
  <c r="W115" i="2"/>
  <c r="V115" i="2"/>
  <c r="U115" i="2"/>
  <c r="T115" i="2"/>
  <c r="S115" i="2"/>
  <c r="R115" i="2"/>
  <c r="Q115" i="2"/>
  <c r="P115" i="2"/>
  <c r="O115" i="2"/>
  <c r="N115" i="2"/>
  <c r="M115" i="2"/>
  <c r="L115" i="2"/>
  <c r="K115" i="2"/>
  <c r="J115" i="2"/>
  <c r="I115" i="2"/>
  <c r="H115" i="2"/>
  <c r="G115" i="2"/>
  <c r="F115" i="2"/>
  <c r="E115" i="2"/>
  <c r="D115" i="2"/>
  <c r="C115" i="2"/>
  <c r="AL114" i="2"/>
  <c r="AK114" i="2"/>
  <c r="AJ114" i="2"/>
  <c r="AI114" i="2"/>
  <c r="AH114" i="2"/>
  <c r="AG114" i="2"/>
  <c r="AF114" i="2"/>
  <c r="AE114" i="2"/>
  <c r="AD114" i="2"/>
  <c r="AC114" i="2"/>
  <c r="AB114" i="2"/>
  <c r="AA114" i="2"/>
  <c r="Z114" i="2"/>
  <c r="Y114" i="2"/>
  <c r="X114" i="2"/>
  <c r="W114" i="2"/>
  <c r="V114" i="2"/>
  <c r="U114" i="2"/>
  <c r="T114" i="2"/>
  <c r="S114" i="2"/>
  <c r="R114" i="2"/>
  <c r="Q114" i="2"/>
  <c r="P114" i="2"/>
  <c r="O114" i="2"/>
  <c r="N114" i="2"/>
  <c r="M114" i="2"/>
  <c r="L114" i="2"/>
  <c r="K114" i="2"/>
  <c r="J114" i="2"/>
  <c r="I114" i="2"/>
  <c r="H114" i="2"/>
  <c r="G114" i="2"/>
  <c r="F114" i="2"/>
  <c r="E114" i="2"/>
  <c r="D114" i="2"/>
  <c r="C114" i="2"/>
  <c r="AL113" i="2"/>
  <c r="AK113" i="2"/>
  <c r="AJ113" i="2"/>
  <c r="AI113" i="2"/>
  <c r="AH113" i="2"/>
  <c r="AG113" i="2"/>
  <c r="AF113" i="2"/>
  <c r="AE113" i="2"/>
  <c r="AD113" i="2"/>
  <c r="AC113" i="2"/>
  <c r="AB113" i="2"/>
  <c r="AA113" i="2"/>
  <c r="Z113" i="2"/>
  <c r="Y113" i="2"/>
  <c r="X113" i="2"/>
  <c r="W113" i="2"/>
  <c r="V113" i="2"/>
  <c r="U113" i="2"/>
  <c r="T113" i="2"/>
  <c r="S113" i="2"/>
  <c r="R113" i="2"/>
  <c r="Q113" i="2"/>
  <c r="P113" i="2"/>
  <c r="O113" i="2"/>
  <c r="N113" i="2"/>
  <c r="M113" i="2"/>
  <c r="L113" i="2"/>
  <c r="K113" i="2"/>
  <c r="J113" i="2"/>
  <c r="I113" i="2"/>
  <c r="H113" i="2"/>
  <c r="G113" i="2"/>
  <c r="F113" i="2"/>
  <c r="E113" i="2"/>
  <c r="D113" i="2"/>
  <c r="C113" i="2"/>
  <c r="AL112" i="2"/>
  <c r="AK112" i="2"/>
  <c r="AJ112" i="2"/>
  <c r="AI112" i="2"/>
  <c r="AH112" i="2"/>
  <c r="AG112" i="2"/>
  <c r="AF112" i="2"/>
  <c r="AE112" i="2"/>
  <c r="AD112" i="2"/>
  <c r="AC112" i="2"/>
  <c r="AB112" i="2"/>
  <c r="AA112" i="2"/>
  <c r="Z112" i="2"/>
  <c r="Y112" i="2"/>
  <c r="X112" i="2"/>
  <c r="W112" i="2"/>
  <c r="V112" i="2"/>
  <c r="U112" i="2"/>
  <c r="T112" i="2"/>
  <c r="S112" i="2"/>
  <c r="R112" i="2"/>
  <c r="Q112" i="2"/>
  <c r="P112" i="2"/>
  <c r="O112" i="2"/>
  <c r="N112" i="2"/>
  <c r="M112" i="2"/>
  <c r="L112" i="2"/>
  <c r="K112" i="2"/>
  <c r="J112" i="2"/>
  <c r="I112" i="2"/>
  <c r="H112" i="2"/>
  <c r="G112" i="2"/>
  <c r="F112" i="2"/>
  <c r="E112" i="2"/>
  <c r="D112" i="2"/>
  <c r="C112" i="2"/>
  <c r="AL111" i="2"/>
  <c r="AK111" i="2"/>
  <c r="AJ111" i="2"/>
  <c r="AI111" i="2"/>
  <c r="AH111" i="2"/>
  <c r="AG111" i="2"/>
  <c r="AF111" i="2"/>
  <c r="AE111" i="2"/>
  <c r="AD111" i="2"/>
  <c r="AC111" i="2"/>
  <c r="AB111" i="2"/>
  <c r="AA111" i="2"/>
  <c r="Z111" i="2"/>
  <c r="Y111" i="2"/>
  <c r="X111" i="2"/>
  <c r="W111" i="2"/>
  <c r="V111" i="2"/>
  <c r="U111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F111" i="2"/>
  <c r="E111" i="2"/>
  <c r="D111" i="2"/>
  <c r="C111" i="2"/>
  <c r="AL110" i="2"/>
  <c r="AK110" i="2"/>
  <c r="AJ110" i="2"/>
  <c r="AI110" i="2"/>
  <c r="AH110" i="2"/>
  <c r="AG110" i="2"/>
  <c r="AF110" i="2"/>
  <c r="AE110" i="2"/>
  <c r="AD110" i="2"/>
  <c r="AC110" i="2"/>
  <c r="AB110" i="2"/>
  <c r="AA110" i="2"/>
  <c r="Z110" i="2"/>
  <c r="Y110" i="2"/>
  <c r="X110" i="2"/>
  <c r="W110" i="2"/>
  <c r="V110" i="2"/>
  <c r="U110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F110" i="2"/>
  <c r="E110" i="2"/>
  <c r="D110" i="2"/>
  <c r="C110" i="2"/>
  <c r="AL107" i="2"/>
  <c r="AK107" i="2"/>
  <c r="AJ107" i="2"/>
  <c r="AI107" i="2"/>
  <c r="AH107" i="2"/>
  <c r="AG107" i="2"/>
  <c r="AF107" i="2"/>
  <c r="AE107" i="2"/>
  <c r="AD107" i="2"/>
  <c r="AC107" i="2"/>
  <c r="AB107" i="2"/>
  <c r="AA107" i="2"/>
  <c r="Z107" i="2"/>
  <c r="Y107" i="2"/>
  <c r="X107" i="2"/>
  <c r="W107" i="2"/>
  <c r="V107" i="2"/>
  <c r="U107" i="2"/>
  <c r="T107" i="2"/>
  <c r="S107" i="2"/>
  <c r="R107" i="2"/>
  <c r="Q107" i="2"/>
  <c r="P107" i="2"/>
  <c r="O107" i="2"/>
  <c r="N107" i="2"/>
  <c r="M107" i="2"/>
  <c r="L107" i="2"/>
  <c r="K107" i="2"/>
  <c r="J107" i="2"/>
  <c r="I107" i="2"/>
  <c r="H107" i="2"/>
  <c r="G107" i="2"/>
  <c r="F107" i="2"/>
  <c r="E107" i="2"/>
  <c r="D107" i="2"/>
  <c r="C107" i="2"/>
  <c r="AL106" i="2"/>
  <c r="AK106" i="2"/>
  <c r="AJ106" i="2"/>
  <c r="AI106" i="2"/>
  <c r="AH106" i="2"/>
  <c r="AG106" i="2"/>
  <c r="AF106" i="2"/>
  <c r="AE106" i="2"/>
  <c r="AD106" i="2"/>
  <c r="AC106" i="2"/>
  <c r="AB106" i="2"/>
  <c r="AA106" i="2"/>
  <c r="Z106" i="2"/>
  <c r="Y106" i="2"/>
  <c r="X106" i="2"/>
  <c r="W106" i="2"/>
  <c r="V106" i="2"/>
  <c r="U106" i="2"/>
  <c r="T106" i="2"/>
  <c r="S106" i="2"/>
  <c r="R106" i="2"/>
  <c r="Q106" i="2"/>
  <c r="P106" i="2"/>
  <c r="O106" i="2"/>
  <c r="N106" i="2"/>
  <c r="M106" i="2"/>
  <c r="L106" i="2"/>
  <c r="K106" i="2"/>
  <c r="J106" i="2"/>
  <c r="I106" i="2"/>
  <c r="H106" i="2"/>
  <c r="G106" i="2"/>
  <c r="F106" i="2"/>
  <c r="E106" i="2"/>
  <c r="D106" i="2"/>
  <c r="C106" i="2"/>
  <c r="AL105" i="2"/>
  <c r="AK105" i="2"/>
  <c r="AJ105" i="2"/>
  <c r="AI105" i="2"/>
  <c r="AH105" i="2"/>
  <c r="AG105" i="2"/>
  <c r="AF105" i="2"/>
  <c r="AE105" i="2"/>
  <c r="AD105" i="2"/>
  <c r="AC105" i="2"/>
  <c r="AB105" i="2"/>
  <c r="AA105" i="2"/>
  <c r="Z105" i="2"/>
  <c r="Y105" i="2"/>
  <c r="X105" i="2"/>
  <c r="W105" i="2"/>
  <c r="V105" i="2"/>
  <c r="U105" i="2"/>
  <c r="T105" i="2"/>
  <c r="S105" i="2"/>
  <c r="R105" i="2"/>
  <c r="Q105" i="2"/>
  <c r="P105" i="2"/>
  <c r="O105" i="2"/>
  <c r="N105" i="2"/>
  <c r="M105" i="2"/>
  <c r="L105" i="2"/>
  <c r="K105" i="2"/>
  <c r="J105" i="2"/>
  <c r="I105" i="2"/>
  <c r="H105" i="2"/>
  <c r="G105" i="2"/>
  <c r="F105" i="2"/>
  <c r="E105" i="2"/>
  <c r="D105" i="2"/>
  <c r="C105" i="2"/>
  <c r="AL104" i="2"/>
  <c r="AK104" i="2"/>
  <c r="AJ104" i="2"/>
  <c r="AI104" i="2"/>
  <c r="AH104" i="2"/>
  <c r="AG104" i="2"/>
  <c r="AF104" i="2"/>
  <c r="AE104" i="2"/>
  <c r="AD104" i="2"/>
  <c r="AC104" i="2"/>
  <c r="AB104" i="2"/>
  <c r="AA104" i="2"/>
  <c r="Z104" i="2"/>
  <c r="Y104" i="2"/>
  <c r="X104" i="2"/>
  <c r="W104" i="2"/>
  <c r="V104" i="2"/>
  <c r="U104" i="2"/>
  <c r="T104" i="2"/>
  <c r="S104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F104" i="2"/>
  <c r="E104" i="2"/>
  <c r="D104" i="2"/>
  <c r="C104" i="2"/>
  <c r="AL103" i="2"/>
  <c r="AK103" i="2"/>
  <c r="AJ103" i="2"/>
  <c r="AI103" i="2"/>
  <c r="AH103" i="2"/>
  <c r="AG103" i="2"/>
  <c r="AF103" i="2"/>
  <c r="AE103" i="2"/>
  <c r="AD103" i="2"/>
  <c r="AC103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E103" i="2"/>
  <c r="D103" i="2"/>
  <c r="C103" i="2"/>
  <c r="AL102" i="2"/>
  <c r="AK102" i="2"/>
  <c r="AJ102" i="2"/>
  <c r="AI102" i="2"/>
  <c r="AH102" i="2"/>
  <c r="AG102" i="2"/>
  <c r="AF102" i="2"/>
  <c r="AE102" i="2"/>
  <c r="AD102" i="2"/>
  <c r="AC102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E102" i="2"/>
  <c r="D102" i="2"/>
  <c r="C102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C67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E66" i="2"/>
  <c r="D66" i="2"/>
  <c r="C66" i="2"/>
  <c r="AL64" i="2"/>
  <c r="AK64" i="2"/>
  <c r="AJ64" i="2"/>
  <c r="AI64" i="2"/>
  <c r="AH64" i="2"/>
  <c r="AG64" i="2"/>
  <c r="AF64" i="2"/>
  <c r="AE64" i="2"/>
  <c r="AD64" i="2"/>
  <c r="AC64" i="2"/>
  <c r="AB64" i="2"/>
  <c r="AA64" i="2"/>
  <c r="Z64" i="2"/>
  <c r="Y64" i="2"/>
  <c r="X64" i="2"/>
  <c r="W64" i="2"/>
  <c r="V64" i="2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F64" i="2"/>
  <c r="E64" i="2"/>
  <c r="D64" i="2"/>
  <c r="C64" i="2"/>
  <c r="AL63" i="2"/>
  <c r="AK63" i="2"/>
  <c r="AJ63" i="2"/>
  <c r="AI63" i="2"/>
  <c r="AH63" i="2"/>
  <c r="AG63" i="2"/>
  <c r="AF63" i="2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E63" i="2"/>
  <c r="D63" i="2"/>
  <c r="C63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D62" i="2"/>
  <c r="C62" i="2"/>
  <c r="AL83" i="2"/>
  <c r="AK83" i="2"/>
  <c r="AJ83" i="2"/>
  <c r="AI83" i="2"/>
  <c r="AH83" i="2"/>
  <c r="AG83" i="2"/>
  <c r="AF83" i="2"/>
  <c r="AE83" i="2"/>
  <c r="AD83" i="2"/>
  <c r="AC83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F83" i="2"/>
  <c r="E83" i="2"/>
  <c r="D83" i="2"/>
  <c r="C83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E82" i="2"/>
  <c r="D82" i="2"/>
  <c r="C82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E81" i="2"/>
  <c r="D81" i="2"/>
  <c r="C81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F80" i="2"/>
  <c r="E80" i="2"/>
  <c r="D80" i="2"/>
  <c r="C80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E79" i="2"/>
  <c r="D79" i="2"/>
  <c r="C79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D78" i="2"/>
  <c r="C78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D77" i="2"/>
  <c r="C77" i="2"/>
  <c r="AL75" i="2"/>
  <c r="AK75" i="2"/>
  <c r="AJ75" i="2"/>
  <c r="AI75" i="2"/>
  <c r="AH75" i="2"/>
  <c r="AG75" i="2"/>
  <c r="AF75" i="2"/>
  <c r="AE75" i="2"/>
  <c r="AD75" i="2"/>
  <c r="AC75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E75" i="2"/>
  <c r="D75" i="2"/>
  <c r="C75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D74" i="2"/>
  <c r="C74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D73" i="2"/>
  <c r="C73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D72" i="2"/>
  <c r="C72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70" i="2"/>
  <c r="AL69" i="2"/>
  <c r="AK69" i="2"/>
  <c r="AJ69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E69" i="2"/>
  <c r="D69" i="2"/>
  <c r="C69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E57" i="2"/>
  <c r="D57" i="2"/>
  <c r="C57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C56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B54" i="2"/>
  <c r="A54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B53" i="2"/>
  <c r="A53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B52" i="2"/>
  <c r="A52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B51" i="2"/>
  <c r="A51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B50" i="2"/>
  <c r="A50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B49" i="2"/>
  <c r="A49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B48" i="2"/>
  <c r="A48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B47" i="2"/>
  <c r="A47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B46" i="2"/>
  <c r="A46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B45" i="2"/>
  <c r="A45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B44" i="2"/>
  <c r="A44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B43" i="2"/>
  <c r="A43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B42" i="2"/>
  <c r="A42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B41" i="2"/>
  <c r="A41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A40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B39" i="2"/>
  <c r="A39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A38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A37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B36" i="2"/>
  <c r="A36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A35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A34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B33" i="2"/>
  <c r="A33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A32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A31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A30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A29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A28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A27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A26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A25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B24" i="2"/>
  <c r="A24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A23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A22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A21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A20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A19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A18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A17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A16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A15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A14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A13" i="2"/>
  <c r="AL12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A12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A11" i="2"/>
  <c r="AL10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B10" i="2"/>
  <c r="A10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A9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A8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B7" i="2"/>
  <c r="A7" i="2"/>
  <c r="AL6" i="2"/>
  <c r="AK6" i="2"/>
  <c r="AJ6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A6" i="2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B5" i="2"/>
  <c r="A5" i="2"/>
  <c r="AL4" i="2"/>
  <c r="AK4" i="2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A4" i="2"/>
  <c r="AL65" i="2" l="1"/>
  <c r="R65" i="2"/>
  <c r="F65" i="2" l="1"/>
  <c r="AJ65" i="2"/>
  <c r="AB65" i="2"/>
  <c r="V65" i="2"/>
  <c r="AH65" i="2"/>
  <c r="T65" i="2"/>
  <c r="Z65" i="2"/>
  <c r="J65" i="2"/>
  <c r="AK65" i="2"/>
  <c r="M65" i="2"/>
  <c r="AF65" i="2"/>
  <c r="X65" i="2"/>
  <c r="P65" i="2"/>
  <c r="H65" i="2"/>
  <c r="C65" i="2"/>
  <c r="L65" i="2"/>
  <c r="D65" i="2"/>
  <c r="AE65" i="2"/>
  <c r="W65" i="2"/>
  <c r="O65" i="2"/>
  <c r="G65" i="2"/>
  <c r="AD65" i="2"/>
  <c r="N65" i="2"/>
  <c r="K65" i="2"/>
  <c r="AI65" i="2"/>
  <c r="S65" i="2"/>
  <c r="AG65" i="2"/>
  <c r="Y65" i="2"/>
  <c r="Q65" i="2"/>
  <c r="I65" i="2"/>
  <c r="AA65" i="2"/>
  <c r="AC65" i="2"/>
  <c r="U65" i="2"/>
  <c r="E65" i="2"/>
  <c r="D59" i="2" l="1"/>
  <c r="E129" i="2"/>
  <c r="C127" i="2"/>
  <c r="E119" i="2"/>
  <c r="E131" i="2"/>
  <c r="D131" i="2"/>
  <c r="C131" i="2"/>
  <c r="E130" i="2"/>
  <c r="C130" i="2"/>
  <c r="D121" i="2"/>
  <c r="C129" i="2"/>
  <c r="E128" i="2"/>
  <c r="D128" i="2"/>
  <c r="C128" i="2"/>
  <c r="E127" i="2"/>
  <c r="D127" i="2"/>
  <c r="C119" i="2"/>
  <c r="E118" i="2"/>
  <c r="D118" i="2"/>
  <c r="C126" i="2"/>
  <c r="D130" i="2"/>
  <c r="E121" i="2"/>
  <c r="D120" i="2"/>
  <c r="D126" i="2"/>
  <c r="D119" i="2" l="1"/>
  <c r="C122" i="2"/>
  <c r="E126" i="2"/>
  <c r="D129" i="2"/>
  <c r="D122" i="2"/>
  <c r="C120" i="2"/>
  <c r="E122" i="2"/>
  <c r="C123" i="2"/>
  <c r="C118" i="2"/>
  <c r="E120" i="2"/>
  <c r="D123" i="2"/>
  <c r="C121" i="2"/>
  <c r="E123" i="2"/>
  <c r="D99" i="2" l="1"/>
  <c r="C98" i="2"/>
  <c r="C97" i="2"/>
  <c r="C96" i="2"/>
  <c r="D95" i="2"/>
  <c r="C95" i="2"/>
  <c r="C94" i="2"/>
  <c r="B60" i="2"/>
  <c r="B63" i="2" s="1"/>
  <c r="B59" i="2"/>
  <c r="B62" i="2" s="1"/>
  <c r="E59" i="2"/>
  <c r="F59" i="2"/>
  <c r="N59" i="2"/>
  <c r="U59" i="2"/>
  <c r="V59" i="2"/>
  <c r="AD59" i="2"/>
  <c r="AK59" i="2"/>
  <c r="AL59" i="2"/>
  <c r="K60" i="2"/>
  <c r="R60" i="2"/>
  <c r="S60" i="2"/>
  <c r="AA60" i="2"/>
  <c r="AH60" i="2"/>
  <c r="AI60" i="2"/>
  <c r="C91" i="2" l="1"/>
  <c r="D97" i="2"/>
  <c r="E99" i="2"/>
  <c r="C99" i="2"/>
  <c r="D98" i="2"/>
  <c r="D96" i="2"/>
  <c r="D94" i="2"/>
  <c r="E94" i="2"/>
  <c r="E97" i="2"/>
  <c r="E95" i="2"/>
  <c r="E98" i="2"/>
  <c r="C90" i="2"/>
  <c r="D86" i="2"/>
  <c r="E88" i="2"/>
  <c r="E87" i="2"/>
  <c r="E96" i="2"/>
  <c r="D90" i="2"/>
  <c r="D87" i="2"/>
  <c r="C86" i="2"/>
  <c r="D88" i="2"/>
  <c r="E90" i="2"/>
  <c r="C89" i="2"/>
  <c r="D91" i="2"/>
  <c r="E89" i="2"/>
  <c r="C87" i="2"/>
  <c r="D89" i="2"/>
  <c r="E91" i="2"/>
  <c r="E86" i="2"/>
  <c r="C88" i="2"/>
  <c r="AL60" i="2"/>
  <c r="AD60" i="2"/>
  <c r="V60" i="2"/>
  <c r="N60" i="2"/>
  <c r="F60" i="2"/>
  <c r="AG59" i="2"/>
  <c r="Y59" i="2"/>
  <c r="Q59" i="2"/>
  <c r="I59" i="2"/>
  <c r="AF60" i="2"/>
  <c r="X60" i="2"/>
  <c r="P60" i="2"/>
  <c r="H60" i="2"/>
  <c r="AI59" i="2"/>
  <c r="AA59" i="2"/>
  <c r="S59" i="2"/>
  <c r="K59" i="2"/>
  <c r="AK60" i="2"/>
  <c r="X59" i="2"/>
  <c r="AE60" i="2"/>
  <c r="W60" i="2"/>
  <c r="O60" i="2"/>
  <c r="G60" i="2"/>
  <c r="AH59" i="2"/>
  <c r="Z59" i="2"/>
  <c r="R59" i="2"/>
  <c r="J59" i="2"/>
  <c r="AB60" i="2"/>
  <c r="T60" i="2"/>
  <c r="L60" i="2"/>
  <c r="D60" i="2"/>
  <c r="AE59" i="2"/>
  <c r="O59" i="2"/>
  <c r="G59" i="2"/>
  <c r="Y60" i="2"/>
  <c r="I60" i="2"/>
  <c r="AB59" i="2"/>
  <c r="L59" i="2"/>
  <c r="H59" i="2"/>
  <c r="P59" i="2"/>
  <c r="AF59" i="2"/>
  <c r="E60" i="2"/>
  <c r="M60" i="2"/>
  <c r="U60" i="2"/>
  <c r="AC60" i="2"/>
  <c r="AG60" i="2"/>
  <c r="T59" i="2"/>
  <c r="AJ59" i="2"/>
  <c r="Q60" i="2"/>
  <c r="M59" i="2"/>
  <c r="AC59" i="2"/>
  <c r="J60" i="2"/>
  <c r="Z60" i="2"/>
  <c r="W59" i="2"/>
  <c r="AJ60" i="2"/>
</calcChain>
</file>

<file path=xl/sharedStrings.xml><?xml version="1.0" encoding="utf-8"?>
<sst xmlns="http://schemas.openxmlformats.org/spreadsheetml/2006/main" count="87" uniqueCount="29">
  <si>
    <t>Macro</t>
  </si>
  <si>
    <t>Inflation</t>
  </si>
  <si>
    <t>Emissions</t>
  </si>
  <si>
    <t>IPC</t>
  </si>
  <si>
    <t>Baseline</t>
  </si>
  <si>
    <t>Scénario 2</t>
  </si>
  <si>
    <t>NZ50</t>
  </si>
  <si>
    <t>Agriculture</t>
  </si>
  <si>
    <t>Industrie</t>
  </si>
  <si>
    <t>Transports</t>
  </si>
  <si>
    <t>Services</t>
  </si>
  <si>
    <t>Electricité</t>
  </si>
  <si>
    <t>Pétrole et gaz</t>
  </si>
  <si>
    <t>Valeur ajoutée sectorielle baseline</t>
  </si>
  <si>
    <t>Valeur ajoutée sectorielle shock</t>
  </si>
  <si>
    <t>VA</t>
  </si>
  <si>
    <t>Année</t>
  </si>
  <si>
    <t>2030</t>
  </si>
  <si>
    <t>2040</t>
  </si>
  <si>
    <t>2050</t>
  </si>
  <si>
    <t>GDP</t>
  </si>
  <si>
    <t>Consumption</t>
  </si>
  <si>
    <t>Net exports</t>
  </si>
  <si>
    <t>Investment</t>
  </si>
  <si>
    <t>Exports</t>
  </si>
  <si>
    <t>Imports</t>
  </si>
  <si>
    <t>Production</t>
  </si>
  <si>
    <t>Households</t>
  </si>
  <si>
    <t>Firms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</si>
</sst>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14" fontId="0" fillId="0" borderId="0" xfId="0" applyNumberFormat="1"/>
    <xf numFmtId="1" fontId="0" fillId="0" borderId="0" xfId="0" applyNumberFormat="1"/>
    <xf numFmtId="165" fontId="0" fillId="0" borderId="0" xfId="0" applyNumberFormat="1"/>
    <xf numFmtId="4" fontId="0" fillId="0" borderId="0" xfId="0" applyNumberFormat="1"/>
    <xf numFmtId="3" fontId="0" fillId="0" borderId="0" xfId="0" applyNumberFormat="1"/>
    <xf numFmtId="0" fontId="0" fillId="0" borderId="0" xfId="0" applyAlignment="1"/>
    <xf numFmtId="0" fontId="0" fillId="0" borderId="0" xfId="0" quotePrefix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7.xml"/><Relationship Id="rId13" Type="http://schemas.openxmlformats.org/officeDocument/2006/relationships/calcChain" Target="calcChain.xml"/><Relationship Id="rId3" Type="http://schemas.openxmlformats.org/officeDocument/2006/relationships/chartsheet" Target="chartsheets/sheet2.xml"/><Relationship Id="rId7" Type="http://schemas.openxmlformats.org/officeDocument/2006/relationships/chartsheet" Target="chartsheets/sheet6.xml"/><Relationship Id="rId12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styles" Target="styles.xml"/><Relationship Id="rId5" Type="http://schemas.openxmlformats.org/officeDocument/2006/relationships/chartsheet" Target="chartsheets/sheet4.xml"/><Relationship Id="rId10" Type="http://schemas.openxmlformats.org/officeDocument/2006/relationships/theme" Target="theme/theme1.xml"/><Relationship Id="rId4" Type="http://schemas.openxmlformats.org/officeDocument/2006/relationships/chartsheet" Target="chartsheets/sheet3.xml"/><Relationship Id="rId9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Impact</a:t>
            </a:r>
            <a:r>
              <a:rPr lang="fr-FR" sz="2400" baseline="0"/>
              <a:t> on GDP - </a:t>
            </a:r>
            <a:r>
              <a:rPr lang="fr-FR" sz="2400" b="1" u="sng" baseline="0"/>
              <a:t>Net Zero 2050</a:t>
            </a:r>
          </a:p>
          <a:p>
            <a:pPr>
              <a:defRPr sz="2400"/>
            </a:pPr>
            <a:r>
              <a:rPr lang="fr-FR" sz="1600" baseline="0"/>
              <a:t>(% deviation from baseline)</a:t>
            </a:r>
            <a:endParaRPr lang="fr-FR" sz="1600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5947418400168892E-2"/>
          <c:y val="0.1493210735688186"/>
          <c:w val="0.91901351933111586"/>
          <c:h val="0.67157921974535428"/>
        </c:manualLayout>
      </c:layout>
      <c:barChart>
        <c:barDir val="col"/>
        <c:grouping val="stacked"/>
        <c:varyColors val="0"/>
        <c:ser>
          <c:idx val="2"/>
          <c:order val="2"/>
          <c:tx>
            <c:strRef>
              <c:f>Données!$B$6</c:f>
              <c:strCache>
                <c:ptCount val="1"/>
                <c:pt idx="0">
                  <c:v>Consumption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Données!$C$6:$AL$6</c:f>
              <c:numCache>
                <c:formatCode>#\ ##0.0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-0.10646477512130359</c:v>
                </c:pt>
                <c:pt idx="8">
                  <c:v>-0.26420359888904299</c:v>
                </c:pt>
                <c:pt idx="9">
                  <c:v>-0.35862972466403847</c:v>
                </c:pt>
                <c:pt idx="10">
                  <c:v>-0.35167216583227423</c:v>
                </c:pt>
                <c:pt idx="11">
                  <c:v>-0.22206289292544704</c:v>
                </c:pt>
                <c:pt idx="12">
                  <c:v>-4.9217823361294849E-3</c:v>
                </c:pt>
                <c:pt idx="13">
                  <c:v>0.25108040574590951</c:v>
                </c:pt>
                <c:pt idx="14">
                  <c:v>0.51571027731991703</c:v>
                </c:pt>
                <c:pt idx="15">
                  <c:v>0.77362137842315759</c:v>
                </c:pt>
                <c:pt idx="16">
                  <c:v>1.0029897646161066</c:v>
                </c:pt>
                <c:pt idx="17">
                  <c:v>1.1939368727352895</c:v>
                </c:pt>
                <c:pt idx="18">
                  <c:v>1.3511016196386434</c:v>
                </c:pt>
                <c:pt idx="19">
                  <c:v>1.4810375149952151</c:v>
                </c:pt>
                <c:pt idx="20">
                  <c:v>1.5844752219296603</c:v>
                </c:pt>
                <c:pt idx="21">
                  <c:v>1.6620644138308118</c:v>
                </c:pt>
                <c:pt idx="22">
                  <c:v>1.7108802864242638</c:v>
                </c:pt>
                <c:pt idx="23">
                  <c:v>1.733997589222912</c:v>
                </c:pt>
                <c:pt idx="24">
                  <c:v>1.7366060411498911</c:v>
                </c:pt>
                <c:pt idx="25">
                  <c:v>1.7228674309949017</c:v>
                </c:pt>
                <c:pt idx="26">
                  <c:v>1.6847928852858831</c:v>
                </c:pt>
                <c:pt idx="27">
                  <c:v>1.6187338394023147</c:v>
                </c:pt>
                <c:pt idx="28">
                  <c:v>1.5320367321269031</c:v>
                </c:pt>
                <c:pt idx="29">
                  <c:v>1.4343257734273864</c:v>
                </c:pt>
                <c:pt idx="30">
                  <c:v>1.3332726719427626</c:v>
                </c:pt>
                <c:pt idx="31">
                  <c:v>1.2309830956299541</c:v>
                </c:pt>
                <c:pt idx="32">
                  <c:v>1.1270500719094694</c:v>
                </c:pt>
                <c:pt idx="33">
                  <c:v>1.0256058539359436</c:v>
                </c:pt>
                <c:pt idx="34">
                  <c:v>0.93177678781873829</c:v>
                </c:pt>
                <c:pt idx="35">
                  <c:v>0.84967217671353656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DF-4FA2-B0C9-EB7B6F86A366}"/>
            </c:ext>
          </c:extLst>
        </c:ser>
        <c:ser>
          <c:idx val="5"/>
          <c:order val="5"/>
          <c:tx>
            <c:strRef>
              <c:f>Données!$B$9</c:f>
              <c:strCache>
                <c:ptCount val="1"/>
                <c:pt idx="0">
                  <c:v>Investment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Données!$C$9:$AL$9</c:f>
              <c:numCache>
                <c:formatCode>#\ ##0.0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4.2954441329165439E-9</c:v>
                </c:pt>
                <c:pt idx="4">
                  <c:v>4.2029114401594801E-9</c:v>
                </c:pt>
                <c:pt idx="5">
                  <c:v>4.1093996368357305E-9</c:v>
                </c:pt>
                <c:pt idx="6">
                  <c:v>4.0167651262920583E-9</c:v>
                </c:pt>
                <c:pt idx="7">
                  <c:v>-5.616059594016011E-2</c:v>
                </c:pt>
                <c:pt idx="8">
                  <c:v>-0.13815606344916456</c:v>
                </c:pt>
                <c:pt idx="9">
                  <c:v>-0.17333286719680141</c:v>
                </c:pt>
                <c:pt idx="10">
                  <c:v>-0.1837302389298979</c:v>
                </c:pt>
                <c:pt idx="11">
                  <c:v>-0.17194988123769647</c:v>
                </c:pt>
                <c:pt idx="12">
                  <c:v>-0.14969006602630416</c:v>
                </c:pt>
                <c:pt idx="13">
                  <c:v>-0.1216953227241216</c:v>
                </c:pt>
                <c:pt idx="14">
                  <c:v>-8.6843497738126968E-2</c:v>
                </c:pt>
                <c:pt idx="15">
                  <c:v>-4.4682911717988077E-2</c:v>
                </c:pt>
                <c:pt idx="16">
                  <c:v>-3.5959744566292991E-3</c:v>
                </c:pt>
                <c:pt idx="17">
                  <c:v>3.5498124036276182E-2</c:v>
                </c:pt>
                <c:pt idx="18">
                  <c:v>7.3993232591371583E-2</c:v>
                </c:pt>
                <c:pt idx="19">
                  <c:v>0.11451265527450467</c:v>
                </c:pt>
                <c:pt idx="20">
                  <c:v>0.15860694244887447</c:v>
                </c:pt>
                <c:pt idx="21">
                  <c:v>0.20888418139765599</c:v>
                </c:pt>
                <c:pt idx="22">
                  <c:v>0.26526702161998655</c:v>
                </c:pt>
                <c:pt idx="23">
                  <c:v>0.3282219384920485</c:v>
                </c:pt>
                <c:pt idx="24">
                  <c:v>0.39863029182382265</c:v>
                </c:pt>
                <c:pt idx="25">
                  <c:v>0.47728598278016943</c:v>
                </c:pt>
                <c:pt idx="26">
                  <c:v>0.56334517426937947</c:v>
                </c:pt>
                <c:pt idx="27">
                  <c:v>0.65253558165191827</c:v>
                </c:pt>
                <c:pt idx="28">
                  <c:v>0.7426607673512724</c:v>
                </c:pt>
                <c:pt idx="29">
                  <c:v>0.83283639084744954</c:v>
                </c:pt>
                <c:pt idx="30">
                  <c:v>0.92275080969297507</c:v>
                </c:pt>
                <c:pt idx="31">
                  <c:v>1.0117084431266199</c:v>
                </c:pt>
                <c:pt idx="32">
                  <c:v>1.0980638768922002</c:v>
                </c:pt>
                <c:pt idx="33">
                  <c:v>1.1808479281821875</c:v>
                </c:pt>
                <c:pt idx="34">
                  <c:v>1.2595595620366198</c:v>
                </c:pt>
                <c:pt idx="35">
                  <c:v>1.3339494124162123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4DF-4FA2-B0C9-EB7B6F86A366}"/>
            </c:ext>
          </c:extLst>
        </c:ser>
        <c:ser>
          <c:idx val="7"/>
          <c:order val="7"/>
          <c:tx>
            <c:strRef>
              <c:f>Données!$B$11</c:f>
              <c:strCache>
                <c:ptCount val="1"/>
                <c:pt idx="0">
                  <c:v>Net exports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Données!$C$11:$AL$11</c:f>
              <c:numCache>
                <c:formatCode>#\ ##0.0</c:formatCode>
                <c:ptCount val="36"/>
                <c:pt idx="0">
                  <c:v>-4.552083073732457E-9</c:v>
                </c:pt>
                <c:pt idx="1">
                  <c:v>0</c:v>
                </c:pt>
                <c:pt idx="2">
                  <c:v>-4.3856079912291818E-9</c:v>
                </c:pt>
                <c:pt idx="3">
                  <c:v>-4.2954416326391076E-9</c:v>
                </c:pt>
                <c:pt idx="4">
                  <c:v>-4.2029089937431566E-9</c:v>
                </c:pt>
                <c:pt idx="5">
                  <c:v>-8.2188040576448316E-9</c:v>
                </c:pt>
                <c:pt idx="6">
                  <c:v>-1.2050300055008723E-8</c:v>
                </c:pt>
                <c:pt idx="7">
                  <c:v>-0.13243858742076256</c:v>
                </c:pt>
                <c:pt idx="8">
                  <c:v>-0.1771656694026546</c:v>
                </c:pt>
                <c:pt idx="9">
                  <c:v>5.1986415642164552E-2</c:v>
                </c:pt>
                <c:pt idx="10">
                  <c:v>0.19961713723595556</c:v>
                </c:pt>
                <c:pt idx="11">
                  <c:v>0.20807653548105276</c:v>
                </c:pt>
                <c:pt idx="12">
                  <c:v>0.10334834909861412</c:v>
                </c:pt>
                <c:pt idx="13">
                  <c:v>-5.7465826158498823E-2</c:v>
                </c:pt>
                <c:pt idx="14">
                  <c:v>-0.23057031543669146</c:v>
                </c:pt>
                <c:pt idx="15">
                  <c:v>-0.40581473918069838</c:v>
                </c:pt>
                <c:pt idx="16">
                  <c:v>-0.58944520461379246</c:v>
                </c:pt>
                <c:pt idx="17">
                  <c:v>-0.76042309638491645</c:v>
                </c:pt>
                <c:pt idx="18">
                  <c:v>-0.91877028073259004</c:v>
                </c:pt>
                <c:pt idx="19">
                  <c:v>-1.064432658919432</c:v>
                </c:pt>
                <c:pt idx="20">
                  <c:v>-1.1996673541794873</c:v>
                </c:pt>
                <c:pt idx="21">
                  <c:v>-1.3232504219344772</c:v>
                </c:pt>
                <c:pt idx="22">
                  <c:v>-1.4291308475530882</c:v>
                </c:pt>
                <c:pt idx="23">
                  <c:v>-1.5173571815983689</c:v>
                </c:pt>
                <c:pt idx="24">
                  <c:v>-1.589328808907575</c:v>
                </c:pt>
                <c:pt idx="25">
                  <c:v>-1.6464493746499322</c:v>
                </c:pt>
                <c:pt idx="26">
                  <c:v>-1.6793403450135131</c:v>
                </c:pt>
                <c:pt idx="27">
                  <c:v>-1.6832258575038925</c:v>
                </c:pt>
                <c:pt idx="28">
                  <c:v>-1.6626959866183924</c:v>
                </c:pt>
                <c:pt idx="29">
                  <c:v>-1.623653573632635</c:v>
                </c:pt>
                <c:pt idx="30">
                  <c:v>-1.5711556043067165</c:v>
                </c:pt>
                <c:pt idx="31">
                  <c:v>-1.5066319848770289</c:v>
                </c:pt>
                <c:pt idx="32">
                  <c:v>-1.4292855123713495</c:v>
                </c:pt>
                <c:pt idx="33">
                  <c:v>-1.3435952540153477</c:v>
                </c:pt>
                <c:pt idx="34">
                  <c:v>-1.2549909934604231</c:v>
                </c:pt>
                <c:pt idx="35">
                  <c:v>-1.1682666887227409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4DF-4FA2-B0C9-EB7B6F86A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98260000"/>
        <c:axId val="698260984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Données!$B$5</c15:sqref>
                        </c15:formulaRef>
                      </c:ext>
                    </c:extLst>
                    <c:strCache>
                      <c:ptCount val="1"/>
                      <c:pt idx="0">
                        <c:v>VA du secteur marchand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Données!$C$3:$AL$3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Données!$C$5:$AL$5</c15:sqref>
                        </c15:formulaRef>
                      </c:ext>
                    </c:extLst>
                    <c:numCache>
                      <c:formatCode>#\ ##0.0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-5.9728444412598947E-9</c:v>
                      </c:pt>
                      <c:pt idx="4">
                        <c:v>0</c:v>
                      </c:pt>
                      <c:pt idx="5">
                        <c:v>5.6932036862633595E-8</c:v>
                      </c:pt>
                      <c:pt idx="6">
                        <c:v>0</c:v>
                      </c:pt>
                      <c:pt idx="7">
                        <c:v>-0.35468403305292107</c:v>
                      </c:pt>
                      <c:pt idx="8">
                        <c:v>-0.67698624977078348</c:v>
                      </c:pt>
                      <c:pt idx="9">
                        <c:v>-0.51547106765853501</c:v>
                      </c:pt>
                      <c:pt idx="10">
                        <c:v>-0.31591579647721746</c:v>
                      </c:pt>
                      <c:pt idx="11">
                        <c:v>-0.13729002490328046</c:v>
                      </c:pt>
                      <c:pt idx="12">
                        <c:v>2.3206290640676031E-3</c:v>
                      </c:pt>
                      <c:pt idx="13">
                        <c:v>0.11786914994877939</c:v>
                      </c:pt>
                      <c:pt idx="14">
                        <c:v>0.23403286836261028</c:v>
                      </c:pt>
                      <c:pt idx="15">
                        <c:v>0.34772771375353173</c:v>
                      </c:pt>
                      <c:pt idx="16">
                        <c:v>0.41913638180779422</c:v>
                      </c:pt>
                      <c:pt idx="17">
                        <c:v>0.46227126180768963</c:v>
                      </c:pt>
                      <c:pt idx="18">
                        <c:v>0.48221819210525485</c:v>
                      </c:pt>
                      <c:pt idx="19">
                        <c:v>0.48600764416895093</c:v>
                      </c:pt>
                      <c:pt idx="20">
                        <c:v>0.47700399607899513</c:v>
                      </c:pt>
                      <c:pt idx="21">
                        <c:v>0.46088356131981367</c:v>
                      </c:pt>
                      <c:pt idx="22">
                        <c:v>0.4422190223152267</c:v>
                      </c:pt>
                      <c:pt idx="23">
                        <c:v>0.4249213509748051</c:v>
                      </c:pt>
                      <c:pt idx="24">
                        <c:v>0.41399190364366234</c:v>
                      </c:pt>
                      <c:pt idx="25">
                        <c:v>0.41322671284811374</c:v>
                      </c:pt>
                      <c:pt idx="26">
                        <c:v>0.42449638402468626</c:v>
                      </c:pt>
                      <c:pt idx="27">
                        <c:v>0.44457316841872707</c:v>
                      </c:pt>
                      <c:pt idx="28">
                        <c:v>0.47299037982651004</c:v>
                      </c:pt>
                      <c:pt idx="29">
                        <c:v>0.51183356576438577</c:v>
                      </c:pt>
                      <c:pt idx="30">
                        <c:v>0.56285325601832525</c:v>
                      </c:pt>
                      <c:pt idx="31">
                        <c:v>0.62570919491480304</c:v>
                      </c:pt>
                      <c:pt idx="32">
                        <c:v>0.69908262624480688</c:v>
                      </c:pt>
                      <c:pt idx="33">
                        <c:v>0.78077528358753145</c:v>
                      </c:pt>
                      <c:pt idx="34">
                        <c:v>0.86907597588550267</c:v>
                      </c:pt>
                      <c:pt idx="35">
                        <c:v>0.96229651882437928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64DF-4FA2-B0C9-EB7B6F86A366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Données!$B$7</c15:sqref>
                        </c15:formulaRef>
                      </c:ext>
                    </c:extLst>
                    <c:strCache>
                      <c:ptCount val="1"/>
                      <c:pt idx="0">
                        <c:v>Consommation des ménages automobile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Données!$C$3:$AL$3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Données!$C$7:$AL$7</c15:sqref>
                        </c15:formulaRef>
                      </c:ext>
                    </c:extLst>
                    <c:numCache>
                      <c:formatCode>#\ ##0.0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8.7712236407419439E-10</c:v>
                      </c:pt>
                      <c:pt idx="3">
                        <c:v>1.2886329898472195E-9</c:v>
                      </c:pt>
                      <c:pt idx="4">
                        <c:v>1.6811644537429759E-9</c:v>
                      </c:pt>
                      <c:pt idx="5">
                        <c:v>2.0547010144112079E-9</c:v>
                      </c:pt>
                      <c:pt idx="6">
                        <c:v>2.0083831476625979E-9</c:v>
                      </c:pt>
                      <c:pt idx="7">
                        <c:v>-3.6494366476916888E-2</c:v>
                      </c:pt>
                      <c:pt idx="8">
                        <c:v>-8.9054843701575556E-2</c:v>
                      </c:pt>
                      <c:pt idx="9">
                        <c:v>-0.14001362729636901</c:v>
                      </c:pt>
                      <c:pt idx="10">
                        <c:v>-0.1927409676677071</c:v>
                      </c:pt>
                      <c:pt idx="11">
                        <c:v>-0.16855728755655625</c:v>
                      </c:pt>
                      <c:pt idx="12">
                        <c:v>-0.12011334961333432</c:v>
                      </c:pt>
                      <c:pt idx="13">
                        <c:v>-7.5890314442191437E-2</c:v>
                      </c:pt>
                      <c:pt idx="14">
                        <c:v>-4.390246832281916E-2</c:v>
                      </c:pt>
                      <c:pt idx="15">
                        <c:v>-2.3976421581472226E-2</c:v>
                      </c:pt>
                      <c:pt idx="16">
                        <c:v>-2.1564471237931836E-2</c:v>
                      </c:pt>
                      <c:pt idx="17">
                        <c:v>-2.9555630298598253E-2</c:v>
                      </c:pt>
                      <c:pt idx="18">
                        <c:v>-4.0726247665910612E-2</c:v>
                      </c:pt>
                      <c:pt idx="19">
                        <c:v>-4.8619243124127944E-2</c:v>
                      </c:pt>
                      <c:pt idx="20">
                        <c:v>-5.6263075756857496E-2</c:v>
                      </c:pt>
                      <c:pt idx="21">
                        <c:v>-5.6789670426764229E-2</c:v>
                      </c:pt>
                      <c:pt idx="22">
                        <c:v>-5.6660074637292487E-2</c:v>
                      </c:pt>
                      <c:pt idx="23">
                        <c:v>-5.7483604263982011E-2</c:v>
                      </c:pt>
                      <c:pt idx="24">
                        <c:v>-5.9061328200560717E-2</c:v>
                      </c:pt>
                      <c:pt idx="25">
                        <c:v>-6.1208885135300047E-2</c:v>
                      </c:pt>
                      <c:pt idx="26">
                        <c:v>-6.104602443042581E-2</c:v>
                      </c:pt>
                      <c:pt idx="27">
                        <c:v>-6.2349278885372755E-2</c:v>
                      </c:pt>
                      <c:pt idx="28">
                        <c:v>-6.5201140223979256E-2</c:v>
                      </c:pt>
                      <c:pt idx="29">
                        <c:v>-6.8723581012950771E-2</c:v>
                      </c:pt>
                      <c:pt idx="30">
                        <c:v>-7.2434216328109813E-2</c:v>
                      </c:pt>
                      <c:pt idx="31">
                        <c:v>-7.5103371589932633E-2</c:v>
                      </c:pt>
                      <c:pt idx="32">
                        <c:v>-7.8738906946689446E-2</c:v>
                      </c:pt>
                      <c:pt idx="33">
                        <c:v>-8.3530500775060246E-2</c:v>
                      </c:pt>
                      <c:pt idx="34">
                        <c:v>-8.9041742045036038E-2</c:v>
                      </c:pt>
                      <c:pt idx="35">
                        <c:v>-9.492405154162907E-2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4DF-4FA2-B0C9-EB7B6F86A366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Données!$B$8</c15:sqref>
                        </c15:formulaRef>
                      </c:ext>
                    </c:extLst>
                    <c:strCache>
                      <c:ptCount val="1"/>
                      <c:pt idx="0">
                        <c:v>Dépenses publiques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Données!$C$3:$AL$3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Données!$C$8:$AL$8</c15:sqref>
                        </c15:formulaRef>
                      </c:ext>
                    </c:extLst>
                    <c:numCache>
                      <c:formatCode>#\ ##0.0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4DF-4FA2-B0C9-EB7B6F86A366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Données!$B$10</c15:sqref>
                        </c15:formulaRef>
                      </c:ext>
                    </c:extLst>
                    <c:strCache>
                      <c:ptCount val="1"/>
                      <c:pt idx="0">
                        <c:v>Variations de stocks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Données!$C$3:$AL$3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Données!$C$10:$AL$10</c15:sqref>
                        </c15:formulaRef>
                      </c:ext>
                    </c:extLst>
                    <c:numCache>
                      <c:formatCode>#\ ##0.0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4DF-4FA2-B0C9-EB7B6F86A366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0"/>
          <c:order val="0"/>
          <c:tx>
            <c:strRef>
              <c:f>Données!$B$4</c:f>
              <c:strCache>
                <c:ptCount val="1"/>
                <c:pt idx="0">
                  <c:v>GDP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Données!$C$4:$AL$4</c:f>
              <c:numCache>
                <c:formatCode>#\ ##0.0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-0.2950639427813484</c:v>
                </c:pt>
                <c:pt idx="8">
                  <c:v>-0.57952535091619906</c:v>
                </c:pt>
                <c:pt idx="9">
                  <c:v>-0.4799761837117833</c:v>
                </c:pt>
                <c:pt idx="10">
                  <c:v>-0.33578532611262535</c:v>
                </c:pt>
                <c:pt idx="11">
                  <c:v>-0.18593624585869772</c:v>
                </c:pt>
                <c:pt idx="12">
                  <c:v>-5.1263474599583247E-2</c:v>
                </c:pt>
                <c:pt idx="13">
                  <c:v>7.1919239536022417E-2</c:v>
                </c:pt>
                <c:pt idx="14">
                  <c:v>0.19829645049547207</c:v>
                </c:pt>
                <c:pt idx="15">
                  <c:v>0.32312373761234081</c:v>
                </c:pt>
                <c:pt idx="16">
                  <c:v>0.40994855902936056</c:v>
                </c:pt>
                <c:pt idx="17">
                  <c:v>0.46901187098644659</c:v>
                </c:pt>
                <c:pt idx="18">
                  <c:v>0.5063245811513184</c:v>
                </c:pt>
                <c:pt idx="19">
                  <c:v>0.53111749867933433</c:v>
                </c:pt>
                <c:pt idx="20">
                  <c:v>0.54341486628575186</c:v>
                </c:pt>
                <c:pt idx="21">
                  <c:v>0.54769814573865094</c:v>
                </c:pt>
                <c:pt idx="22">
                  <c:v>0.54701647551562704</c:v>
                </c:pt>
                <c:pt idx="23">
                  <c:v>0.54486233433437281</c:v>
                </c:pt>
                <c:pt idx="24">
                  <c:v>0.54590757021104608</c:v>
                </c:pt>
                <c:pt idx="25">
                  <c:v>0.55370397704730401</c:v>
                </c:pt>
                <c:pt idx="26">
                  <c:v>0.56879770350990455</c:v>
                </c:pt>
                <c:pt idx="27">
                  <c:v>0.58804355008394982</c:v>
                </c:pt>
                <c:pt idx="28">
                  <c:v>0.61200153913956168</c:v>
                </c:pt>
                <c:pt idx="29">
                  <c:v>0.64350864189535173</c:v>
                </c:pt>
                <c:pt idx="30">
                  <c:v>0.68486787732899845</c:v>
                </c:pt>
                <c:pt idx="31">
                  <c:v>0.73605960257434599</c:v>
                </c:pt>
                <c:pt idx="32">
                  <c:v>0.79582843643033474</c:v>
                </c:pt>
                <c:pt idx="33">
                  <c:v>0.86285855123886535</c:v>
                </c:pt>
                <c:pt idx="34">
                  <c:v>0.93634535639492977</c:v>
                </c:pt>
                <c:pt idx="35">
                  <c:v>1.0153549224254377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DF-4FA2-B0C9-EB7B6F86A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8260000"/>
        <c:axId val="698260984"/>
      </c:lineChart>
      <c:dateAx>
        <c:axId val="69826000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5"/>
        <c:majorTimeUnit val="years"/>
      </c:dateAx>
      <c:valAx>
        <c:axId val="698260984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  <c:maj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2558026074095319"/>
          <c:y val="0.92307178193558292"/>
          <c:w val="0.7488393708655362"/>
          <c:h val="5.8065941725962647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400">
          <a:latin typeface="Marianne Light" panose="02000000000000000000" pitchFamily="50" charset="0"/>
        </a:defRPr>
      </a:pPr>
      <a:endParaRPr lang="fr-F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ysClr val="windowText" lastClr="000000"/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Inflation (%)</a:t>
            </a:r>
          </a:p>
        </c:rich>
      </c:tx>
      <c:layout>
        <c:manualLayout>
          <c:xMode val="edge"/>
          <c:yMode val="edge"/>
          <c:x val="0.4109619154318111"/>
          <c:y val="2.51497017846056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ysClr val="windowText" lastClr="000000"/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5537262156476636E-2"/>
          <c:y val="0.12992444857958643"/>
          <c:w val="0.91942367557480809"/>
          <c:h val="0.68678422777048564"/>
        </c:manualLayout>
      </c:layout>
      <c:lineChart>
        <c:grouping val="standard"/>
        <c:varyColors val="0"/>
        <c:ser>
          <c:idx val="0"/>
          <c:order val="0"/>
          <c:tx>
            <c:strRef>
              <c:f>Données!$B$59</c:f>
              <c:strCache>
                <c:ptCount val="1"/>
                <c:pt idx="0">
                  <c:v>Baseline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Données!$C$59:$AL$59</c:f>
              <c:numCache>
                <c:formatCode>#\ ##0.0</c:formatCode>
                <c:ptCount val="36"/>
                <c:pt idx="1">
                  <c:v>1.8944593922087805</c:v>
                </c:pt>
                <c:pt idx="2">
                  <c:v>1.9086702366608366</c:v>
                </c:pt>
                <c:pt idx="3">
                  <c:v>2.0210777327606122</c:v>
                </c:pt>
                <c:pt idx="4">
                  <c:v>1.9097445622771936</c:v>
                </c:pt>
                <c:pt idx="5">
                  <c:v>1.9487054971134787</c:v>
                </c:pt>
                <c:pt idx="6">
                  <c:v>2.0006508442066639</c:v>
                </c:pt>
                <c:pt idx="7">
                  <c:v>2.0504482055375028</c:v>
                </c:pt>
                <c:pt idx="8">
                  <c:v>2.0916762324028504</c:v>
                </c:pt>
                <c:pt idx="9">
                  <c:v>2.124614284822357</c:v>
                </c:pt>
                <c:pt idx="10">
                  <c:v>2.1311739005953845</c:v>
                </c:pt>
                <c:pt idx="11">
                  <c:v>2.0731047158459415</c:v>
                </c:pt>
                <c:pt idx="12">
                  <c:v>1.9598134274631196</c:v>
                </c:pt>
                <c:pt idx="13">
                  <c:v>1.8093674898721934</c:v>
                </c:pt>
                <c:pt idx="14">
                  <c:v>1.6445408499548675</c:v>
                </c:pt>
                <c:pt idx="15">
                  <c:v>1.4787911730461234</c:v>
                </c:pt>
                <c:pt idx="16">
                  <c:v>1.3155501069775921</c:v>
                </c:pt>
                <c:pt idx="17">
                  <c:v>1.1623812179431425</c:v>
                </c:pt>
                <c:pt idx="18">
                  <c:v>1.0318297459951609</c:v>
                </c:pt>
                <c:pt idx="19">
                  <c:v>0.93026568101921558</c:v>
                </c:pt>
                <c:pt idx="20">
                  <c:v>0.86671539693234934</c:v>
                </c:pt>
                <c:pt idx="21">
                  <c:v>0.83258557268359734</c:v>
                </c:pt>
                <c:pt idx="22">
                  <c:v>0.83210834558085089</c:v>
                </c:pt>
                <c:pt idx="23">
                  <c:v>0.86713952794683635</c:v>
                </c:pt>
                <c:pt idx="24">
                  <c:v>0.94035100121085957</c:v>
                </c:pt>
                <c:pt idx="25">
                  <c:v>1.0618961229948765</c:v>
                </c:pt>
                <c:pt idx="26">
                  <c:v>1.1913783307016867</c:v>
                </c:pt>
                <c:pt idx="27">
                  <c:v>1.3359192641092754</c:v>
                </c:pt>
                <c:pt idx="28">
                  <c:v>1.4934244412364572</c:v>
                </c:pt>
                <c:pt idx="29">
                  <c:v>1.6520394369957669</c:v>
                </c:pt>
                <c:pt idx="30">
                  <c:v>1.8070259355382534</c:v>
                </c:pt>
                <c:pt idx="31">
                  <c:v>1.9524048004520234</c:v>
                </c:pt>
                <c:pt idx="32">
                  <c:v>2.0835032404453502</c:v>
                </c:pt>
                <c:pt idx="33">
                  <c:v>2.1966512425306117</c:v>
                </c:pt>
                <c:pt idx="34">
                  <c:v>2.2887221458284035</c:v>
                </c:pt>
                <c:pt idx="35">
                  <c:v>2.3572949822140865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BB1-4F3D-B713-AB83A709E486}"/>
            </c:ext>
          </c:extLst>
        </c:ser>
        <c:ser>
          <c:idx val="1"/>
          <c:order val="1"/>
          <c:tx>
            <c:strRef>
              <c:f>Données!$B$60</c:f>
              <c:strCache>
                <c:ptCount val="1"/>
                <c:pt idx="0">
                  <c:v>NZ50</c:v>
                </c:pt>
              </c:strCache>
            </c:strRef>
          </c:tx>
          <c:spPr>
            <a:ln w="444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Données!$C$60:$AL$60</c:f>
              <c:numCache>
                <c:formatCode>#\ ##0.0</c:formatCode>
                <c:ptCount val="36"/>
                <c:pt idx="1">
                  <c:v>1.8944593922087805</c:v>
                </c:pt>
                <c:pt idx="2">
                  <c:v>1.9086702366608366</c:v>
                </c:pt>
                <c:pt idx="3">
                  <c:v>2.0210777327606122</c:v>
                </c:pt>
                <c:pt idx="4">
                  <c:v>1.9097445622771936</c:v>
                </c:pt>
                <c:pt idx="5">
                  <c:v>1.948705589588573</c:v>
                </c:pt>
                <c:pt idx="6">
                  <c:v>2.0006508423919378</c:v>
                </c:pt>
                <c:pt idx="7">
                  <c:v>2.4822859054602464</c:v>
                </c:pt>
                <c:pt idx="8">
                  <c:v>2.7059867734986254</c:v>
                </c:pt>
                <c:pt idx="9">
                  <c:v>3.0351114296522486</c:v>
                </c:pt>
                <c:pt idx="10">
                  <c:v>3.4144209220951183</c:v>
                </c:pt>
                <c:pt idx="11">
                  <c:v>2.9521384656984617</c:v>
                </c:pt>
                <c:pt idx="12">
                  <c:v>2.8010862235865019</c:v>
                </c:pt>
                <c:pt idx="13">
                  <c:v>2.6194860008625698</c:v>
                </c:pt>
                <c:pt idx="14">
                  <c:v>2.4183025904354061</c:v>
                </c:pt>
                <c:pt idx="15">
                  <c:v>2.2057971901878748</c:v>
                </c:pt>
                <c:pt idx="16">
                  <c:v>2.0446851934432742</c:v>
                </c:pt>
                <c:pt idx="17">
                  <c:v>1.8790139619510704</c:v>
                </c:pt>
                <c:pt idx="18">
                  <c:v>1.7063015922659908</c:v>
                </c:pt>
                <c:pt idx="19">
                  <c:v>1.529924320848397</c:v>
                </c:pt>
                <c:pt idx="20">
                  <c:v>1.3919238778473453</c:v>
                </c:pt>
                <c:pt idx="21">
                  <c:v>1.227186465307839</c:v>
                </c:pt>
                <c:pt idx="22">
                  <c:v>1.1368217255764979</c:v>
                </c:pt>
                <c:pt idx="23">
                  <c:v>1.0732822320677293</c:v>
                </c:pt>
                <c:pt idx="24">
                  <c:v>1.0417775424935272</c:v>
                </c:pt>
                <c:pt idx="25">
                  <c:v>1.0573712628562548</c:v>
                </c:pt>
                <c:pt idx="26">
                  <c:v>1.0822326566126694</c:v>
                </c:pt>
                <c:pt idx="27">
                  <c:v>1.1879576451079066</c:v>
                </c:pt>
                <c:pt idx="28">
                  <c:v>1.3090681850689956</c:v>
                </c:pt>
                <c:pt idx="29">
                  <c:v>1.4360248801223774</c:v>
                </c:pt>
                <c:pt idx="30">
                  <c:v>1.5665006067364873</c:v>
                </c:pt>
                <c:pt idx="31">
                  <c:v>1.6945157276304634</c:v>
                </c:pt>
                <c:pt idx="32">
                  <c:v>1.842025039428985</c:v>
                </c:pt>
                <c:pt idx="33">
                  <c:v>1.9785991701515737</c:v>
                </c:pt>
                <c:pt idx="34">
                  <c:v>2.0998555638625627</c:v>
                </c:pt>
                <c:pt idx="35">
                  <c:v>2.2024362031015876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BB1-4F3D-B713-AB83A709E4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8260000"/>
        <c:axId val="698260984"/>
      </c:lineChart>
      <c:dateAx>
        <c:axId val="698260000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10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ysClr val="windowText" lastClr="000000"/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solidFill>
            <a:sysClr val="windowText" lastClr="000000"/>
          </a:solidFill>
          <a:latin typeface="Marianne Light" panose="02000000000000000000" pitchFamily="50" charset="0"/>
        </a:defRPr>
      </a:pPr>
      <a:endParaRPr lang="fr-FR"/>
    </a:p>
  </c:txPr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CO2 emissions (MtCO2/y)</a:t>
            </a:r>
          </a:p>
        </c:rich>
      </c:tx>
      <c:layout>
        <c:manualLayout>
          <c:xMode val="edge"/>
          <c:yMode val="edge"/>
          <c:x val="0.2902562701424663"/>
          <c:y val="2.72455102666561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2"/>
          <c:order val="2"/>
          <c:tx>
            <c:strRef>
              <c:f>Données!$B$64</c:f>
              <c:strCache>
                <c:ptCount val="1"/>
                <c:pt idx="0">
                  <c:v>Households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Données!$C$64:$AL$64</c:f>
              <c:numCache>
                <c:formatCode>#,##0</c:formatCode>
                <c:ptCount val="36"/>
                <c:pt idx="0">
                  <c:v>119.49049309999999</c:v>
                </c:pt>
                <c:pt idx="1">
                  <c:v>118.4060939</c:v>
                </c:pt>
                <c:pt idx="2">
                  <c:v>117.2074891</c:v>
                </c:pt>
                <c:pt idx="3">
                  <c:v>116.0495744</c:v>
                </c:pt>
                <c:pt idx="4">
                  <c:v>115.53652200000001</c:v>
                </c:pt>
                <c:pt idx="5">
                  <c:v>115.423315</c:v>
                </c:pt>
                <c:pt idx="6">
                  <c:v>115.5349813</c:v>
                </c:pt>
                <c:pt idx="7">
                  <c:v>115.21380980000001</c:v>
                </c:pt>
                <c:pt idx="8">
                  <c:v>114.3087293</c:v>
                </c:pt>
                <c:pt idx="9">
                  <c:v>113.0608306</c:v>
                </c:pt>
                <c:pt idx="10">
                  <c:v>111.2713236</c:v>
                </c:pt>
                <c:pt idx="11">
                  <c:v>110.47662680000001</c:v>
                </c:pt>
                <c:pt idx="12">
                  <c:v>110.1503191</c:v>
                </c:pt>
                <c:pt idx="13">
                  <c:v>110.0191755</c:v>
                </c:pt>
                <c:pt idx="14">
                  <c:v>109.9371585</c:v>
                </c:pt>
                <c:pt idx="15">
                  <c:v>109.8290952</c:v>
                </c:pt>
                <c:pt idx="16">
                  <c:v>109.073196</c:v>
                </c:pt>
                <c:pt idx="17">
                  <c:v>108.1409124</c:v>
                </c:pt>
                <c:pt idx="18">
                  <c:v>106.6330718</c:v>
                </c:pt>
                <c:pt idx="19">
                  <c:v>103.6838406</c:v>
                </c:pt>
                <c:pt idx="20">
                  <c:v>100.3883196</c:v>
                </c:pt>
                <c:pt idx="21">
                  <c:v>96.873193659999998</c:v>
                </c:pt>
                <c:pt idx="22">
                  <c:v>93.148387929999998</c:v>
                </c:pt>
                <c:pt idx="23">
                  <c:v>89.253319180000005</c:v>
                </c:pt>
                <c:pt idx="24">
                  <c:v>85.245870769999996</c:v>
                </c:pt>
                <c:pt idx="25">
                  <c:v>81.143658610000003</c:v>
                </c:pt>
                <c:pt idx="26">
                  <c:v>77.084515589999995</c:v>
                </c:pt>
                <c:pt idx="27">
                  <c:v>73.11046589</c:v>
                </c:pt>
                <c:pt idx="28">
                  <c:v>69.24558073</c:v>
                </c:pt>
                <c:pt idx="29">
                  <c:v>65.525256150000004</c:v>
                </c:pt>
                <c:pt idx="30">
                  <c:v>61.98242235</c:v>
                </c:pt>
                <c:pt idx="31">
                  <c:v>58.66571965</c:v>
                </c:pt>
                <c:pt idx="32">
                  <c:v>55.582292619999997</c:v>
                </c:pt>
                <c:pt idx="33">
                  <c:v>52.740347939999999</c:v>
                </c:pt>
                <c:pt idx="34">
                  <c:v>50.146187249999997</c:v>
                </c:pt>
                <c:pt idx="35">
                  <c:v>47.801817300000003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F9-419D-90DC-C3E392523E46}"/>
            </c:ext>
          </c:extLst>
        </c:ser>
        <c:ser>
          <c:idx val="3"/>
          <c:order val="3"/>
          <c:tx>
            <c:strRef>
              <c:f>Données!$B$65</c:f>
              <c:strCache>
                <c:ptCount val="1"/>
                <c:pt idx="0">
                  <c:v>Firms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Données!$C$65:$AL$65</c:f>
              <c:numCache>
                <c:formatCode>#,##0</c:formatCode>
                <c:ptCount val="36"/>
                <c:pt idx="0">
                  <c:v>228.44355844039998</c:v>
                </c:pt>
                <c:pt idx="1">
                  <c:v>229.712484367</c:v>
                </c:pt>
                <c:pt idx="2">
                  <c:v>231.19375857459997</c:v>
                </c:pt>
                <c:pt idx="3">
                  <c:v>232.41098222700001</c:v>
                </c:pt>
                <c:pt idx="4">
                  <c:v>235.02200215889999</c:v>
                </c:pt>
                <c:pt idx="5">
                  <c:v>238.8023721118</c:v>
                </c:pt>
                <c:pt idx="6">
                  <c:v>243.7322922036</c:v>
                </c:pt>
                <c:pt idx="7">
                  <c:v>246.8728421472</c:v>
                </c:pt>
                <c:pt idx="8">
                  <c:v>248.21521730680001</c:v>
                </c:pt>
                <c:pt idx="9">
                  <c:v>248.9914167986</c:v>
                </c:pt>
                <c:pt idx="10">
                  <c:v>247.2720089945</c:v>
                </c:pt>
                <c:pt idx="11">
                  <c:v>247.53825901590002</c:v>
                </c:pt>
                <c:pt idx="12">
                  <c:v>248.4453460034</c:v>
                </c:pt>
                <c:pt idx="13">
                  <c:v>249.85388710379999</c:v>
                </c:pt>
                <c:pt idx="14">
                  <c:v>251.7330673372</c:v>
                </c:pt>
                <c:pt idx="15">
                  <c:v>254.03091960699999</c:v>
                </c:pt>
                <c:pt idx="16">
                  <c:v>254.6163809096</c:v>
                </c:pt>
                <c:pt idx="17">
                  <c:v>255.1989300701</c:v>
                </c:pt>
                <c:pt idx="18">
                  <c:v>255.3731831314</c:v>
                </c:pt>
                <c:pt idx="19">
                  <c:v>254.26053955039998</c:v>
                </c:pt>
                <c:pt idx="20">
                  <c:v>253.1313614268</c:v>
                </c:pt>
                <c:pt idx="21">
                  <c:v>252.28531492989998</c:v>
                </c:pt>
                <c:pt idx="22">
                  <c:v>251.82230730589998</c:v>
                </c:pt>
                <c:pt idx="23">
                  <c:v>251.86788627000001</c:v>
                </c:pt>
                <c:pt idx="24">
                  <c:v>252.57144142850001</c:v>
                </c:pt>
                <c:pt idx="25">
                  <c:v>254.0601257072</c:v>
                </c:pt>
                <c:pt idx="26">
                  <c:v>253.8668746848</c:v>
                </c:pt>
                <c:pt idx="27">
                  <c:v>253.8022002989</c:v>
                </c:pt>
                <c:pt idx="28">
                  <c:v>254.54092848209999</c:v>
                </c:pt>
                <c:pt idx="29">
                  <c:v>256.15518623179997</c:v>
                </c:pt>
                <c:pt idx="30">
                  <c:v>258.50489245</c:v>
                </c:pt>
                <c:pt idx="31">
                  <c:v>261.49600899900003</c:v>
                </c:pt>
                <c:pt idx="32">
                  <c:v>264.9742229213</c:v>
                </c:pt>
                <c:pt idx="33">
                  <c:v>268.7931328322</c:v>
                </c:pt>
                <c:pt idx="34">
                  <c:v>272.828220875</c:v>
                </c:pt>
                <c:pt idx="35">
                  <c:v>276.98048920510001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F9-419D-90DC-C3E392523E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8260000"/>
        <c:axId val="698260984"/>
      </c:areaChart>
      <c:lineChart>
        <c:grouping val="standard"/>
        <c:varyColors val="0"/>
        <c:ser>
          <c:idx val="0"/>
          <c:order val="0"/>
          <c:tx>
            <c:strRef>
              <c:f>Données!$B$62</c:f>
              <c:strCache>
                <c:ptCount val="1"/>
                <c:pt idx="0">
                  <c:v>Baseline</c:v>
                </c:pt>
              </c:strCache>
            </c:strRef>
          </c:tx>
          <c:spPr>
            <a:ln w="444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Données!$C$62:$AL$62</c:f>
              <c:numCache>
                <c:formatCode>#,##0</c:formatCode>
                <c:ptCount val="36"/>
                <c:pt idx="0">
                  <c:v>347.93402889999999</c:v>
                </c:pt>
                <c:pt idx="1">
                  <c:v>348.1185562</c:v>
                </c:pt>
                <c:pt idx="2">
                  <c:v>348.4012262</c:v>
                </c:pt>
                <c:pt idx="3">
                  <c:v>348.46053569999998</c:v>
                </c:pt>
                <c:pt idx="4">
                  <c:v>350.55850340000001</c:v>
                </c:pt>
                <c:pt idx="5">
                  <c:v>354.22566640000002</c:v>
                </c:pt>
                <c:pt idx="6">
                  <c:v>359.2672523</c:v>
                </c:pt>
                <c:pt idx="7">
                  <c:v>365.38696390000001</c:v>
                </c:pt>
                <c:pt idx="8">
                  <c:v>372.27858609999998</c:v>
                </c:pt>
                <c:pt idx="9">
                  <c:v>379.7610621</c:v>
                </c:pt>
                <c:pt idx="10">
                  <c:v>387.56007249999999</c:v>
                </c:pt>
                <c:pt idx="11">
                  <c:v>395.77780089999999</c:v>
                </c:pt>
                <c:pt idx="12">
                  <c:v>403.40393130000001</c:v>
                </c:pt>
                <c:pt idx="13">
                  <c:v>410.54680990000003</c:v>
                </c:pt>
                <c:pt idx="14">
                  <c:v>417.35888</c:v>
                </c:pt>
                <c:pt idx="15">
                  <c:v>424.01012059999999</c:v>
                </c:pt>
                <c:pt idx="16">
                  <c:v>430.71143949999998</c:v>
                </c:pt>
                <c:pt idx="17">
                  <c:v>437.73040650000002</c:v>
                </c:pt>
                <c:pt idx="18">
                  <c:v>445.20018800000003</c:v>
                </c:pt>
                <c:pt idx="19">
                  <c:v>453.24204689999999</c:v>
                </c:pt>
                <c:pt idx="20">
                  <c:v>461.93873409999998</c:v>
                </c:pt>
                <c:pt idx="21">
                  <c:v>471.50871009999997</c:v>
                </c:pt>
                <c:pt idx="22">
                  <c:v>482.10802960000001</c:v>
                </c:pt>
                <c:pt idx="23">
                  <c:v>493.88295010000002</c:v>
                </c:pt>
                <c:pt idx="24">
                  <c:v>506.95837699999998</c:v>
                </c:pt>
                <c:pt idx="25">
                  <c:v>521.31538620000003</c:v>
                </c:pt>
                <c:pt idx="26">
                  <c:v>533.14167620000001</c:v>
                </c:pt>
                <c:pt idx="27">
                  <c:v>544.70908989999998</c:v>
                </c:pt>
                <c:pt idx="28">
                  <c:v>557.02873390000002</c:v>
                </c:pt>
                <c:pt idx="29">
                  <c:v>570.31030410000005</c:v>
                </c:pt>
                <c:pt idx="30">
                  <c:v>584.45929379999995</c:v>
                </c:pt>
                <c:pt idx="31">
                  <c:v>599.31063029999996</c:v>
                </c:pt>
                <c:pt idx="32">
                  <c:v>614.69996800000001</c:v>
                </c:pt>
                <c:pt idx="33">
                  <c:v>630.46632069999998</c:v>
                </c:pt>
                <c:pt idx="34">
                  <c:v>646.44886740000004</c:v>
                </c:pt>
                <c:pt idx="35">
                  <c:v>662.48383439999998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C8-4867-AD43-ECA314AA01DF}"/>
            </c:ext>
          </c:extLst>
        </c:ser>
        <c:ser>
          <c:idx val="1"/>
          <c:order val="1"/>
          <c:tx>
            <c:strRef>
              <c:f>Données!$B$63</c:f>
              <c:strCache>
                <c:ptCount val="1"/>
                <c:pt idx="0">
                  <c:v>NZ50</c:v>
                </c:pt>
              </c:strCache>
            </c:strRef>
          </c:tx>
          <c:spPr>
            <a:ln w="444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Données!$C$63:$AL$63</c:f>
              <c:numCache>
                <c:formatCode>#,##0</c:formatCode>
                <c:ptCount val="36"/>
                <c:pt idx="0">
                  <c:v>347.93405150000001</c:v>
                </c:pt>
                <c:pt idx="1">
                  <c:v>348.11857830000002</c:v>
                </c:pt>
                <c:pt idx="2">
                  <c:v>348.4012477</c:v>
                </c:pt>
                <c:pt idx="3">
                  <c:v>348.46055669999998</c:v>
                </c:pt>
                <c:pt idx="4">
                  <c:v>350.5585241</c:v>
                </c:pt>
                <c:pt idx="5">
                  <c:v>354.22568710000002</c:v>
                </c:pt>
                <c:pt idx="6">
                  <c:v>359.26727349999999</c:v>
                </c:pt>
                <c:pt idx="7">
                  <c:v>362.08665200000002</c:v>
                </c:pt>
                <c:pt idx="8">
                  <c:v>362.52394659999999</c:v>
                </c:pt>
                <c:pt idx="9">
                  <c:v>362.0522474</c:v>
                </c:pt>
                <c:pt idx="10">
                  <c:v>358.54333259999999</c:v>
                </c:pt>
                <c:pt idx="11">
                  <c:v>358.0148858</c:v>
                </c:pt>
                <c:pt idx="12">
                  <c:v>358.59566510000002</c:v>
                </c:pt>
                <c:pt idx="13">
                  <c:v>359.87306260000003</c:v>
                </c:pt>
                <c:pt idx="14">
                  <c:v>361.67022589999999</c:v>
                </c:pt>
                <c:pt idx="15">
                  <c:v>363.86001479999999</c:v>
                </c:pt>
                <c:pt idx="16">
                  <c:v>363.68957690000002</c:v>
                </c:pt>
                <c:pt idx="17">
                  <c:v>363.33984249999997</c:v>
                </c:pt>
                <c:pt idx="18">
                  <c:v>362.00625489999999</c:v>
                </c:pt>
                <c:pt idx="19">
                  <c:v>357.94438020000001</c:v>
                </c:pt>
                <c:pt idx="20">
                  <c:v>353.51968099999999</c:v>
                </c:pt>
                <c:pt idx="21">
                  <c:v>349.1585086</c:v>
                </c:pt>
                <c:pt idx="22">
                  <c:v>344.97069520000002</c:v>
                </c:pt>
                <c:pt idx="23">
                  <c:v>341.12120540000001</c:v>
                </c:pt>
                <c:pt idx="24">
                  <c:v>337.8173122</c:v>
                </c:pt>
                <c:pt idx="25">
                  <c:v>335.2037843</c:v>
                </c:pt>
                <c:pt idx="26">
                  <c:v>330.95139019999999</c:v>
                </c:pt>
                <c:pt idx="27">
                  <c:v>326.91266619999999</c:v>
                </c:pt>
                <c:pt idx="28">
                  <c:v>323.78650920000001</c:v>
                </c:pt>
                <c:pt idx="29">
                  <c:v>321.6804424</c:v>
                </c:pt>
                <c:pt idx="30">
                  <c:v>320.48731479999998</c:v>
                </c:pt>
                <c:pt idx="31">
                  <c:v>320.1617286</c:v>
                </c:pt>
                <c:pt idx="32">
                  <c:v>320.55651549999999</c:v>
                </c:pt>
                <c:pt idx="33">
                  <c:v>321.53348080000001</c:v>
                </c:pt>
                <c:pt idx="34">
                  <c:v>322.97440810000001</c:v>
                </c:pt>
                <c:pt idx="35">
                  <c:v>324.7823065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C8-4867-AD43-ECA314AA01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8260000"/>
        <c:axId val="698260984"/>
      </c:lineChart>
      <c:dateAx>
        <c:axId val="698260000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10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Valeur</a:t>
            </a:r>
            <a:r>
              <a:rPr lang="fr-FR" baseline="0"/>
              <a:t> ajoutée sectorielle (en pts de VA)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Données!$B$86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Données!$C$85:$E$85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Données!$C$86:$E$86</c:f>
              <c:numCache>
                <c:formatCode>#,##0</c:formatCode>
                <c:ptCount val="3"/>
                <c:pt idx="0">
                  <c:v>-1.9329973137039047E-2</c:v>
                </c:pt>
                <c:pt idx="1">
                  <c:v>-2.0554111712881701E-2</c:v>
                </c:pt>
                <c:pt idx="2">
                  <c:v>-1.9032998288441901E-2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EF-431D-9A51-747E617C00CC}"/>
            </c:ext>
          </c:extLst>
        </c:ser>
        <c:ser>
          <c:idx val="1"/>
          <c:order val="1"/>
          <c:tx>
            <c:strRef>
              <c:f>Données!$B$87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Données!$C$85:$E$85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Données!$C$87:$E$87</c:f>
              <c:numCache>
                <c:formatCode>#,##0</c:formatCode>
                <c:ptCount val="3"/>
                <c:pt idx="0">
                  <c:v>-1.7203657899276259</c:v>
                </c:pt>
                <c:pt idx="1">
                  <c:v>0.78853049706389733</c:v>
                </c:pt>
                <c:pt idx="2">
                  <c:v>21.314689991902323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EF-431D-9A51-747E617C00CC}"/>
            </c:ext>
          </c:extLst>
        </c:ser>
        <c:ser>
          <c:idx val="2"/>
          <c:order val="2"/>
          <c:tx>
            <c:strRef>
              <c:f>Données!$B$88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Données!$C$85:$E$85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Données!$C$88:$E$88</c:f>
              <c:numCache>
                <c:formatCode>#,##0</c:formatCode>
                <c:ptCount val="3"/>
                <c:pt idx="0">
                  <c:v>-0.35871320790911104</c:v>
                </c:pt>
                <c:pt idx="1">
                  <c:v>-0.58875616669801567</c:v>
                </c:pt>
                <c:pt idx="2">
                  <c:v>-0.33864200219186069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EF-431D-9A51-747E617C00CC}"/>
            </c:ext>
          </c:extLst>
        </c:ser>
        <c:ser>
          <c:idx val="3"/>
          <c:order val="3"/>
          <c:tx>
            <c:strRef>
              <c:f>Données!$B$89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Données!$C$85:$E$85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Données!$C$89:$E$89</c:f>
              <c:numCache>
                <c:formatCode>#,##0</c:formatCode>
                <c:ptCount val="3"/>
                <c:pt idx="0">
                  <c:v>15.956608913217076</c:v>
                </c:pt>
                <c:pt idx="1">
                  <c:v>19.903784336232579</c:v>
                </c:pt>
                <c:pt idx="2">
                  <c:v>25.605113868959588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EF-431D-9A51-747E617C00CC}"/>
            </c:ext>
          </c:extLst>
        </c:ser>
        <c:ser>
          <c:idx val="4"/>
          <c:order val="4"/>
          <c:tx>
            <c:strRef>
              <c:f>Données!$B$90</c:f>
              <c:strCache>
                <c:ptCount val="1"/>
                <c:pt idx="0">
                  <c:v>Pétrole et gaz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Données!$C$85:$E$85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Données!$C$90:$E$90</c:f>
              <c:numCache>
                <c:formatCode>#,##0</c:formatCode>
                <c:ptCount val="3"/>
                <c:pt idx="0">
                  <c:v>-7.05228305296772E-3</c:v>
                </c:pt>
                <c:pt idx="1">
                  <c:v>3.5120069451591665E-3</c:v>
                </c:pt>
                <c:pt idx="2">
                  <c:v>2.8851700238742679E-2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3EF-431D-9A51-747E617C00CC}"/>
            </c:ext>
          </c:extLst>
        </c:ser>
        <c:ser>
          <c:idx val="5"/>
          <c:order val="5"/>
          <c:tx>
            <c:strRef>
              <c:f>Données!$B$91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Données!$C$85:$E$85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Données!$C$91:$E$91</c:f>
              <c:numCache>
                <c:formatCode>#,##0</c:formatCode>
                <c:ptCount val="3"/>
                <c:pt idx="0">
                  <c:v>-43.230951081209504</c:v>
                </c:pt>
                <c:pt idx="1">
                  <c:v>-6.15827235794504</c:v>
                </c:pt>
                <c:pt idx="2">
                  <c:v>16.206868577815971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3EF-431D-9A51-747E617C00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Valeur</a:t>
            </a:r>
            <a:r>
              <a:rPr lang="fr-FR" baseline="0"/>
              <a:t> ajoutée sectorielle (en %)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Données!$B$94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Données!$C$93:$E$93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Données!$C$94:$E$94</c:f>
              <c:numCache>
                <c:formatCode>0.0%</c:formatCode>
                <c:ptCount val="3"/>
                <c:pt idx="0">
                  <c:v>-1.0646159384239851E-2</c:v>
                </c:pt>
                <c:pt idx="1">
                  <c:v>-1.1200730838512252E-2</c:v>
                </c:pt>
                <c:pt idx="2">
                  <c:v>-1.0339742886332659E-2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82-485E-9582-B510024133C5}"/>
            </c:ext>
          </c:extLst>
        </c:ser>
        <c:ser>
          <c:idx val="1"/>
          <c:order val="1"/>
          <c:tx>
            <c:strRef>
              <c:f>Données!$B$95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Données!$C$93:$E$93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Données!$C$95:$E$95</c:f>
              <c:numCache>
                <c:formatCode>0.0%</c:formatCode>
                <c:ptCount val="3"/>
                <c:pt idx="0">
                  <c:v>-1.7239561365319789E-3</c:v>
                </c:pt>
                <c:pt idx="1">
                  <c:v>7.4827319135795101E-4</c:v>
                </c:pt>
                <c:pt idx="2">
                  <c:v>1.9416164109105072E-2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82-485E-9582-B510024133C5}"/>
            </c:ext>
          </c:extLst>
        </c:ser>
        <c:ser>
          <c:idx val="2"/>
          <c:order val="2"/>
          <c:tx>
            <c:strRef>
              <c:f>Données!$B$96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Données!$C$93:$E$93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Données!$C$96:$E$96</c:f>
              <c:numCache>
                <c:formatCode>0.0%</c:formatCode>
                <c:ptCount val="3"/>
                <c:pt idx="0">
                  <c:v>-2.607925880274975E-2</c:v>
                </c:pt>
                <c:pt idx="1">
                  <c:v>-4.5657983471823704E-2</c:v>
                </c:pt>
                <c:pt idx="2">
                  <c:v>-2.7637719376583769E-2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82-485E-9582-B510024133C5}"/>
            </c:ext>
          </c:extLst>
        </c:ser>
        <c:ser>
          <c:idx val="3"/>
          <c:order val="3"/>
          <c:tx>
            <c:strRef>
              <c:f>Données!$B$97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Données!$C$93:$E$93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Données!$C$97:$E$97</c:f>
              <c:numCache>
                <c:formatCode>0.0%</c:formatCode>
                <c:ptCount val="3"/>
                <c:pt idx="0">
                  <c:v>5.0262938052338946E-3</c:v>
                </c:pt>
                <c:pt idx="1">
                  <c:v>6.2038555254635419E-3</c:v>
                </c:pt>
                <c:pt idx="2">
                  <c:v>8.3811911371118875E-3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82-485E-9582-B510024133C5}"/>
            </c:ext>
          </c:extLst>
        </c:ser>
        <c:ser>
          <c:idx val="4"/>
          <c:order val="4"/>
          <c:tx>
            <c:strRef>
              <c:f>Données!$B$98</c:f>
              <c:strCache>
                <c:ptCount val="1"/>
                <c:pt idx="0">
                  <c:v>Pétrole et gaz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Données!$C$93:$E$93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Données!$C$98:$E$98</c:f>
              <c:numCache>
                <c:formatCode>0.0%</c:formatCode>
                <c:ptCount val="3"/>
                <c:pt idx="0">
                  <c:v>6.0459868285604568E-2</c:v>
                </c:pt>
                <c:pt idx="1">
                  <c:v>-3.2883970850124844E-2</c:v>
                </c:pt>
                <c:pt idx="2">
                  <c:v>-0.27412530592861639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82-485E-9582-B510024133C5}"/>
            </c:ext>
          </c:extLst>
        </c:ser>
        <c:ser>
          <c:idx val="5"/>
          <c:order val="5"/>
          <c:tx>
            <c:strRef>
              <c:f>Données!$B$99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Données!$C$93:$E$93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Données!$C$99:$E$99</c:f>
              <c:numCache>
                <c:formatCode>0.0%</c:formatCode>
                <c:ptCount val="3"/>
                <c:pt idx="0">
                  <c:v>2.8014726346562435E-2</c:v>
                </c:pt>
                <c:pt idx="1">
                  <c:v>6.7140166815748969E-3</c:v>
                </c:pt>
                <c:pt idx="2">
                  <c:v>-1.3372337385674005E-2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282-485E-9582-B51002413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Valeur</a:t>
            </a:r>
            <a:r>
              <a:rPr lang="fr-FR" baseline="0"/>
              <a:t> ajoutée sectorielle (en pts de VA)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Données!$B$118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Données!$C$117:$E$117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Données!$C$118:$E$118</c:f>
              <c:numCache>
                <c:formatCode>#,##0</c:formatCode>
                <c:ptCount val="3"/>
                <c:pt idx="0">
                  <c:v>-3.6054800690758837</c:v>
                </c:pt>
                <c:pt idx="1">
                  <c:v>-5.2470463763297683</c:v>
                </c:pt>
                <c:pt idx="2">
                  <c:v>-5.440364564054823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2D-4067-BD64-AD80378C548C}"/>
            </c:ext>
          </c:extLst>
        </c:ser>
        <c:ser>
          <c:idx val="1"/>
          <c:order val="1"/>
          <c:tx>
            <c:strRef>
              <c:f>Données!$B$119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Données!$C$117:$E$117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Données!$C$119:$E$119</c:f>
              <c:numCache>
                <c:formatCode>#,##0</c:formatCode>
                <c:ptCount val="3"/>
                <c:pt idx="0">
                  <c:v>-9.5293602036979017</c:v>
                </c:pt>
                <c:pt idx="1">
                  <c:v>-11.102539638939721</c:v>
                </c:pt>
                <c:pt idx="2">
                  <c:v>8.2828201553882703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2D-4067-BD64-AD80378C548C}"/>
            </c:ext>
          </c:extLst>
        </c:ser>
        <c:ser>
          <c:idx val="2"/>
          <c:order val="2"/>
          <c:tx>
            <c:strRef>
              <c:f>Données!$B$120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Données!$C$117:$E$117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Données!$C$120:$E$120</c:f>
              <c:numCache>
                <c:formatCode>#,##0</c:formatCode>
                <c:ptCount val="3"/>
                <c:pt idx="0">
                  <c:v>-0.3747149666623058</c:v>
                </c:pt>
                <c:pt idx="1">
                  <c:v>-0.61247936684786231</c:v>
                </c:pt>
                <c:pt idx="2">
                  <c:v>-0.37164821678301563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2D-4067-BD64-AD80378C548C}"/>
            </c:ext>
          </c:extLst>
        </c:ser>
        <c:ser>
          <c:idx val="3"/>
          <c:order val="3"/>
          <c:tx>
            <c:strRef>
              <c:f>Données!$B$121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Données!$C$117:$E$117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Données!$C$121:$E$121</c:f>
              <c:numCache>
                <c:formatCode>#,##0</c:formatCode>
                <c:ptCount val="3"/>
                <c:pt idx="0">
                  <c:v>9.2857058664115595</c:v>
                </c:pt>
                <c:pt idx="1">
                  <c:v>11.065100190424552</c:v>
                </c:pt>
                <c:pt idx="2">
                  <c:v>14.317785381370518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2D-4067-BD64-AD80378C548C}"/>
            </c:ext>
          </c:extLst>
        </c:ser>
        <c:ser>
          <c:idx val="4"/>
          <c:order val="4"/>
          <c:tx>
            <c:strRef>
              <c:f>Données!$B$122</c:f>
              <c:strCache>
                <c:ptCount val="1"/>
                <c:pt idx="0">
                  <c:v>Pétrole et gaz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Données!$C$117:$E$117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Données!$C$122:$E$122</c:f>
              <c:numCache>
                <c:formatCode>#,##0</c:formatCode>
                <c:ptCount val="3"/>
                <c:pt idx="0">
                  <c:v>-7.6858810105212214E-2</c:v>
                </c:pt>
                <c:pt idx="1">
                  <c:v>-7.152408318901792E-3</c:v>
                </c:pt>
                <c:pt idx="2">
                  <c:v>0.23497836456229051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A2D-4067-BD64-AD80378C548C}"/>
            </c:ext>
          </c:extLst>
        </c:ser>
        <c:ser>
          <c:idx val="5"/>
          <c:order val="5"/>
          <c:tx>
            <c:strRef>
              <c:f>Données!$B$123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Données!$C$117:$E$117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Données!$C$123:$E$123</c:f>
              <c:numCache>
                <c:formatCode>#,##0</c:formatCode>
                <c:ptCount val="3"/>
                <c:pt idx="0">
                  <c:v>7.8354272274744394</c:v>
                </c:pt>
                <c:pt idx="1">
                  <c:v>8.9476461192290735</c:v>
                </c:pt>
                <c:pt idx="2">
                  <c:v>3.8647354227533488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A2D-4067-BD64-AD80378C54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Valeur</a:t>
            </a:r>
            <a:r>
              <a:rPr lang="fr-FR" baseline="0"/>
              <a:t> ajoutée sectorielle (en %)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Données!$B$126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Données!$C$125:$E$125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Données!$C$126:$E$126</c:f>
              <c:numCache>
                <c:formatCode>0.0%</c:formatCode>
                <c:ptCount val="3"/>
                <c:pt idx="0">
                  <c:v>-1.4278014350159629E-2</c:v>
                </c:pt>
                <c:pt idx="1">
                  <c:v>-1.8671471834644904E-2</c:v>
                </c:pt>
                <c:pt idx="2">
                  <c:v>-1.5855790875545117E-2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F1-4B6A-9132-8653F2D77B61}"/>
            </c:ext>
          </c:extLst>
        </c:ser>
        <c:ser>
          <c:idx val="1"/>
          <c:order val="1"/>
          <c:tx>
            <c:strRef>
              <c:f>Données!$B$127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Données!$C$125:$E$125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Données!$C$127:$E$127</c:f>
              <c:numCache>
                <c:formatCode>0.0%</c:formatCode>
                <c:ptCount val="3"/>
                <c:pt idx="0">
                  <c:v>-8.0128222392649162E-3</c:v>
                </c:pt>
                <c:pt idx="1">
                  <c:v>-8.8143644931146792E-3</c:v>
                </c:pt>
                <c:pt idx="2">
                  <c:v>6.3752844152065169E-3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F1-4B6A-9132-8653F2D77B61}"/>
            </c:ext>
          </c:extLst>
        </c:ser>
        <c:ser>
          <c:idx val="2"/>
          <c:order val="2"/>
          <c:tx>
            <c:strRef>
              <c:f>Données!$B$128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Données!$C$125:$E$125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Données!$C$128:$E$128</c:f>
              <c:numCache>
                <c:formatCode>0.0%</c:formatCode>
                <c:ptCount val="3"/>
                <c:pt idx="0">
                  <c:v>-3.1672882184130446E-2</c:v>
                </c:pt>
                <c:pt idx="1">
                  <c:v>-5.4386309002776634E-2</c:v>
                </c:pt>
                <c:pt idx="2">
                  <c:v>-3.4409160854443566E-2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F1-4B6A-9132-8653F2D77B61}"/>
            </c:ext>
          </c:extLst>
        </c:ser>
        <c:ser>
          <c:idx val="3"/>
          <c:order val="3"/>
          <c:tx>
            <c:strRef>
              <c:f>Données!$B$129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Données!$C$125:$E$125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Données!$C$129:$E$129</c:f>
              <c:numCache>
                <c:formatCode>0.0%</c:formatCode>
                <c:ptCount val="3"/>
                <c:pt idx="0">
                  <c:v>4.3022505376431042E-3</c:v>
                </c:pt>
                <c:pt idx="1">
                  <c:v>5.0701581857011124E-3</c:v>
                </c:pt>
                <c:pt idx="2">
                  <c:v>6.9357792782149819E-3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7F1-4B6A-9132-8653F2D77B61}"/>
            </c:ext>
          </c:extLst>
        </c:ser>
        <c:ser>
          <c:idx val="4"/>
          <c:order val="4"/>
          <c:tx>
            <c:strRef>
              <c:f>Données!$B$130</c:f>
              <c:strCache>
                <c:ptCount val="1"/>
                <c:pt idx="0">
                  <c:v>Pétrole et gaz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Données!$C$125:$E$125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Données!$C$130:$E$130</c:f>
              <c:numCache>
                <c:formatCode>0.0%</c:formatCode>
                <c:ptCount val="3"/>
                <c:pt idx="0">
                  <c:v>-5.2677548841591482E-2</c:v>
                </c:pt>
                <c:pt idx="1">
                  <c:v>-4.9422703430893611E-3</c:v>
                </c:pt>
                <c:pt idx="2">
                  <c:v>0.16475064647676585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7F1-4B6A-9132-8653F2D77B61}"/>
            </c:ext>
          </c:extLst>
        </c:ser>
        <c:ser>
          <c:idx val="5"/>
          <c:order val="5"/>
          <c:tx>
            <c:strRef>
              <c:f>Données!$B$131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Données!$C$125:$E$125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Données!$C$131:$E$131</c:f>
              <c:numCache>
                <c:formatCode>0.0%</c:formatCode>
                <c:ptCount val="3"/>
                <c:pt idx="0">
                  <c:v>3.3327149897196318E-2</c:v>
                </c:pt>
                <c:pt idx="1">
                  <c:v>2.7243940524640298E-2</c:v>
                </c:pt>
                <c:pt idx="2">
                  <c:v>1.3716548836113951E-2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7F1-4B6A-9132-8653F2D77B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70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70"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70" workbookViewId="0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pic>
      <cdr:nvPicPr>
        <cdr:cNvPr id="2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0" y="0"/>
          <a:ext cx="38747700" cy="25292050"/>
        </a:xfrm>
        <a:prstGeom xmlns:a="http://schemas.openxmlformats.org/drawingml/2006/main" prst="rect">
          <a:avLst/>
        </a:prstGeom>
      </cdr:spPr>
    </cdr:pic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1-12-05_14-11-09_Result_Fran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bontax"/>
      <sheetName val="Production"/>
      <sheetName val="Capital"/>
      <sheetName val="PIB"/>
      <sheetName val="Results"/>
      <sheetName val="date"/>
      <sheetName val="Emissions"/>
      <sheetName val="Consumption"/>
      <sheetName val="Value_Added"/>
      <sheetName val="INV"/>
      <sheetName val="Labor"/>
      <sheetName val="Final_nrj"/>
      <sheetName val="Primary_nrj"/>
      <sheetName val="Energy_Mix"/>
      <sheetName val="Transports"/>
      <sheetName val="Hybrid"/>
      <sheetName val="Tab-macro"/>
      <sheetName val="Tab-baseline"/>
      <sheetName val="Macro"/>
      <sheetName val="Baseline"/>
      <sheetName val="produits-secteurs V2-V3"/>
      <sheetName val="Sect&amp;Com_V3"/>
    </sheetNames>
    <sheetDataSet>
      <sheetData sheetId="0"/>
      <sheetData sheetId="1">
        <row r="4">
          <cell r="B4">
            <v>81727.261970000007</v>
          </cell>
          <cell r="C4">
            <v>83081.614220000003</v>
          </cell>
          <cell r="D4">
            <v>84681.712650000001</v>
          </cell>
          <cell r="E4">
            <v>86512.367190000004</v>
          </cell>
          <cell r="F4">
            <v>88541.645569999993</v>
          </cell>
          <cell r="G4">
            <v>90746.00765</v>
          </cell>
          <cell r="H4">
            <v>93086.613519999999</v>
          </cell>
          <cell r="I4">
            <v>95123.378819999998</v>
          </cell>
          <cell r="J4">
            <v>97204.637170000002</v>
          </cell>
          <cell r="K4">
            <v>99792.262470000001</v>
          </cell>
          <cell r="L4">
            <v>102419.061</v>
          </cell>
          <cell r="M4">
            <v>104695.5652</v>
          </cell>
          <cell r="N4">
            <v>106686.204</v>
          </cell>
          <cell r="O4">
            <v>108461.9559</v>
          </cell>
          <cell r="P4">
            <v>110109.9614</v>
          </cell>
          <cell r="Q4">
            <v>111685.66130000001</v>
          </cell>
          <cell r="R4">
            <v>113228.94809999999</v>
          </cell>
          <cell r="S4">
            <v>114777.9887</v>
          </cell>
          <cell r="T4">
            <v>116387.9255</v>
          </cell>
          <cell r="U4">
            <v>118105.5702</v>
          </cell>
          <cell r="V4">
            <v>119954.4958</v>
          </cell>
          <cell r="W4">
            <v>121993.5456</v>
          </cell>
          <cell r="X4">
            <v>124264.33319999999</v>
          </cell>
          <cell r="Y4">
            <v>126793.38740000001</v>
          </cell>
          <cell r="Z4">
            <v>129590.4356</v>
          </cell>
          <cell r="AA4">
            <v>132612.0583</v>
          </cell>
          <cell r="AB4">
            <v>135860.71609999999</v>
          </cell>
          <cell r="AC4">
            <v>139385.2714</v>
          </cell>
          <cell r="AD4">
            <v>143199.3597</v>
          </cell>
          <cell r="AE4">
            <v>147282.57620000001</v>
          </cell>
          <cell r="AF4">
            <v>151594.10339999999</v>
          </cell>
          <cell r="AG4">
            <v>156092.7978</v>
          </cell>
          <cell r="AH4">
            <v>160742.89069999999</v>
          </cell>
          <cell r="AI4">
            <v>165505.91949999999</v>
          </cell>
          <cell r="AJ4">
            <v>170341.48620000001</v>
          </cell>
          <cell r="AK4">
            <v>175207.0024</v>
          </cell>
        </row>
        <row r="5">
          <cell r="B5">
            <v>81727.261979999996</v>
          </cell>
          <cell r="C5">
            <v>83081.614220000003</v>
          </cell>
          <cell r="D5">
            <v>84681.712650000001</v>
          </cell>
          <cell r="E5">
            <v>86512.367199999993</v>
          </cell>
          <cell r="F5">
            <v>88541.645569999993</v>
          </cell>
          <cell r="G5">
            <v>90746.00765</v>
          </cell>
          <cell r="H5">
            <v>93086.613519999999</v>
          </cell>
          <cell r="I5">
            <v>95541.266589999999</v>
          </cell>
          <cell r="J5">
            <v>98091.615770000004</v>
          </cell>
          <cell r="K5">
            <v>100723.4087</v>
          </cell>
          <cell r="L5">
            <v>103355.33070000001</v>
          </cell>
          <cell r="M5">
            <v>105662.45729999999</v>
          </cell>
          <cell r="N5">
            <v>107701.8993</v>
          </cell>
          <cell r="O5">
            <v>109517.75629999999</v>
          </cell>
          <cell r="P5">
            <v>111171.5168</v>
          </cell>
          <cell r="Q5">
            <v>112728.0269</v>
          </cell>
          <cell r="R5">
            <v>114254.4932</v>
          </cell>
          <cell r="S5">
            <v>115818.466</v>
          </cell>
          <cell r="T5">
            <v>117478.6275</v>
          </cell>
          <cell r="U5">
            <v>119276.588</v>
          </cell>
          <cell r="V5">
            <v>121231.4662</v>
          </cell>
          <cell r="W5">
            <v>123396.80530000001</v>
          </cell>
          <cell r="X5">
            <v>125803.4327</v>
          </cell>
          <cell r="Y5">
            <v>128470.77159999999</v>
          </cell>
          <cell r="Z5">
            <v>131401.57120000001</v>
          </cell>
          <cell r="AA5">
            <v>134546.64000000001</v>
          </cell>
          <cell r="AB5">
            <v>137936.85560000001</v>
          </cell>
          <cell r="AC5">
            <v>141589.50260000001</v>
          </cell>
          <cell r="AD5">
            <v>145512.27129999999</v>
          </cell>
          <cell r="AE5">
            <v>149677.91</v>
          </cell>
          <cell r="AF5">
            <v>154039.67439999999</v>
          </cell>
          <cell r="AG5">
            <v>158552.88380000001</v>
          </cell>
          <cell r="AH5">
            <v>163178.57149999999</v>
          </cell>
          <cell r="AI5">
            <v>167878.35029999999</v>
          </cell>
          <cell r="AJ5">
            <v>172613.1251</v>
          </cell>
          <cell r="AK5">
            <v>177342.86689999999</v>
          </cell>
        </row>
        <row r="6">
          <cell r="B6">
            <v>6533.33536</v>
          </cell>
          <cell r="C6">
            <v>6484.886246</v>
          </cell>
          <cell r="D6">
            <v>6440.7886179999996</v>
          </cell>
          <cell r="E6">
            <v>6396.271624</v>
          </cell>
          <cell r="F6">
            <v>6383.7576529999997</v>
          </cell>
          <cell r="G6">
            <v>6389.7129880000002</v>
          </cell>
          <cell r="H6">
            <v>6438.7489290000003</v>
          </cell>
          <cell r="I6">
            <v>6427.3107849999997</v>
          </cell>
          <cell r="J6">
            <v>6398.9059239999997</v>
          </cell>
          <cell r="K6">
            <v>6357.8939069999997</v>
          </cell>
          <cell r="L6">
            <v>6309.150909</v>
          </cell>
          <cell r="M6">
            <v>6316.752563</v>
          </cell>
          <cell r="N6">
            <v>6348.9974060000004</v>
          </cell>
          <cell r="O6">
            <v>6394.2660059999998</v>
          </cell>
          <cell r="P6">
            <v>6447.8842439999999</v>
          </cell>
          <cell r="Q6">
            <v>6508.7725049999999</v>
          </cell>
          <cell r="R6">
            <v>6623.5211120000004</v>
          </cell>
          <cell r="S6">
            <v>6751.4936399999997</v>
          </cell>
          <cell r="T6">
            <v>6892.4615549999999</v>
          </cell>
          <cell r="U6">
            <v>7047.3616009999996</v>
          </cell>
          <cell r="V6">
            <v>7216.0396650000002</v>
          </cell>
          <cell r="W6">
            <v>7406.8193959999999</v>
          </cell>
          <cell r="X6">
            <v>7619.6842230000002</v>
          </cell>
          <cell r="Y6">
            <v>7856.3668610000004</v>
          </cell>
          <cell r="Z6">
            <v>8119.2763759999998</v>
          </cell>
          <cell r="AA6">
            <v>8406.9079020000008</v>
          </cell>
          <cell r="AB6">
            <v>8542.864501</v>
          </cell>
          <cell r="AC6">
            <v>8647.3841790000006</v>
          </cell>
          <cell r="AD6">
            <v>8758.2882370000007</v>
          </cell>
          <cell r="AE6">
            <v>8883.1315140000006</v>
          </cell>
          <cell r="AF6">
            <v>9020.1574999999993</v>
          </cell>
          <cell r="AG6">
            <v>9167.1793259999995</v>
          </cell>
          <cell r="AH6">
            <v>9321.1134079999993</v>
          </cell>
          <cell r="AI6">
            <v>9479.5551620000006</v>
          </cell>
          <cell r="AJ6">
            <v>9640.3953270000002</v>
          </cell>
          <cell r="AK6">
            <v>9801.7221590000008</v>
          </cell>
        </row>
        <row r="7">
          <cell r="B7">
            <v>6533.33536</v>
          </cell>
          <cell r="C7">
            <v>6484.886246</v>
          </cell>
          <cell r="D7">
            <v>6440.7886179999996</v>
          </cell>
          <cell r="E7">
            <v>6396.2716229999996</v>
          </cell>
          <cell r="F7">
            <v>6383.7576520000002</v>
          </cell>
          <cell r="G7">
            <v>6389.7129869999999</v>
          </cell>
          <cell r="H7">
            <v>6438.7489290000003</v>
          </cell>
          <cell r="I7">
            <v>6503.6392290000003</v>
          </cell>
          <cell r="J7">
            <v>6578.9556490000004</v>
          </cell>
          <cell r="K7">
            <v>6663.5000849999997</v>
          </cell>
          <cell r="L7">
            <v>6756.7878129999999</v>
          </cell>
          <cell r="M7">
            <v>6840.1141150000003</v>
          </cell>
          <cell r="N7">
            <v>6919.8515530000004</v>
          </cell>
          <cell r="O7">
            <v>7000.7873250000002</v>
          </cell>
          <cell r="P7">
            <v>7086.1145130000004</v>
          </cell>
          <cell r="Q7">
            <v>7178.4330609999997</v>
          </cell>
          <cell r="R7">
            <v>7300.7135509999998</v>
          </cell>
          <cell r="S7">
            <v>7438.0152969999999</v>
          </cell>
          <cell r="T7">
            <v>7589.3945270000004</v>
          </cell>
          <cell r="U7">
            <v>7755.676692</v>
          </cell>
          <cell r="V7">
            <v>7936.226611</v>
          </cell>
          <cell r="W7">
            <v>8135.5327989999996</v>
          </cell>
          <cell r="X7">
            <v>8355.3815090000007</v>
          </cell>
          <cell r="Y7">
            <v>8597.9194690000004</v>
          </cell>
          <cell r="Z7">
            <v>8865.4291040000007</v>
          </cell>
          <cell r="AA7">
            <v>9155.4558369999995</v>
          </cell>
          <cell r="AB7">
            <v>9312.0286930000002</v>
          </cell>
          <cell r="AC7">
            <v>9436.8189129999992</v>
          </cell>
          <cell r="AD7">
            <v>9564.7876610000003</v>
          </cell>
          <cell r="AE7">
            <v>9703.5165610000004</v>
          </cell>
          <cell r="AF7">
            <v>9851.8172369999993</v>
          </cell>
          <cell r="AG7">
            <v>10006.787319999999</v>
          </cell>
          <cell r="AH7">
            <v>10165.780909999999</v>
          </cell>
          <cell r="AI7">
            <v>10326.59418</v>
          </cell>
          <cell r="AJ7">
            <v>10487.393620000001</v>
          </cell>
          <cell r="AK7">
            <v>10646.579</v>
          </cell>
        </row>
        <row r="8">
          <cell r="B8">
            <v>157641.25510000001</v>
          </cell>
          <cell r="C8">
            <v>160364.82029999999</v>
          </cell>
          <cell r="D8">
            <v>163526.837</v>
          </cell>
          <cell r="E8">
            <v>167132.0362</v>
          </cell>
          <cell r="F8">
            <v>171095.38449999999</v>
          </cell>
          <cell r="G8">
            <v>175369.40669999999</v>
          </cell>
          <cell r="H8">
            <v>179875.51920000001</v>
          </cell>
          <cell r="I8">
            <v>183901.27100000001</v>
          </cell>
          <cell r="J8">
            <v>188032.88449999999</v>
          </cell>
          <cell r="K8">
            <v>193015.23310000001</v>
          </cell>
          <cell r="L8">
            <v>198228.18849999999</v>
          </cell>
          <cell r="M8">
            <v>202928.20600000001</v>
          </cell>
          <cell r="N8">
            <v>207177.8425</v>
          </cell>
          <cell r="O8">
            <v>211036.71799999999</v>
          </cell>
          <cell r="P8">
            <v>214609.46400000001</v>
          </cell>
          <cell r="Q8">
            <v>217977.5055</v>
          </cell>
          <cell r="R8">
            <v>221205.36060000001</v>
          </cell>
          <cell r="S8">
            <v>224378.79990000001</v>
          </cell>
          <cell r="T8">
            <v>227607.44519999999</v>
          </cell>
          <cell r="U8">
            <v>230983.20259999999</v>
          </cell>
          <cell r="V8">
            <v>234543.20629999999</v>
          </cell>
          <cell r="W8">
            <v>238398.73910000001</v>
          </cell>
          <cell r="X8">
            <v>242622.51079999999</v>
          </cell>
          <cell r="Y8">
            <v>247268.5221</v>
          </cell>
          <cell r="Z8">
            <v>252363.55910000001</v>
          </cell>
          <cell r="AA8">
            <v>257810.63690000001</v>
          </cell>
          <cell r="AB8">
            <v>263614.15919999999</v>
          </cell>
          <cell r="AC8">
            <v>269860.42940000002</v>
          </cell>
          <cell r="AD8">
            <v>276580.28149999998</v>
          </cell>
          <cell r="AE8">
            <v>283758.3272</v>
          </cell>
          <cell r="AF8">
            <v>291341.90999999997</v>
          </cell>
          <cell r="AG8">
            <v>299262.58750000002</v>
          </cell>
          <cell r="AH8">
            <v>307458.16590000002</v>
          </cell>
          <cell r="AI8">
            <v>315863.24</v>
          </cell>
          <cell r="AJ8">
            <v>324408.92450000002</v>
          </cell>
          <cell r="AK8">
            <v>333021.39490000001</v>
          </cell>
        </row>
        <row r="9">
          <cell r="B9">
            <v>157641.25510000001</v>
          </cell>
          <cell r="C9">
            <v>160364.82029999999</v>
          </cell>
          <cell r="D9">
            <v>163526.837</v>
          </cell>
          <cell r="E9">
            <v>167132.0362</v>
          </cell>
          <cell r="F9">
            <v>171095.38449999999</v>
          </cell>
          <cell r="G9">
            <v>175369.40669999999</v>
          </cell>
          <cell r="H9">
            <v>179875.51920000001</v>
          </cell>
          <cell r="I9">
            <v>184577.12710000001</v>
          </cell>
          <cell r="J9">
            <v>189442.37760000001</v>
          </cell>
          <cell r="K9">
            <v>194446.2452</v>
          </cell>
          <cell r="L9">
            <v>199474.60980000001</v>
          </cell>
          <cell r="M9">
            <v>203979.56599999999</v>
          </cell>
          <cell r="N9">
            <v>208024.41200000001</v>
          </cell>
          <cell r="O9">
            <v>211654.75090000001</v>
          </cell>
          <cell r="P9">
            <v>214955.85389999999</v>
          </cell>
          <cell r="Q9">
            <v>218030.81820000001</v>
          </cell>
          <cell r="R9">
            <v>220996.8861</v>
          </cell>
          <cell r="S9">
            <v>223978.74119999999</v>
          </cell>
          <cell r="T9">
            <v>227088.14790000001</v>
          </cell>
          <cell r="U9">
            <v>230409.122</v>
          </cell>
          <cell r="V9">
            <v>233975.28820000001</v>
          </cell>
          <cell r="W9">
            <v>237904.50200000001</v>
          </cell>
          <cell r="X9">
            <v>242252.8455</v>
          </cell>
          <cell r="Y9">
            <v>247060.81049999999</v>
          </cell>
          <cell r="Z9">
            <v>252340.91269999999</v>
          </cell>
          <cell r="AA9">
            <v>257986.07029999999</v>
          </cell>
          <cell r="AB9">
            <v>264077.46000000002</v>
          </cell>
          <cell r="AC9">
            <v>270638.89799999999</v>
          </cell>
          <cell r="AD9">
            <v>277688.86589999998</v>
          </cell>
          <cell r="AE9">
            <v>285193.47200000001</v>
          </cell>
          <cell r="AF9">
            <v>293083.45980000001</v>
          </cell>
          <cell r="AG9">
            <v>301285.89010000002</v>
          </cell>
          <cell r="AH9">
            <v>309731.09749999997</v>
          </cell>
          <cell r="AI9">
            <v>318346.66220000002</v>
          </cell>
          <cell r="AJ9">
            <v>327056.77559999999</v>
          </cell>
          <cell r="AK9">
            <v>335782.71409999998</v>
          </cell>
        </row>
        <row r="10">
          <cell r="B10">
            <v>125578.6018</v>
          </cell>
          <cell r="C10">
            <v>130087.76330000001</v>
          </cell>
          <cell r="D10">
            <v>134959.68229999999</v>
          </cell>
          <cell r="E10">
            <v>139774.62729999999</v>
          </cell>
          <cell r="F10">
            <v>144567.10630000001</v>
          </cell>
          <cell r="G10">
            <v>149293.4786</v>
          </cell>
          <cell r="H10">
            <v>153959.413</v>
          </cell>
          <cell r="I10">
            <v>157441.89019999999</v>
          </cell>
          <cell r="J10">
            <v>161002.40919999999</v>
          </cell>
          <cell r="K10">
            <v>166389.64069999999</v>
          </cell>
          <cell r="L10">
            <v>171332.82550000001</v>
          </cell>
          <cell r="M10">
            <v>175233.53159999999</v>
          </cell>
          <cell r="N10">
            <v>178264.8927</v>
          </cell>
          <cell r="O10">
            <v>180740.2763</v>
          </cell>
          <cell r="P10">
            <v>183090.4835</v>
          </cell>
          <cell r="Q10">
            <v>185552.8567</v>
          </cell>
          <cell r="R10">
            <v>187976.24189999999</v>
          </cell>
          <cell r="S10">
            <v>190719.45439999999</v>
          </cell>
          <cell r="T10">
            <v>193907.9423</v>
          </cell>
          <cell r="U10">
            <v>197607.64300000001</v>
          </cell>
          <cell r="V10">
            <v>201811.85269999999</v>
          </cell>
          <cell r="W10">
            <v>206618.28630000001</v>
          </cell>
          <cell r="X10">
            <v>212025.66380000001</v>
          </cell>
          <cell r="Y10">
            <v>218016.96650000001</v>
          </cell>
          <cell r="Z10">
            <v>224545.64350000001</v>
          </cell>
          <cell r="AA10">
            <v>231551.04829999999</v>
          </cell>
          <cell r="AB10">
            <v>239276.48629999999</v>
          </cell>
          <cell r="AC10">
            <v>247602.02900000001</v>
          </cell>
          <cell r="AD10">
            <v>256488.7635</v>
          </cell>
          <cell r="AE10">
            <v>265788.52639999997</v>
          </cell>
          <cell r="AF10">
            <v>275329.27260000003</v>
          </cell>
          <cell r="AG10">
            <v>285019.2452</v>
          </cell>
          <cell r="AH10">
            <v>294787.63870000001</v>
          </cell>
          <cell r="AI10">
            <v>304573.72879999998</v>
          </cell>
          <cell r="AJ10">
            <v>314327.5747</v>
          </cell>
          <cell r="AK10">
            <v>324003.34769999998</v>
          </cell>
        </row>
        <row r="11">
          <cell r="B11">
            <v>125578.6018</v>
          </cell>
          <cell r="C11">
            <v>130087.76330000001</v>
          </cell>
          <cell r="D11">
            <v>134959.68229999999</v>
          </cell>
          <cell r="E11">
            <v>139774.62729999999</v>
          </cell>
          <cell r="F11">
            <v>144567.10639999999</v>
          </cell>
          <cell r="G11">
            <v>149293.4786</v>
          </cell>
          <cell r="H11">
            <v>153959.413</v>
          </cell>
          <cell r="I11">
            <v>158614.823</v>
          </cell>
          <cell r="J11">
            <v>163309.527</v>
          </cell>
          <cell r="K11">
            <v>168084.7831</v>
          </cell>
          <cell r="L11">
            <v>172663.56210000001</v>
          </cell>
          <cell r="M11">
            <v>176131.70980000001</v>
          </cell>
          <cell r="N11">
            <v>178978.22810000001</v>
          </cell>
          <cell r="O11">
            <v>181492.38449999999</v>
          </cell>
          <cell r="P11">
            <v>183941.75399999999</v>
          </cell>
          <cell r="Q11">
            <v>186524.58100000001</v>
          </cell>
          <cell r="R11">
            <v>189383.84270000001</v>
          </cell>
          <cell r="S11">
            <v>192631.67430000001</v>
          </cell>
          <cell r="T11">
            <v>196336.4621</v>
          </cell>
          <cell r="U11">
            <v>200511.1746</v>
          </cell>
          <cell r="V11">
            <v>205159.7181</v>
          </cell>
          <cell r="W11">
            <v>210304.2868</v>
          </cell>
          <cell r="X11">
            <v>215975.11300000001</v>
          </cell>
          <cell r="Y11">
            <v>222170.85680000001</v>
          </cell>
          <cell r="Z11">
            <v>228845.2948</v>
          </cell>
          <cell r="AA11">
            <v>235934.35140000001</v>
          </cell>
          <cell r="AB11">
            <v>243460.10310000001</v>
          </cell>
          <cell r="AC11">
            <v>251469.18700000001</v>
          </cell>
          <cell r="AD11">
            <v>259958.67860000001</v>
          </cell>
          <cell r="AE11">
            <v>268803.45699999999</v>
          </cell>
          <cell r="AF11">
            <v>277848.0637</v>
          </cell>
          <cell r="AG11">
            <v>286988.53210000001</v>
          </cell>
          <cell r="AH11">
            <v>296170.6225</v>
          </cell>
          <cell r="AI11">
            <v>305357.67629999999</v>
          </cell>
          <cell r="AJ11">
            <v>314518.91139999998</v>
          </cell>
          <cell r="AK11">
            <v>323623.70250000001</v>
          </cell>
        </row>
        <row r="12">
          <cell r="B12">
            <v>22085.494279999999</v>
          </cell>
          <cell r="C12">
            <v>22482.802609999999</v>
          </cell>
          <cell r="D12">
            <v>22929.992040000001</v>
          </cell>
          <cell r="E12">
            <v>23412.191579999999</v>
          </cell>
          <cell r="F12">
            <v>23938.27939</v>
          </cell>
          <cell r="G12">
            <v>24508.736130000001</v>
          </cell>
          <cell r="H12">
            <v>25127.389149999999</v>
          </cell>
          <cell r="I12">
            <v>25653.016350000002</v>
          </cell>
          <cell r="J12">
            <v>26168.470720000001</v>
          </cell>
          <cell r="K12">
            <v>26766.06266</v>
          </cell>
          <cell r="L12">
            <v>27327.71286</v>
          </cell>
          <cell r="M12">
            <v>27828.10353</v>
          </cell>
          <cell r="N12">
            <v>28294.870940000001</v>
          </cell>
          <cell r="O12">
            <v>28750.499950000001</v>
          </cell>
          <cell r="P12">
            <v>29216.543010000001</v>
          </cell>
          <cell r="Q12">
            <v>29704.475009999998</v>
          </cell>
          <cell r="R12">
            <v>30222.221300000001</v>
          </cell>
          <cell r="S12">
            <v>30768.0903</v>
          </cell>
          <cell r="T12">
            <v>31351.414369999999</v>
          </cell>
          <cell r="U12">
            <v>31981.026849999998</v>
          </cell>
          <cell r="V12">
            <v>32661.133529999999</v>
          </cell>
          <cell r="W12">
            <v>33409.955970000003</v>
          </cell>
          <cell r="X12">
            <v>34238.482300000003</v>
          </cell>
          <cell r="Y12">
            <v>35152.166129999998</v>
          </cell>
          <cell r="Z12">
            <v>36152.660329999999</v>
          </cell>
          <cell r="AA12">
            <v>37234.253709999997</v>
          </cell>
          <cell r="AB12">
            <v>38349.127439999997</v>
          </cell>
          <cell r="AC12">
            <v>39512.29909</v>
          </cell>
          <cell r="AD12">
            <v>40730.776639999996</v>
          </cell>
          <cell r="AE12">
            <v>42001.204100000003</v>
          </cell>
          <cell r="AF12">
            <v>43314.001510000002</v>
          </cell>
          <cell r="AG12">
            <v>44664.46686</v>
          </cell>
          <cell r="AH12">
            <v>46045.33653</v>
          </cell>
          <cell r="AI12">
            <v>47447.067459999998</v>
          </cell>
          <cell r="AJ12">
            <v>48859.695679999997</v>
          </cell>
          <cell r="AK12">
            <v>50273.257019999997</v>
          </cell>
        </row>
        <row r="13">
          <cell r="B13">
            <v>22085.494279999999</v>
          </cell>
          <cell r="C13">
            <v>22482.802619999999</v>
          </cell>
          <cell r="D13">
            <v>22929.992050000001</v>
          </cell>
          <cell r="E13">
            <v>23412.191589999999</v>
          </cell>
          <cell r="F13">
            <v>23938.27939</v>
          </cell>
          <cell r="G13">
            <v>24508.736130000001</v>
          </cell>
          <cell r="H13">
            <v>25127.389159999999</v>
          </cell>
          <cell r="I13">
            <v>25788.10383</v>
          </cell>
          <cell r="J13">
            <v>26486.143540000001</v>
          </cell>
          <cell r="K13">
            <v>27218.869419999999</v>
          </cell>
          <cell r="L13">
            <v>27965.702069999999</v>
          </cell>
          <cell r="M13">
            <v>28649.33006</v>
          </cell>
          <cell r="N13">
            <v>29285.396540000002</v>
          </cell>
          <cell r="O13">
            <v>29888.551650000001</v>
          </cell>
          <cell r="P13">
            <v>30476.77519</v>
          </cell>
          <cell r="Q13">
            <v>31067.03773</v>
          </cell>
          <cell r="R13">
            <v>31675.541860000001</v>
          </cell>
          <cell r="S13">
            <v>32317.03139</v>
          </cell>
          <cell r="T13">
            <v>33003.968679999998</v>
          </cell>
          <cell r="U13">
            <v>33744.952369999999</v>
          </cell>
          <cell r="V13">
            <v>34545.194490000002</v>
          </cell>
          <cell r="W13">
            <v>35413.372199999998</v>
          </cell>
          <cell r="X13">
            <v>36357.514040000002</v>
          </cell>
          <cell r="Y13">
            <v>37383.133979999999</v>
          </cell>
          <cell r="Z13">
            <v>38492.142330000002</v>
          </cell>
          <cell r="AA13">
            <v>39679.000659999998</v>
          </cell>
          <cell r="AB13">
            <v>40897.568550000004</v>
          </cell>
          <cell r="AC13">
            <v>42155.272649999999</v>
          </cell>
          <cell r="AD13">
            <v>43463.319669999997</v>
          </cell>
          <cell r="AE13">
            <v>44821.019990000001</v>
          </cell>
          <cell r="AF13">
            <v>46220.113920000003</v>
          </cell>
          <cell r="AG13">
            <v>47651.489970000002</v>
          </cell>
          <cell r="AH13">
            <v>49107.137730000002</v>
          </cell>
          <cell r="AI13">
            <v>50579.315159999998</v>
          </cell>
          <cell r="AJ13">
            <v>52060.244659999997</v>
          </cell>
          <cell r="AK13">
            <v>53541.934119999998</v>
          </cell>
        </row>
        <row r="14">
          <cell r="B14">
            <v>16302.464550000001</v>
          </cell>
          <cell r="C14">
            <v>16662.820879999999</v>
          </cell>
          <cell r="D14">
            <v>17057.174599999998</v>
          </cell>
          <cell r="E14">
            <v>17478.472310000001</v>
          </cell>
          <cell r="F14">
            <v>17925.013930000001</v>
          </cell>
          <cell r="G14">
            <v>18394.694360000001</v>
          </cell>
          <cell r="H14">
            <v>18883.832699999999</v>
          </cell>
          <cell r="I14">
            <v>19298.54075</v>
          </cell>
          <cell r="J14">
            <v>19728.828860000001</v>
          </cell>
          <cell r="K14">
            <v>20305.861389999998</v>
          </cell>
          <cell r="L14">
            <v>20866.849460000001</v>
          </cell>
          <cell r="M14">
            <v>21314.870760000002</v>
          </cell>
          <cell r="N14">
            <v>21674.08382</v>
          </cell>
          <cell r="O14">
            <v>21974.523109999998</v>
          </cell>
          <cell r="P14">
            <v>22249.975299999998</v>
          </cell>
          <cell r="Q14">
            <v>22519.826679999998</v>
          </cell>
          <cell r="R14">
            <v>22785.928360000002</v>
          </cell>
          <cell r="S14">
            <v>23070.181369999998</v>
          </cell>
          <cell r="T14">
            <v>23385.583879999998</v>
          </cell>
          <cell r="U14">
            <v>23741.362710000001</v>
          </cell>
          <cell r="V14">
            <v>24140.802070000002</v>
          </cell>
          <cell r="W14">
            <v>24593.76917</v>
          </cell>
          <cell r="X14">
            <v>25108.029259999999</v>
          </cell>
          <cell r="Y14">
            <v>25686.538939999999</v>
          </cell>
          <cell r="Z14">
            <v>26328.118630000001</v>
          </cell>
          <cell r="AA14">
            <v>27025.5065</v>
          </cell>
          <cell r="AB14">
            <v>27780.787179999999</v>
          </cell>
          <cell r="AC14">
            <v>28599.95825</v>
          </cell>
          <cell r="AD14">
            <v>29481.973020000001</v>
          </cell>
          <cell r="AE14">
            <v>30415.052329999999</v>
          </cell>
          <cell r="AF14">
            <v>31383.504069999999</v>
          </cell>
          <cell r="AG14">
            <v>32376.06553</v>
          </cell>
          <cell r="AH14">
            <v>33384.562639999996</v>
          </cell>
          <cell r="AI14">
            <v>34400.164369999999</v>
          </cell>
          <cell r="AJ14">
            <v>35414.243049999997</v>
          </cell>
          <cell r="AK14">
            <v>36418.515299999999</v>
          </cell>
        </row>
        <row r="15">
          <cell r="B15">
            <v>16302.464550000001</v>
          </cell>
          <cell r="C15">
            <v>16662.820879999999</v>
          </cell>
          <cell r="D15">
            <v>17057.174599999998</v>
          </cell>
          <cell r="E15">
            <v>17478.472310000001</v>
          </cell>
          <cell r="F15">
            <v>17925.013930000001</v>
          </cell>
          <cell r="G15">
            <v>18394.694370000001</v>
          </cell>
          <cell r="H15">
            <v>18883.832709999999</v>
          </cell>
          <cell r="I15">
            <v>19389.43607</v>
          </cell>
          <cell r="J15">
            <v>19909.225460000001</v>
          </cell>
          <cell r="K15">
            <v>20441.74497</v>
          </cell>
          <cell r="L15">
            <v>20962.926479999998</v>
          </cell>
          <cell r="M15">
            <v>21392.01843</v>
          </cell>
          <cell r="N15">
            <v>21757.036619999999</v>
          </cell>
          <cell r="O15">
            <v>22077.043559999998</v>
          </cell>
          <cell r="P15">
            <v>22372.694350000002</v>
          </cell>
          <cell r="Q15">
            <v>22662.106970000001</v>
          </cell>
          <cell r="R15">
            <v>22960.840240000001</v>
          </cell>
          <cell r="S15">
            <v>23283.02707</v>
          </cell>
          <cell r="T15">
            <v>23639.900989999998</v>
          </cell>
          <cell r="U15">
            <v>24038.20132</v>
          </cell>
          <cell r="V15">
            <v>24481.913079999998</v>
          </cell>
          <cell r="W15">
            <v>24978.15941</v>
          </cell>
          <cell r="X15">
            <v>25532.800340000002</v>
          </cell>
          <cell r="Y15">
            <v>26148.510610000001</v>
          </cell>
          <cell r="Z15">
            <v>26823.89201</v>
          </cell>
          <cell r="AA15">
            <v>27551.564330000001</v>
          </cell>
          <cell r="AB15">
            <v>28330.41433</v>
          </cell>
          <cell r="AC15">
            <v>29164.83755</v>
          </cell>
          <cell r="AD15">
            <v>30055.599300000002</v>
          </cell>
          <cell r="AE15">
            <v>30992.65177</v>
          </cell>
          <cell r="AF15">
            <v>31961.72565</v>
          </cell>
          <cell r="AG15">
            <v>32951.000410000001</v>
          </cell>
          <cell r="AH15">
            <v>33951.736190000003</v>
          </cell>
          <cell r="AI15">
            <v>34956.349099999999</v>
          </cell>
          <cell r="AJ15">
            <v>35957.772270000001</v>
          </cell>
          <cell r="AK15">
            <v>36949.201309999997</v>
          </cell>
        </row>
        <row r="16">
          <cell r="B16">
            <v>86954.635460000005</v>
          </cell>
          <cell r="C16">
            <v>89261.575209999995</v>
          </cell>
          <cell r="D16">
            <v>91698.814679999996</v>
          </cell>
          <cell r="E16">
            <v>94239.452430000005</v>
          </cell>
          <cell r="F16">
            <v>96892.213340000002</v>
          </cell>
          <cell r="G16">
            <v>99659.19601</v>
          </cell>
          <cell r="H16">
            <v>102530.9826</v>
          </cell>
          <cell r="I16">
            <v>104699.84880000001</v>
          </cell>
          <cell r="J16">
            <v>106988.23</v>
          </cell>
          <cell r="K16">
            <v>110225.3616</v>
          </cell>
          <cell r="L16">
            <v>113253.652</v>
          </cell>
          <cell r="M16">
            <v>115493.9599</v>
          </cell>
          <cell r="N16">
            <v>117160.499</v>
          </cell>
          <cell r="O16">
            <v>118485.60129999999</v>
          </cell>
          <cell r="P16">
            <v>119708.4152</v>
          </cell>
          <cell r="Q16">
            <v>120953.8333</v>
          </cell>
          <cell r="R16">
            <v>122325.452</v>
          </cell>
          <cell r="S16">
            <v>123850.88400000001</v>
          </cell>
          <cell r="T16">
            <v>125590.7944</v>
          </cell>
          <cell r="U16">
            <v>127576.9048</v>
          </cell>
          <cell r="V16">
            <v>129835.71189999999</v>
          </cell>
          <cell r="W16">
            <v>132418.53520000001</v>
          </cell>
          <cell r="X16">
            <v>135373.18950000001</v>
          </cell>
          <cell r="Y16">
            <v>138715.60949999999</v>
          </cell>
          <cell r="Z16">
            <v>142434.36189999999</v>
          </cell>
          <cell r="AA16">
            <v>146502.31409999999</v>
          </cell>
          <cell r="AB16">
            <v>150918.28760000001</v>
          </cell>
          <cell r="AC16">
            <v>155749.6189</v>
          </cell>
          <cell r="AD16">
            <v>160983.90150000001</v>
          </cell>
          <cell r="AE16">
            <v>166535.77849999999</v>
          </cell>
          <cell r="AF16">
            <v>172299.09390000001</v>
          </cell>
          <cell r="AG16">
            <v>178206.7383</v>
          </cell>
          <cell r="AH16">
            <v>184212.94570000001</v>
          </cell>
          <cell r="AI16">
            <v>190265.29310000001</v>
          </cell>
          <cell r="AJ16">
            <v>196311.13399999999</v>
          </cell>
          <cell r="AK16">
            <v>202299.6287</v>
          </cell>
        </row>
        <row r="17">
          <cell r="B17">
            <v>86954.635460000005</v>
          </cell>
          <cell r="C17">
            <v>89261.575209999995</v>
          </cell>
          <cell r="D17">
            <v>91698.814689999999</v>
          </cell>
          <cell r="E17">
            <v>94239.452439999994</v>
          </cell>
          <cell r="F17">
            <v>96892.213369999998</v>
          </cell>
          <cell r="G17">
            <v>99659.196039999995</v>
          </cell>
          <cell r="H17">
            <v>102530.98269999999</v>
          </cell>
          <cell r="I17">
            <v>105498.6159</v>
          </cell>
          <cell r="J17">
            <v>108553.8401</v>
          </cell>
          <cell r="K17">
            <v>111690.6961</v>
          </cell>
          <cell r="L17">
            <v>114728.8798</v>
          </cell>
          <cell r="M17">
            <v>117121.9319</v>
          </cell>
          <cell r="N17">
            <v>119105.4152</v>
          </cell>
          <cell r="O17">
            <v>120819.7611</v>
          </cell>
          <cell r="P17">
            <v>122407.72719999999</v>
          </cell>
          <cell r="Q17">
            <v>123986.944</v>
          </cell>
          <cell r="R17">
            <v>125652.63830000001</v>
          </cell>
          <cell r="S17">
            <v>127488.2522</v>
          </cell>
          <cell r="T17">
            <v>129556.7074</v>
          </cell>
          <cell r="U17">
            <v>131890.96369999999</v>
          </cell>
          <cell r="V17">
            <v>134516.60159999999</v>
          </cell>
          <cell r="W17">
            <v>137465.01199999999</v>
          </cell>
          <cell r="X17">
            <v>140771.93299999999</v>
          </cell>
          <cell r="Y17">
            <v>144451.2335</v>
          </cell>
          <cell r="Z17">
            <v>148489.77799999999</v>
          </cell>
          <cell r="AA17">
            <v>152859.21290000001</v>
          </cell>
          <cell r="AB17">
            <v>157559.80720000001</v>
          </cell>
          <cell r="AC17">
            <v>162618.31589999999</v>
          </cell>
          <cell r="AD17">
            <v>168032.23929999999</v>
          </cell>
          <cell r="AE17">
            <v>173725.76060000001</v>
          </cell>
          <cell r="AF17">
            <v>179600.10070000001</v>
          </cell>
          <cell r="AG17">
            <v>185579.58290000001</v>
          </cell>
          <cell r="AH17">
            <v>191612.6531</v>
          </cell>
          <cell r="AI17">
            <v>197656.1581</v>
          </cell>
          <cell r="AJ17">
            <v>203670.38140000001</v>
          </cell>
          <cell r="AK17">
            <v>209617.0441</v>
          </cell>
        </row>
        <row r="18">
          <cell r="B18">
            <v>29074.29581</v>
          </cell>
          <cell r="C18">
            <v>29807.501420000001</v>
          </cell>
          <cell r="D18">
            <v>30600.575939999999</v>
          </cell>
          <cell r="E18">
            <v>31432.412230000002</v>
          </cell>
          <cell r="F18">
            <v>32300.78859</v>
          </cell>
          <cell r="G18">
            <v>33203.280460000002</v>
          </cell>
          <cell r="H18">
            <v>34140.896990000001</v>
          </cell>
          <cell r="I18">
            <v>34914.926959999997</v>
          </cell>
          <cell r="J18">
            <v>35731.122430000003</v>
          </cell>
          <cell r="K18">
            <v>36867.318299999999</v>
          </cell>
          <cell r="L18">
            <v>37971.622069999998</v>
          </cell>
          <cell r="M18">
            <v>38835.051829999997</v>
          </cell>
          <cell r="N18">
            <v>39503.217389999998</v>
          </cell>
          <cell r="O18">
            <v>40044.11348</v>
          </cell>
          <cell r="P18">
            <v>40535.990769999997</v>
          </cell>
          <cell r="Q18">
            <v>41024.297250000003</v>
          </cell>
          <cell r="R18">
            <v>41516.153109999999</v>
          </cell>
          <cell r="S18">
            <v>42057.552219999998</v>
          </cell>
          <cell r="T18">
            <v>42674.017050000002</v>
          </cell>
          <cell r="U18">
            <v>43381.77506</v>
          </cell>
          <cell r="V18">
            <v>44189.238669999999</v>
          </cell>
          <cell r="W18">
            <v>45111.956259999999</v>
          </cell>
          <cell r="X18">
            <v>46164.979850000003</v>
          </cell>
          <cell r="Y18">
            <v>47354.508620000001</v>
          </cell>
          <cell r="Z18">
            <v>48678.781790000001</v>
          </cell>
          <cell r="AA18">
            <v>50129.329539999999</v>
          </cell>
          <cell r="AB18">
            <v>51688.792179999997</v>
          </cell>
          <cell r="AC18">
            <v>53376.362229999999</v>
          </cell>
          <cell r="AD18">
            <v>55194.073949999998</v>
          </cell>
          <cell r="AE18">
            <v>57118.701760000004</v>
          </cell>
          <cell r="AF18">
            <v>59118.177969999997</v>
          </cell>
          <cell r="AG18">
            <v>61169.154369999997</v>
          </cell>
          <cell r="AH18">
            <v>63255.416729999997</v>
          </cell>
          <cell r="AI18">
            <v>65359.104339999998</v>
          </cell>
          <cell r="AJ18">
            <v>67462.418260000006</v>
          </cell>
          <cell r="AK18">
            <v>69548.062030000001</v>
          </cell>
        </row>
        <row r="19">
          <cell r="B19">
            <v>29074.29581</v>
          </cell>
          <cell r="C19">
            <v>29807.501420000001</v>
          </cell>
          <cell r="D19">
            <v>30600.575939999999</v>
          </cell>
          <cell r="E19">
            <v>31432.412230000002</v>
          </cell>
          <cell r="F19">
            <v>32300.78859</v>
          </cell>
          <cell r="G19">
            <v>33203.280469999998</v>
          </cell>
          <cell r="H19">
            <v>34140.896999999997</v>
          </cell>
          <cell r="I19">
            <v>35109.12715</v>
          </cell>
          <cell r="J19">
            <v>36105.262649999997</v>
          </cell>
          <cell r="K19">
            <v>37128.117639999997</v>
          </cell>
          <cell r="L19">
            <v>38125.399649999999</v>
          </cell>
          <cell r="M19">
            <v>38929.513440000002</v>
          </cell>
          <cell r="N19">
            <v>39606.389049999998</v>
          </cell>
          <cell r="O19">
            <v>40200.444739999999</v>
          </cell>
          <cell r="P19">
            <v>40756.978690000004</v>
          </cell>
          <cell r="Q19">
            <v>41313.842219999999</v>
          </cell>
          <cell r="R19">
            <v>41902.043949999999</v>
          </cell>
          <cell r="S19">
            <v>42548.744879999998</v>
          </cell>
          <cell r="T19">
            <v>43274.816830000003</v>
          </cell>
          <cell r="U19">
            <v>44091.98257</v>
          </cell>
          <cell r="V19">
            <v>45008.69369</v>
          </cell>
          <cell r="W19">
            <v>46035.814250000003</v>
          </cell>
          <cell r="X19">
            <v>47185.149400000002</v>
          </cell>
          <cell r="Y19">
            <v>48461.817589999999</v>
          </cell>
          <cell r="Z19">
            <v>49862.621700000003</v>
          </cell>
          <cell r="AA19">
            <v>51377.53703</v>
          </cell>
          <cell r="AB19">
            <v>52981.274239999999</v>
          </cell>
          <cell r="AC19">
            <v>54687.693039999998</v>
          </cell>
          <cell r="AD19">
            <v>56501.350550000003</v>
          </cell>
          <cell r="AE19">
            <v>58401.492789999997</v>
          </cell>
          <cell r="AF19">
            <v>60358.102330000002</v>
          </cell>
          <cell r="AG19">
            <v>62346.931049999999</v>
          </cell>
          <cell r="AH19">
            <v>64350.814879999998</v>
          </cell>
          <cell r="AI19">
            <v>66355.338130000004</v>
          </cell>
          <cell r="AJ19">
            <v>68347.337679999997</v>
          </cell>
          <cell r="AK19">
            <v>70314.298540000003</v>
          </cell>
        </row>
        <row r="20">
          <cell r="B20">
            <v>80199.736019999997</v>
          </cell>
          <cell r="C20">
            <v>82172.766759999999</v>
          </cell>
          <cell r="D20">
            <v>84330.314610000001</v>
          </cell>
          <cell r="E20">
            <v>86581.951159999997</v>
          </cell>
          <cell r="F20">
            <v>88937.509149999998</v>
          </cell>
          <cell r="G20">
            <v>91396.006729999994</v>
          </cell>
          <cell r="H20">
            <v>93963.543009999994</v>
          </cell>
          <cell r="I20">
            <v>95996.165980000005</v>
          </cell>
          <cell r="J20">
            <v>98092.787639999995</v>
          </cell>
          <cell r="K20">
            <v>100972.2853</v>
          </cell>
          <cell r="L20">
            <v>103701.63710000001</v>
          </cell>
          <cell r="M20">
            <v>105821.2697</v>
          </cell>
          <cell r="N20">
            <v>107470.7467</v>
          </cell>
          <cell r="O20">
            <v>108840.0947</v>
          </cell>
          <cell r="P20">
            <v>110137.2828</v>
          </cell>
          <cell r="Q20">
            <v>111478.9774</v>
          </cell>
          <cell r="R20">
            <v>112902.92419999999</v>
          </cell>
          <cell r="S20">
            <v>114486.06759999999</v>
          </cell>
          <cell r="T20">
            <v>116285.8734</v>
          </cell>
          <cell r="U20">
            <v>118336.4387</v>
          </cell>
          <cell r="V20">
            <v>120658.84940000001</v>
          </cell>
          <cell r="W20">
            <v>123301.01210000001</v>
          </cell>
          <cell r="X20">
            <v>126302.60189999999</v>
          </cell>
          <cell r="Y20">
            <v>129676.9621</v>
          </cell>
          <cell r="Z20">
            <v>133415.77170000001</v>
          </cell>
          <cell r="AA20">
            <v>137496.83199999999</v>
          </cell>
          <cell r="AB20">
            <v>141851.8363</v>
          </cell>
          <cell r="AC20">
            <v>146536.35860000001</v>
          </cell>
          <cell r="AD20">
            <v>151550.90979999999</v>
          </cell>
          <cell r="AE20">
            <v>156831.2818</v>
          </cell>
          <cell r="AF20">
            <v>162290.68</v>
          </cell>
          <cell r="AG20">
            <v>167873.09909999999</v>
          </cell>
          <cell r="AH20">
            <v>173537.94709999999</v>
          </cell>
          <cell r="AI20">
            <v>179239.5448</v>
          </cell>
          <cell r="AJ20">
            <v>184933.0919</v>
          </cell>
          <cell r="AK20">
            <v>190576.03349999999</v>
          </cell>
        </row>
        <row r="21">
          <cell r="B21">
            <v>80199.736019999997</v>
          </cell>
          <cell r="C21">
            <v>82172.766759999999</v>
          </cell>
          <cell r="D21">
            <v>84330.314620000005</v>
          </cell>
          <cell r="E21">
            <v>86581.95117</v>
          </cell>
          <cell r="F21">
            <v>88937.509160000001</v>
          </cell>
          <cell r="G21">
            <v>91396.00675</v>
          </cell>
          <cell r="H21">
            <v>93963.543040000004</v>
          </cell>
          <cell r="I21">
            <v>96629.569499999998</v>
          </cell>
          <cell r="J21">
            <v>99387.023939999999</v>
          </cell>
          <cell r="K21">
            <v>102233.0965</v>
          </cell>
          <cell r="L21">
            <v>105023.4614</v>
          </cell>
          <cell r="M21">
            <v>107303.2681</v>
          </cell>
          <cell r="N21">
            <v>109249.51360000001</v>
          </cell>
          <cell r="O21">
            <v>110990.49619999999</v>
          </cell>
          <cell r="P21">
            <v>112655.37579999999</v>
          </cell>
          <cell r="Q21">
            <v>114349.7182</v>
          </cell>
          <cell r="R21">
            <v>116157.499</v>
          </cell>
          <cell r="S21">
            <v>118149.69560000001</v>
          </cell>
          <cell r="T21">
            <v>120379.54580000001</v>
          </cell>
          <cell r="U21">
            <v>122874.94560000001</v>
          </cell>
          <cell r="V21">
            <v>125656.40790000001</v>
          </cell>
          <cell r="W21">
            <v>128747.1381</v>
          </cell>
          <cell r="X21">
            <v>132177.21530000001</v>
          </cell>
          <cell r="Y21">
            <v>135959.21739999999</v>
          </cell>
          <cell r="Z21">
            <v>140083.23670000001</v>
          </cell>
          <cell r="AA21">
            <v>144525.23480000001</v>
          </cell>
          <cell r="AB21">
            <v>149203.24609999999</v>
          </cell>
          <cell r="AC21">
            <v>154147.3677</v>
          </cell>
          <cell r="AD21">
            <v>159371.49890000001</v>
          </cell>
          <cell r="AE21">
            <v>164821.9725</v>
          </cell>
          <cell r="AF21">
            <v>170419.0441</v>
          </cell>
          <cell r="AG21">
            <v>176098.70699999999</v>
          </cell>
          <cell r="AH21">
            <v>181817.17230000001</v>
          </cell>
          <cell r="AI21">
            <v>187538.96479999999</v>
          </cell>
          <cell r="AJ21">
            <v>193232.32120000001</v>
          </cell>
          <cell r="AK21">
            <v>198867.0986</v>
          </cell>
        </row>
        <row r="22">
          <cell r="B22">
            <v>81062.43075</v>
          </cell>
          <cell r="C22">
            <v>83770.228560000003</v>
          </cell>
          <cell r="D22">
            <v>86544.501749999996</v>
          </cell>
          <cell r="E22">
            <v>89368.950289999993</v>
          </cell>
          <cell r="F22">
            <v>92255.16704</v>
          </cell>
          <cell r="G22">
            <v>95207.379839999994</v>
          </cell>
          <cell r="H22">
            <v>98231.446630000006</v>
          </cell>
          <cell r="I22">
            <v>100472.59299999999</v>
          </cell>
          <cell r="J22">
            <v>102890.4914</v>
          </cell>
          <cell r="K22">
            <v>106484.31570000001</v>
          </cell>
          <cell r="L22">
            <v>109864.8817</v>
          </cell>
          <cell r="M22">
            <v>112336.2285</v>
          </cell>
          <cell r="N22">
            <v>114144.32120000001</v>
          </cell>
          <cell r="O22">
            <v>115564.4742</v>
          </cell>
          <cell r="P22">
            <v>116885.5331</v>
          </cell>
          <cell r="Q22">
            <v>118255.8199</v>
          </cell>
          <cell r="R22">
            <v>119700.4385</v>
          </cell>
          <cell r="S22">
            <v>121347.45510000001</v>
          </cell>
          <cell r="T22">
            <v>123261.4154</v>
          </cell>
          <cell r="U22">
            <v>125471.3789</v>
          </cell>
          <cell r="V22">
            <v>128003.0463</v>
          </cell>
          <cell r="W22">
            <v>130889.64350000001</v>
          </cell>
          <cell r="X22">
            <v>134172.70980000001</v>
          </cell>
          <cell r="Y22">
            <v>137861.5863</v>
          </cell>
          <cell r="Z22">
            <v>141937.85079999999</v>
          </cell>
          <cell r="AA22">
            <v>146381.61720000001</v>
          </cell>
          <cell r="AB22">
            <v>151132.7954</v>
          </cell>
          <cell r="AC22">
            <v>156291.74419999999</v>
          </cell>
          <cell r="AD22">
            <v>161848.98540000001</v>
          </cell>
          <cell r="AE22">
            <v>167712.5796</v>
          </cell>
          <cell r="AF22">
            <v>173771.50219999999</v>
          </cell>
          <cell r="AG22">
            <v>179955.17790000001</v>
          </cell>
          <cell r="AH22">
            <v>186222.4185</v>
          </cell>
          <cell r="AI22">
            <v>192527.158</v>
          </cell>
          <cell r="AJ22">
            <v>198824.22399999999</v>
          </cell>
          <cell r="AK22">
            <v>205070.1611</v>
          </cell>
        </row>
        <row r="23">
          <cell r="B23">
            <v>81062.43075</v>
          </cell>
          <cell r="C23">
            <v>83770.228560000003</v>
          </cell>
          <cell r="D23">
            <v>86544.501749999996</v>
          </cell>
          <cell r="E23">
            <v>89368.950299999997</v>
          </cell>
          <cell r="F23">
            <v>92255.167050000004</v>
          </cell>
          <cell r="G23">
            <v>95207.379849999998</v>
          </cell>
          <cell r="H23">
            <v>98231.446649999998</v>
          </cell>
          <cell r="I23">
            <v>101325.0876</v>
          </cell>
          <cell r="J23">
            <v>104489.0882</v>
          </cell>
          <cell r="K23">
            <v>107727.0083</v>
          </cell>
          <cell r="L23">
            <v>110834.163</v>
          </cell>
          <cell r="M23">
            <v>113206.9571</v>
          </cell>
          <cell r="N23">
            <v>115157.8547</v>
          </cell>
          <cell r="O23">
            <v>116864.2254</v>
          </cell>
          <cell r="P23">
            <v>118494.7209</v>
          </cell>
          <cell r="Q23">
            <v>120178.3076</v>
          </cell>
          <cell r="R23">
            <v>122011.8854</v>
          </cell>
          <cell r="S23">
            <v>124075.4463</v>
          </cell>
          <cell r="T23">
            <v>126424.6234</v>
          </cell>
          <cell r="U23">
            <v>129081.47689999999</v>
          </cell>
          <cell r="V23">
            <v>132066.88279999999</v>
          </cell>
          <cell r="W23">
            <v>135398.61300000001</v>
          </cell>
          <cell r="X23">
            <v>139110.32750000001</v>
          </cell>
          <cell r="Y23">
            <v>143210.73329999999</v>
          </cell>
          <cell r="Z23">
            <v>147678.40900000001</v>
          </cell>
          <cell r="AA23">
            <v>152489.7347</v>
          </cell>
          <cell r="AB23">
            <v>157607.85939999999</v>
          </cell>
          <cell r="AC23">
            <v>163072.68830000001</v>
          </cell>
          <cell r="AD23">
            <v>168885.8138</v>
          </cell>
          <cell r="AE23">
            <v>174961.72200000001</v>
          </cell>
          <cell r="AF23">
            <v>181192.17860000001</v>
          </cell>
          <cell r="AG23">
            <v>187500.37169999999</v>
          </cell>
          <cell r="AH23">
            <v>193839.86679999999</v>
          </cell>
          <cell r="AI23">
            <v>200174.5527</v>
          </cell>
          <cell r="AJ23">
            <v>206472.19020000001</v>
          </cell>
          <cell r="AK23">
            <v>212701.67430000001</v>
          </cell>
        </row>
        <row r="24">
          <cell r="B24">
            <v>104606.526</v>
          </cell>
          <cell r="C24">
            <v>106727.94100000001</v>
          </cell>
          <cell r="D24">
            <v>109166.7558</v>
          </cell>
          <cell r="E24">
            <v>111831.3749</v>
          </cell>
          <cell r="F24">
            <v>114681.6577</v>
          </cell>
          <cell r="G24">
            <v>117687.4286</v>
          </cell>
          <cell r="H24">
            <v>120824.1488</v>
          </cell>
          <cell r="I24">
            <v>123605.1015</v>
          </cell>
          <cell r="J24">
            <v>126480.4457</v>
          </cell>
          <cell r="K24">
            <v>130230.8064</v>
          </cell>
          <cell r="L24">
            <v>134033.58040000001</v>
          </cell>
          <cell r="M24">
            <v>137308.9271</v>
          </cell>
          <cell r="N24">
            <v>140122.74540000001</v>
          </cell>
          <cell r="O24">
            <v>142609.13579999999</v>
          </cell>
          <cell r="P24">
            <v>144947.72099999999</v>
          </cell>
          <cell r="Q24">
            <v>147252.16990000001</v>
          </cell>
          <cell r="R24">
            <v>149497.69639999999</v>
          </cell>
          <cell r="S24">
            <v>151840.5662</v>
          </cell>
          <cell r="T24">
            <v>154361.37710000001</v>
          </cell>
          <cell r="U24">
            <v>157115.7746</v>
          </cell>
          <cell r="V24">
            <v>160131.43659999999</v>
          </cell>
          <cell r="W24">
            <v>163465.44500000001</v>
          </cell>
          <cell r="X24">
            <v>167160.79879999999</v>
          </cell>
          <cell r="Y24">
            <v>171241.19630000001</v>
          </cell>
          <cell r="Z24">
            <v>175708.9271</v>
          </cell>
          <cell r="AA24">
            <v>180524.75099999999</v>
          </cell>
          <cell r="AB24">
            <v>185714.978</v>
          </cell>
          <cell r="AC24">
            <v>191268.8394</v>
          </cell>
          <cell r="AD24">
            <v>197195.5221</v>
          </cell>
          <cell r="AE24">
            <v>203451.5551</v>
          </cell>
          <cell r="AF24">
            <v>209966.77830000001</v>
          </cell>
          <cell r="AG24">
            <v>216681.52780000001</v>
          </cell>
          <cell r="AH24">
            <v>223548.4566</v>
          </cell>
          <cell r="AI24">
            <v>230518.976</v>
          </cell>
          <cell r="AJ24">
            <v>237544.71249999999</v>
          </cell>
          <cell r="AK24">
            <v>244576.74220000001</v>
          </cell>
        </row>
        <row r="25">
          <cell r="B25">
            <v>104606.526</v>
          </cell>
          <cell r="C25">
            <v>106727.94100000001</v>
          </cell>
          <cell r="D25">
            <v>109166.7558</v>
          </cell>
          <cell r="E25">
            <v>111831.3749</v>
          </cell>
          <cell r="F25">
            <v>114681.6577</v>
          </cell>
          <cell r="G25">
            <v>117687.4286</v>
          </cell>
          <cell r="H25">
            <v>120824.1488</v>
          </cell>
          <cell r="I25">
            <v>124076.9356</v>
          </cell>
          <cell r="J25">
            <v>127436.9831</v>
          </cell>
          <cell r="K25">
            <v>130900.2012</v>
          </cell>
          <cell r="L25">
            <v>134342.6709</v>
          </cell>
          <cell r="M25">
            <v>137316.65340000001</v>
          </cell>
          <cell r="N25">
            <v>139946.38</v>
          </cell>
          <cell r="O25">
            <v>142332.49100000001</v>
          </cell>
          <cell r="P25">
            <v>144587.70610000001</v>
          </cell>
          <cell r="Q25">
            <v>146812.6268</v>
          </cell>
          <cell r="R25">
            <v>149096.43700000001</v>
          </cell>
          <cell r="S25">
            <v>151520.6985</v>
          </cell>
          <cell r="T25">
            <v>154150.52609999999</v>
          </cell>
          <cell r="U25">
            <v>157025.6005</v>
          </cell>
          <cell r="V25">
            <v>160166.66899999999</v>
          </cell>
          <cell r="W25">
            <v>163617.23939999999</v>
          </cell>
          <cell r="X25">
            <v>167412.25899999999</v>
          </cell>
          <cell r="Y25">
            <v>171570.321</v>
          </cell>
          <cell r="Z25">
            <v>176086.5471</v>
          </cell>
          <cell r="AA25">
            <v>180914.83840000001</v>
          </cell>
          <cell r="AB25">
            <v>186028.23699999999</v>
          </cell>
          <cell r="AC25">
            <v>191449.49429999999</v>
          </cell>
          <cell r="AD25">
            <v>197192.92920000001</v>
          </cell>
          <cell r="AE25">
            <v>203216.6954</v>
          </cell>
          <cell r="AF25">
            <v>209451.27189999999</v>
          </cell>
          <cell r="AG25">
            <v>215835.87059999999</v>
          </cell>
          <cell r="AH25">
            <v>222324.16140000001</v>
          </cell>
          <cell r="AI25">
            <v>228874.78829999999</v>
          </cell>
          <cell r="AJ25">
            <v>235447.73250000001</v>
          </cell>
          <cell r="AK25">
            <v>242002.739</v>
          </cell>
        </row>
        <row r="26">
          <cell r="B26">
            <v>271065.2965</v>
          </cell>
          <cell r="C26">
            <v>275219.05920000002</v>
          </cell>
          <cell r="D26">
            <v>280245.28389999998</v>
          </cell>
          <cell r="E26">
            <v>286031.89620000002</v>
          </cell>
          <cell r="F26">
            <v>292519.16440000001</v>
          </cell>
          <cell r="G26">
            <v>299625.81939999998</v>
          </cell>
          <cell r="H26">
            <v>307402.10019999999</v>
          </cell>
          <cell r="I26">
            <v>315204.55530000001</v>
          </cell>
          <cell r="J26">
            <v>323190.60100000002</v>
          </cell>
          <cell r="K26">
            <v>332046.04019999999</v>
          </cell>
          <cell r="L26">
            <v>341689.00040000002</v>
          </cell>
          <cell r="M26">
            <v>351747.5797</v>
          </cell>
          <cell r="N26">
            <v>362051.18089999998</v>
          </cell>
          <cell r="O26">
            <v>372549.86920000002</v>
          </cell>
          <cell r="P26">
            <v>383285.35200000001</v>
          </cell>
          <cell r="Q26">
            <v>394327.21600000001</v>
          </cell>
          <cell r="R26">
            <v>405690.1496</v>
          </cell>
          <cell r="S26">
            <v>417444.31300000002</v>
          </cell>
          <cell r="T26">
            <v>429703.46720000001</v>
          </cell>
          <cell r="U26">
            <v>442592.75760000001</v>
          </cell>
          <cell r="V26">
            <v>456204.3897</v>
          </cell>
          <cell r="W26">
            <v>470701.24739999999</v>
          </cell>
          <cell r="X26">
            <v>486197.36849999998</v>
          </cell>
          <cell r="Y26">
            <v>502809.73389999999</v>
          </cell>
          <cell r="Z26">
            <v>520643.72850000003</v>
          </cell>
          <cell r="AA26">
            <v>539697.43460000004</v>
          </cell>
          <cell r="AB26">
            <v>559078.23670000001</v>
          </cell>
          <cell r="AC26">
            <v>578753.57689999999</v>
          </cell>
          <cell r="AD26">
            <v>598887.14359999995</v>
          </cell>
          <cell r="AE26">
            <v>619605.54749999999</v>
          </cell>
          <cell r="AF26">
            <v>640953.14950000006</v>
          </cell>
          <cell r="AG26">
            <v>662903.05700000003</v>
          </cell>
          <cell r="AH26">
            <v>685371.89910000004</v>
          </cell>
          <cell r="AI26">
            <v>708269.68799999997</v>
          </cell>
          <cell r="AJ26">
            <v>731501.6557</v>
          </cell>
          <cell r="AK26">
            <v>754963.56229999999</v>
          </cell>
        </row>
        <row r="27">
          <cell r="B27">
            <v>271065.2965</v>
          </cell>
          <cell r="C27">
            <v>275219.05920000002</v>
          </cell>
          <cell r="D27">
            <v>280245.28389999998</v>
          </cell>
          <cell r="E27">
            <v>286031.89620000002</v>
          </cell>
          <cell r="F27">
            <v>292519.16440000001</v>
          </cell>
          <cell r="G27">
            <v>299625.81929999997</v>
          </cell>
          <cell r="H27">
            <v>307402.10019999999</v>
          </cell>
          <cell r="I27">
            <v>315793.38780000003</v>
          </cell>
          <cell r="J27">
            <v>324767.05119999999</v>
          </cell>
          <cell r="K27">
            <v>334317.52649999998</v>
          </cell>
          <cell r="L27">
            <v>344396.58059999999</v>
          </cell>
          <cell r="M27">
            <v>354553.52830000001</v>
          </cell>
          <cell r="N27">
            <v>364671.2586</v>
          </cell>
          <cell r="O27">
            <v>374754.11900000001</v>
          </cell>
          <cell r="P27">
            <v>384860.56790000002</v>
          </cell>
          <cell r="Q27">
            <v>395073.35399999999</v>
          </cell>
          <cell r="R27">
            <v>405511.08740000002</v>
          </cell>
          <cell r="S27">
            <v>416291.8014</v>
          </cell>
          <cell r="T27">
            <v>427529.4706</v>
          </cell>
          <cell r="U27">
            <v>439320.55180000002</v>
          </cell>
          <cell r="V27">
            <v>451716.41009999998</v>
          </cell>
          <cell r="W27">
            <v>464824.93819999998</v>
          </cell>
          <cell r="X27">
            <v>478742.33500000002</v>
          </cell>
          <cell r="Y27">
            <v>493559.69130000001</v>
          </cell>
          <cell r="Z27">
            <v>509348.14049999998</v>
          </cell>
          <cell r="AA27">
            <v>526074.04429999995</v>
          </cell>
          <cell r="AB27">
            <v>542875.69400000002</v>
          </cell>
          <cell r="AC27">
            <v>559795.92489999998</v>
          </cell>
          <cell r="AD27">
            <v>577042.19290000002</v>
          </cell>
          <cell r="AE27">
            <v>594761.97809999995</v>
          </cell>
          <cell r="AF27">
            <v>613009.87450000003</v>
          </cell>
          <cell r="AG27">
            <v>631781.10750000004</v>
          </cell>
          <cell r="AH27">
            <v>651040.81350000005</v>
          </cell>
          <cell r="AI27">
            <v>670734.5906</v>
          </cell>
          <cell r="AJ27">
            <v>690792.1825</v>
          </cell>
          <cell r="AK27">
            <v>711128.08120000002</v>
          </cell>
        </row>
        <row r="28">
          <cell r="B28">
            <v>6784.9748460000001</v>
          </cell>
          <cell r="C28">
            <v>6898.5969670000004</v>
          </cell>
          <cell r="D28">
            <v>7023.3105139999998</v>
          </cell>
          <cell r="E28">
            <v>7157.327147</v>
          </cell>
          <cell r="F28">
            <v>7301.0401430000002</v>
          </cell>
          <cell r="G28">
            <v>7453.3067289999999</v>
          </cell>
          <cell r="H28">
            <v>7612.9183700000003</v>
          </cell>
          <cell r="I28">
            <v>7750.4376819999998</v>
          </cell>
          <cell r="J28">
            <v>7889.1109120000001</v>
          </cell>
          <cell r="K28">
            <v>8061.7070729999996</v>
          </cell>
          <cell r="L28">
            <v>8232.2816870000006</v>
          </cell>
          <cell r="M28">
            <v>8380.3727220000001</v>
          </cell>
          <cell r="N28">
            <v>8508.4054080000005</v>
          </cell>
          <cell r="O28">
            <v>8621.0208060000004</v>
          </cell>
          <cell r="P28">
            <v>8725.0246040000002</v>
          </cell>
          <cell r="Q28">
            <v>8824.9254110000002</v>
          </cell>
          <cell r="R28">
            <v>8922.2167119999995</v>
          </cell>
          <cell r="S28">
            <v>9021.150345</v>
          </cell>
          <cell r="T28">
            <v>9125.9562850000002</v>
          </cell>
          <cell r="U28">
            <v>9240.2411580000007</v>
          </cell>
          <cell r="V28">
            <v>9365.407185</v>
          </cell>
          <cell r="W28">
            <v>9505.6925859999992</v>
          </cell>
          <cell r="X28">
            <v>9663.5360880000007</v>
          </cell>
          <cell r="Y28">
            <v>9840.3830070000004</v>
          </cell>
          <cell r="Z28">
            <v>10036.649590000001</v>
          </cell>
          <cell r="AA28">
            <v>10250.14796</v>
          </cell>
          <cell r="AB28">
            <v>10479.795969999999</v>
          </cell>
          <cell r="AC28">
            <v>10728.411239999999</v>
          </cell>
          <cell r="AD28">
            <v>10997.02915</v>
          </cell>
          <cell r="AE28">
            <v>11283.718709999999</v>
          </cell>
          <cell r="AF28">
            <v>11585.03613</v>
          </cell>
          <cell r="AG28">
            <v>11898.118839999999</v>
          </cell>
          <cell r="AH28">
            <v>12220.303879999999</v>
          </cell>
          <cell r="AI28">
            <v>12548.72558</v>
          </cell>
          <cell r="AJ28">
            <v>12880.46766</v>
          </cell>
          <cell r="AK28">
            <v>13212.585370000001</v>
          </cell>
        </row>
        <row r="29">
          <cell r="B29">
            <v>6784.9748460000001</v>
          </cell>
          <cell r="C29">
            <v>6898.5969670000004</v>
          </cell>
          <cell r="D29">
            <v>7023.3105139999998</v>
          </cell>
          <cell r="E29">
            <v>7157.327147</v>
          </cell>
          <cell r="F29">
            <v>7301.0401430000002</v>
          </cell>
          <cell r="G29">
            <v>7453.3067289999999</v>
          </cell>
          <cell r="H29">
            <v>7612.9183700000003</v>
          </cell>
          <cell r="I29">
            <v>7778.463291</v>
          </cell>
          <cell r="J29">
            <v>7949.0046929999999</v>
          </cell>
          <cell r="K29">
            <v>8123.9240589999999</v>
          </cell>
          <cell r="L29">
            <v>8297.4674059999998</v>
          </cell>
          <cell r="M29">
            <v>8447.6535019999992</v>
          </cell>
          <cell r="N29">
            <v>8579.5582610000001</v>
          </cell>
          <cell r="O29">
            <v>8697.3542510000007</v>
          </cell>
          <cell r="P29">
            <v>8806.0931700000001</v>
          </cell>
          <cell r="Q29">
            <v>8910.6506580000005</v>
          </cell>
          <cell r="R29">
            <v>9015.675561</v>
          </cell>
          <cell r="S29">
            <v>9125.5136610000009</v>
          </cell>
          <cell r="T29">
            <v>9243.8116129999999</v>
          </cell>
          <cell r="U29">
            <v>9373.032072</v>
          </cell>
          <cell r="V29">
            <v>9514.4589759999999</v>
          </cell>
          <cell r="W29">
            <v>9670.9350149999991</v>
          </cell>
          <cell r="X29">
            <v>9844.3676360000009</v>
          </cell>
          <cell r="Y29">
            <v>10035.863170000001</v>
          </cell>
          <cell r="Z29">
            <v>10245.41984</v>
          </cell>
          <cell r="AA29">
            <v>10470.43914</v>
          </cell>
          <cell r="AB29">
            <v>10708.700500000001</v>
          </cell>
          <cell r="AC29">
            <v>10962.369909999999</v>
          </cell>
          <cell r="AD29">
            <v>11232.45847</v>
          </cell>
          <cell r="AE29">
            <v>11516.94391</v>
          </cell>
          <cell r="AF29">
            <v>11812.310750000001</v>
          </cell>
          <cell r="AG29">
            <v>12115.30961</v>
          </cell>
          <cell r="AH29">
            <v>12423.28364</v>
          </cell>
          <cell r="AI29">
            <v>12733.791380000001</v>
          </cell>
          <cell r="AJ29">
            <v>13044.479530000001</v>
          </cell>
          <cell r="AK29">
            <v>13353.037829999999</v>
          </cell>
        </row>
        <row r="30">
          <cell r="B30">
            <v>78057.025880000001</v>
          </cell>
          <cell r="C30">
            <v>79364.179550000001</v>
          </cell>
          <cell r="D30">
            <v>80798.933369999999</v>
          </cell>
          <cell r="E30">
            <v>82340.713560000004</v>
          </cell>
          <cell r="F30">
            <v>83994.044529999999</v>
          </cell>
          <cell r="G30">
            <v>85745.779370000004</v>
          </cell>
          <cell r="H30">
            <v>87582.014630000005</v>
          </cell>
          <cell r="I30">
            <v>89164.091010000004</v>
          </cell>
          <cell r="J30">
            <v>90759.44253</v>
          </cell>
          <cell r="K30">
            <v>92745.056819999998</v>
          </cell>
          <cell r="L30">
            <v>94707.414430000004</v>
          </cell>
          <cell r="M30">
            <v>96411.112089999995</v>
          </cell>
          <cell r="N30">
            <v>97884.050589999999</v>
          </cell>
          <cell r="O30">
            <v>99179.622529999993</v>
          </cell>
          <cell r="P30">
            <v>100376.1232</v>
          </cell>
          <cell r="Q30">
            <v>101525.4215</v>
          </cell>
          <cell r="R30">
            <v>102644.69899999999</v>
          </cell>
          <cell r="S30">
            <v>103782.8705</v>
          </cell>
          <cell r="T30">
            <v>104988.59940000001</v>
          </cell>
          <cell r="U30">
            <v>106303.37760000001</v>
          </cell>
          <cell r="V30">
            <v>107743.33689999999</v>
          </cell>
          <cell r="W30">
            <v>109357.2355</v>
          </cell>
          <cell r="X30">
            <v>111173.12940000001</v>
          </cell>
          <cell r="Y30">
            <v>113207.6461</v>
          </cell>
          <cell r="Z30">
            <v>115465.57429999999</v>
          </cell>
          <cell r="AA30">
            <v>117921.7436</v>
          </cell>
          <cell r="AB30">
            <v>120563.7049</v>
          </cell>
          <cell r="AC30">
            <v>123423.87300000001</v>
          </cell>
          <cell r="AD30">
            <v>126514.1594</v>
          </cell>
          <cell r="AE30">
            <v>129812.34910000001</v>
          </cell>
          <cell r="AF30">
            <v>133278.8235</v>
          </cell>
          <cell r="AG30">
            <v>136880.65040000001</v>
          </cell>
          <cell r="AH30">
            <v>140587.1942</v>
          </cell>
          <cell r="AI30">
            <v>144365.48689999999</v>
          </cell>
          <cell r="AJ30">
            <v>148181.9786</v>
          </cell>
          <cell r="AK30">
            <v>152002.7917</v>
          </cell>
        </row>
        <row r="31">
          <cell r="B31">
            <v>78057.025880000001</v>
          </cell>
          <cell r="C31">
            <v>79364.179550000001</v>
          </cell>
          <cell r="D31">
            <v>80798.933369999999</v>
          </cell>
          <cell r="E31">
            <v>82340.713560000004</v>
          </cell>
          <cell r="F31">
            <v>83994.044529999999</v>
          </cell>
          <cell r="G31">
            <v>85745.779370000004</v>
          </cell>
          <cell r="H31">
            <v>87582.014620000002</v>
          </cell>
          <cell r="I31">
            <v>89486.508669999996</v>
          </cell>
          <cell r="J31">
            <v>91448.484200000006</v>
          </cell>
          <cell r="K31">
            <v>93460.825559999997</v>
          </cell>
          <cell r="L31">
            <v>95457.336639999994</v>
          </cell>
          <cell r="M31">
            <v>97185.136710000006</v>
          </cell>
          <cell r="N31">
            <v>98702.621069999994</v>
          </cell>
          <cell r="O31">
            <v>100057.7926</v>
          </cell>
          <cell r="P31">
            <v>101308.768</v>
          </cell>
          <cell r="Q31">
            <v>102511.6385</v>
          </cell>
          <cell r="R31">
            <v>103719.8864</v>
          </cell>
          <cell r="S31">
            <v>104983.5073</v>
          </cell>
          <cell r="T31">
            <v>106344.4535</v>
          </cell>
          <cell r="U31">
            <v>107831.0566</v>
          </cell>
          <cell r="V31">
            <v>109458.08749999999</v>
          </cell>
          <cell r="W31">
            <v>111258.2496</v>
          </cell>
          <cell r="X31">
            <v>113253.4868</v>
          </cell>
          <cell r="Y31">
            <v>115456.527</v>
          </cell>
          <cell r="Z31">
            <v>117867.3495</v>
          </cell>
          <cell r="AA31">
            <v>120456.0603</v>
          </cell>
          <cell r="AB31">
            <v>123197.11289999999</v>
          </cell>
          <cell r="AC31">
            <v>126115.42570000001</v>
          </cell>
          <cell r="AD31">
            <v>129222.6311</v>
          </cell>
          <cell r="AE31">
            <v>132495.4638</v>
          </cell>
          <cell r="AF31">
            <v>135893.4803</v>
          </cell>
          <cell r="AG31">
            <v>139379.29860000001</v>
          </cell>
          <cell r="AH31">
            <v>142922.35329999999</v>
          </cell>
          <cell r="AI31">
            <v>146494.5569</v>
          </cell>
          <cell r="AJ31">
            <v>150068.8358</v>
          </cell>
          <cell r="AK31">
            <v>153618.6121</v>
          </cell>
        </row>
        <row r="32">
          <cell r="B32">
            <v>15432.76406</v>
          </cell>
          <cell r="C32">
            <v>16004.281849999999</v>
          </cell>
          <cell r="D32">
            <v>16573.082399999999</v>
          </cell>
          <cell r="E32">
            <v>17139.34463</v>
          </cell>
          <cell r="F32">
            <v>17714.459589999999</v>
          </cell>
          <cell r="G32">
            <v>18303.076440000001</v>
          </cell>
          <cell r="H32">
            <v>18906.487799999999</v>
          </cell>
          <cell r="I32">
            <v>19300.995220000001</v>
          </cell>
          <cell r="J32">
            <v>19717.806189999999</v>
          </cell>
          <cell r="K32">
            <v>20360.21211</v>
          </cell>
          <cell r="L32">
            <v>20906.976350000001</v>
          </cell>
          <cell r="M32">
            <v>21250.445540000001</v>
          </cell>
          <cell r="N32">
            <v>21467.889650000001</v>
          </cell>
          <cell r="O32">
            <v>21625.806570000001</v>
          </cell>
          <cell r="P32">
            <v>21785.017380000001</v>
          </cell>
          <cell r="Q32">
            <v>21972.25951</v>
          </cell>
          <cell r="R32">
            <v>22209.137299999999</v>
          </cell>
          <cell r="S32">
            <v>22492.399669999999</v>
          </cell>
          <cell r="T32">
            <v>22831.414659999999</v>
          </cell>
          <cell r="U32">
            <v>23230.58136</v>
          </cell>
          <cell r="V32">
            <v>23694.35367</v>
          </cell>
          <cell r="W32">
            <v>24231.81856</v>
          </cell>
          <cell r="X32">
            <v>24852.619350000001</v>
          </cell>
          <cell r="Y32">
            <v>25558.450560000001</v>
          </cell>
          <cell r="Z32">
            <v>26344.7156</v>
          </cell>
          <cell r="AA32">
            <v>27209.105090000001</v>
          </cell>
          <cell r="AB32">
            <v>28158.821499999998</v>
          </cell>
          <cell r="AC32">
            <v>29206.466840000001</v>
          </cell>
          <cell r="AD32">
            <v>30348.776389999999</v>
          </cell>
          <cell r="AE32">
            <v>31565.076430000001</v>
          </cell>
          <cell r="AF32">
            <v>32831.564890000001</v>
          </cell>
          <cell r="AG32">
            <v>34135.668640000004</v>
          </cell>
          <cell r="AH32">
            <v>35469.985030000003</v>
          </cell>
          <cell r="AI32">
            <v>36825.11058</v>
          </cell>
          <cell r="AJ32">
            <v>38191.14703</v>
          </cell>
          <cell r="AK32">
            <v>39558.066449999998</v>
          </cell>
        </row>
        <row r="33">
          <cell r="B33">
            <v>15432.76406</v>
          </cell>
          <cell r="C33">
            <v>16004.281849999999</v>
          </cell>
          <cell r="D33">
            <v>16573.082399999999</v>
          </cell>
          <cell r="E33">
            <v>17139.34463</v>
          </cell>
          <cell r="F33">
            <v>17714.459589999999</v>
          </cell>
          <cell r="G33">
            <v>18303.076440000001</v>
          </cell>
          <cell r="H33">
            <v>18906.487799999999</v>
          </cell>
          <cell r="I33">
            <v>19524.984420000001</v>
          </cell>
          <cell r="J33">
            <v>20158.913229999998</v>
          </cell>
          <cell r="K33">
            <v>20808.951929999999</v>
          </cell>
          <cell r="L33">
            <v>21427.82548</v>
          </cell>
          <cell r="M33">
            <v>21882.794969999999</v>
          </cell>
          <cell r="N33">
            <v>22248.716199999999</v>
          </cell>
          <cell r="O33">
            <v>22565.64157</v>
          </cell>
          <cell r="P33">
            <v>22870.867119999999</v>
          </cell>
          <cell r="Q33">
            <v>23192.012299999999</v>
          </cell>
          <cell r="R33">
            <v>23548.91374</v>
          </cell>
          <cell r="S33">
            <v>23957.468219999999</v>
          </cell>
          <cell r="T33">
            <v>24427.858179999999</v>
          </cell>
          <cell r="U33">
            <v>24962.730090000001</v>
          </cell>
          <cell r="V33">
            <v>25565.520759999999</v>
          </cell>
          <cell r="W33">
            <v>26237.764759999998</v>
          </cell>
          <cell r="X33">
            <v>26985.613850000002</v>
          </cell>
          <cell r="Y33">
            <v>27809.77131</v>
          </cell>
          <cell r="Z33">
            <v>28704.45693</v>
          </cell>
          <cell r="AA33">
            <v>29666.006460000001</v>
          </cell>
          <cell r="AB33">
            <v>30694.20896</v>
          </cell>
          <cell r="AC33">
            <v>31796.051090000001</v>
          </cell>
          <cell r="AD33">
            <v>32969.792739999997</v>
          </cell>
          <cell r="AE33">
            <v>34195.559029999997</v>
          </cell>
          <cell r="AF33">
            <v>35449.836730000003</v>
          </cell>
          <cell r="AG33">
            <v>36717.140249999997</v>
          </cell>
          <cell r="AH33">
            <v>37989.143120000001</v>
          </cell>
          <cell r="AI33">
            <v>39259.834750000002</v>
          </cell>
          <cell r="AJ33">
            <v>40523.978419999999</v>
          </cell>
          <cell r="AK33">
            <v>41776.425150000003</v>
          </cell>
        </row>
        <row r="34">
          <cell r="B34">
            <v>20624.485860000001</v>
          </cell>
          <cell r="C34">
            <v>21145.63781</v>
          </cell>
          <cell r="D34">
            <v>21698.67871</v>
          </cell>
          <cell r="E34">
            <v>22259.880219999999</v>
          </cell>
          <cell r="F34">
            <v>22867.946510000002</v>
          </cell>
          <cell r="G34">
            <v>23533.61262</v>
          </cell>
          <cell r="H34">
            <v>24250.848890000001</v>
          </cell>
          <cell r="I34">
            <v>24798.932260000001</v>
          </cell>
          <cell r="J34">
            <v>25280.374589999999</v>
          </cell>
          <cell r="K34">
            <v>25840.210760000002</v>
          </cell>
          <cell r="L34">
            <v>26217.60167</v>
          </cell>
          <cell r="M34">
            <v>26469.907500000001</v>
          </cell>
          <cell r="N34">
            <v>26691.34489</v>
          </cell>
          <cell r="O34">
            <v>26914.21168</v>
          </cell>
          <cell r="P34">
            <v>27156.71286</v>
          </cell>
          <cell r="Q34">
            <v>27418.5658</v>
          </cell>
          <cell r="R34">
            <v>27670.621070000001</v>
          </cell>
          <cell r="S34">
            <v>27918.84244</v>
          </cell>
          <cell r="T34">
            <v>28179.43923</v>
          </cell>
          <cell r="U34">
            <v>28480.319500000001</v>
          </cell>
          <cell r="V34">
            <v>28832.328440000001</v>
          </cell>
          <cell r="W34">
            <v>29274.113140000001</v>
          </cell>
          <cell r="X34">
            <v>29820.540720000001</v>
          </cell>
          <cell r="Y34">
            <v>30476.965090000002</v>
          </cell>
          <cell r="Z34">
            <v>31243.71933</v>
          </cell>
          <cell r="AA34">
            <v>32109.59578</v>
          </cell>
          <cell r="AB34">
            <v>33100.944179999999</v>
          </cell>
          <cell r="AC34">
            <v>34228.758269999998</v>
          </cell>
          <cell r="AD34">
            <v>35498.48992</v>
          </cell>
          <cell r="AE34">
            <v>36903.019809999998</v>
          </cell>
          <cell r="AF34">
            <v>38428.700519999999</v>
          </cell>
          <cell r="AG34">
            <v>40070.258809999999</v>
          </cell>
          <cell r="AH34">
            <v>41816.340929999998</v>
          </cell>
          <cell r="AI34">
            <v>43650.729520000001</v>
          </cell>
          <cell r="AJ34">
            <v>45554.379659999999</v>
          </cell>
          <cell r="AK34">
            <v>47506.048300000002</v>
          </cell>
        </row>
        <row r="35">
          <cell r="B35">
            <v>20624.485860000001</v>
          </cell>
          <cell r="C35">
            <v>21145.63781</v>
          </cell>
          <cell r="D35">
            <v>21698.67871</v>
          </cell>
          <cell r="E35">
            <v>22259.880219999999</v>
          </cell>
          <cell r="F35">
            <v>22867.946510000002</v>
          </cell>
          <cell r="G35">
            <v>23533.61262</v>
          </cell>
          <cell r="H35">
            <v>24250.848890000001</v>
          </cell>
          <cell r="I35">
            <v>25013.354759999998</v>
          </cell>
          <cell r="J35">
            <v>25814.315849999999</v>
          </cell>
          <cell r="K35">
            <v>26648.074690000001</v>
          </cell>
          <cell r="L35">
            <v>27479.460080000001</v>
          </cell>
          <cell r="M35">
            <v>28186.502240000002</v>
          </cell>
          <cell r="N35">
            <v>28805.993849999999</v>
          </cell>
          <cell r="O35">
            <v>29357.86304</v>
          </cell>
          <cell r="P35">
            <v>29865.68879</v>
          </cell>
          <cell r="Q35">
            <v>30351.823400000001</v>
          </cell>
          <cell r="R35">
            <v>30838.059310000001</v>
          </cell>
          <cell r="S35">
            <v>31346.010900000001</v>
          </cell>
          <cell r="T35">
            <v>31893.725849999999</v>
          </cell>
          <cell r="U35">
            <v>32493.126479999999</v>
          </cell>
          <cell r="V35">
            <v>33150.339350000002</v>
          </cell>
          <cell r="W35">
            <v>33882.035499999998</v>
          </cell>
          <cell r="X35">
            <v>34698.497880000003</v>
          </cell>
          <cell r="Y35">
            <v>35606.111219999999</v>
          </cell>
          <cell r="Z35">
            <v>36605.236989999998</v>
          </cell>
          <cell r="AA35">
            <v>37681.476609999998</v>
          </cell>
          <cell r="AB35">
            <v>38844.956740000001</v>
          </cell>
          <cell r="AC35">
            <v>40102.6705</v>
          </cell>
          <cell r="AD35">
            <v>41457.560969999999</v>
          </cell>
          <cell r="AE35">
            <v>42898.674440000003</v>
          </cell>
          <cell r="AF35">
            <v>44408.746359999997</v>
          </cell>
          <cell r="AG35">
            <v>45972.740189999997</v>
          </cell>
          <cell r="AH35">
            <v>47578.386939999997</v>
          </cell>
          <cell r="AI35">
            <v>49213.561099999999</v>
          </cell>
          <cell r="AJ35">
            <v>50865.668089999999</v>
          </cell>
          <cell r="AK35">
            <v>52521.482989999997</v>
          </cell>
        </row>
        <row r="36">
          <cell r="B36">
            <v>2016789.7860000001</v>
          </cell>
          <cell r="C36">
            <v>2053292.155</v>
          </cell>
          <cell r="D36">
            <v>2095505.577</v>
          </cell>
          <cell r="E36">
            <v>2142362.4879999999</v>
          </cell>
          <cell r="F36">
            <v>2192971.9950000001</v>
          </cell>
          <cell r="G36">
            <v>2246701.2340000002</v>
          </cell>
          <cell r="H36">
            <v>2303039.375</v>
          </cell>
          <cell r="I36">
            <v>2354647.946</v>
          </cell>
          <cell r="J36">
            <v>2407276.2450000001</v>
          </cell>
          <cell r="K36">
            <v>2471086.3870000001</v>
          </cell>
          <cell r="L36">
            <v>2538021.8709999998</v>
          </cell>
          <cell r="M36">
            <v>2599313.6370000001</v>
          </cell>
          <cell r="N36">
            <v>2654850.0660000001</v>
          </cell>
          <cell r="O36">
            <v>2705432.9649999999</v>
          </cell>
          <cell r="P36">
            <v>2752710.6209999998</v>
          </cell>
          <cell r="Q36">
            <v>2797976.9849999999</v>
          </cell>
          <cell r="R36">
            <v>2841567.82</v>
          </cell>
          <cell r="S36">
            <v>2885156.5839999998</v>
          </cell>
          <cell r="T36">
            <v>2930156.395</v>
          </cell>
          <cell r="U36">
            <v>2977700.6320000002</v>
          </cell>
          <cell r="V36">
            <v>3028245.4640000002</v>
          </cell>
          <cell r="W36">
            <v>3083027.639</v>
          </cell>
          <cell r="X36">
            <v>3142823.2450000001</v>
          </cell>
          <cell r="Y36">
            <v>3208220.6869999999</v>
          </cell>
          <cell r="Z36">
            <v>3279512.0219999999</v>
          </cell>
          <cell r="AA36">
            <v>3355730.2209999999</v>
          </cell>
          <cell r="AB36">
            <v>3436224.358</v>
          </cell>
          <cell r="AC36">
            <v>3521731.8110000002</v>
          </cell>
          <cell r="AD36">
            <v>3612887.5010000002</v>
          </cell>
          <cell r="AE36">
            <v>3709550.557</v>
          </cell>
          <cell r="AF36">
            <v>3811036.2940000002</v>
          </cell>
          <cell r="AG36">
            <v>3916508.6</v>
          </cell>
          <cell r="AH36">
            <v>4025188.128</v>
          </cell>
          <cell r="AI36">
            <v>4136284.7429999998</v>
          </cell>
          <cell r="AJ36">
            <v>4248991.9759999998</v>
          </cell>
          <cell r="AK36">
            <v>4362459.9720000001</v>
          </cell>
        </row>
        <row r="37">
          <cell r="B37">
            <v>2016789.7860000001</v>
          </cell>
          <cell r="C37">
            <v>2053292.155</v>
          </cell>
          <cell r="D37">
            <v>2095505.577</v>
          </cell>
          <cell r="E37">
            <v>2142362.4879999999</v>
          </cell>
          <cell r="F37">
            <v>2192971.9950000001</v>
          </cell>
          <cell r="G37">
            <v>2246701.233</v>
          </cell>
          <cell r="H37">
            <v>2303039.375</v>
          </cell>
          <cell r="I37">
            <v>2361539.318</v>
          </cell>
          <cell r="J37">
            <v>2421917.5589999999</v>
          </cell>
          <cell r="K37">
            <v>2484000.5460000001</v>
          </cell>
          <cell r="L37">
            <v>2546427.4810000001</v>
          </cell>
          <cell r="M37">
            <v>2602693.6949999998</v>
          </cell>
          <cell r="N37">
            <v>2653577.2570000002</v>
          </cell>
          <cell r="O37">
            <v>2699950.889</v>
          </cell>
          <cell r="P37">
            <v>2743062.1880000001</v>
          </cell>
          <cell r="Q37">
            <v>2784250.5959999999</v>
          </cell>
          <cell r="R37">
            <v>2824936.4279999998</v>
          </cell>
          <cell r="S37">
            <v>2866534.7349999999</v>
          </cell>
          <cell r="T37">
            <v>2910287.1209999998</v>
          </cell>
          <cell r="U37">
            <v>2957096.87</v>
          </cell>
          <cell r="V37">
            <v>3007339.0049999999</v>
          </cell>
          <cell r="W37">
            <v>3062200.1770000001</v>
          </cell>
          <cell r="X37">
            <v>3122341.5180000002</v>
          </cell>
          <cell r="Y37">
            <v>3188224.06</v>
          </cell>
          <cell r="Z37">
            <v>3259974.6779999998</v>
          </cell>
          <cell r="AA37">
            <v>3336493.233</v>
          </cell>
          <cell r="AB37">
            <v>3417123.2370000002</v>
          </cell>
          <cell r="AC37">
            <v>3502621.3390000002</v>
          </cell>
          <cell r="AD37">
            <v>3593545.591</v>
          </cell>
          <cell r="AE37">
            <v>3689609.253</v>
          </cell>
          <cell r="AF37">
            <v>3789995.054</v>
          </cell>
          <cell r="AG37">
            <v>3893830.2919999999</v>
          </cell>
          <cell r="AH37">
            <v>4000317.358</v>
          </cell>
          <cell r="AI37">
            <v>4108661.514</v>
          </cell>
          <cell r="AJ37">
            <v>4218047.4419999998</v>
          </cell>
          <cell r="AK37">
            <v>4327633.2529999996</v>
          </cell>
        </row>
        <row r="38">
          <cell r="B38">
            <v>539576.07090000005</v>
          </cell>
          <cell r="C38">
            <v>546459.26289999997</v>
          </cell>
          <cell r="D38">
            <v>553737.24800000002</v>
          </cell>
          <cell r="E38">
            <v>561379.66350000002</v>
          </cell>
          <cell r="F38">
            <v>569323.56640000001</v>
          </cell>
          <cell r="G38">
            <v>577532.46869999997</v>
          </cell>
          <cell r="H38">
            <v>585979.08169999998</v>
          </cell>
          <cell r="I38">
            <v>594283.26599999995</v>
          </cell>
          <cell r="J38">
            <v>602705.63699999999</v>
          </cell>
          <cell r="K38">
            <v>611768.39529999997</v>
          </cell>
          <cell r="L38">
            <v>621134.99950000003</v>
          </cell>
          <cell r="M38">
            <v>630260.73459999997</v>
          </cell>
          <cell r="N38">
            <v>639129.57039999997</v>
          </cell>
          <cell r="O38">
            <v>647763.75150000001</v>
          </cell>
          <cell r="P38">
            <v>656234.11690000002</v>
          </cell>
          <cell r="Q38">
            <v>664608.6925</v>
          </cell>
          <cell r="R38">
            <v>672924.24010000005</v>
          </cell>
          <cell r="S38">
            <v>681270.04520000005</v>
          </cell>
          <cell r="T38">
            <v>689731.84939999995</v>
          </cell>
          <cell r="U38">
            <v>698379.81559999997</v>
          </cell>
          <cell r="V38">
            <v>707243.69940000004</v>
          </cell>
          <cell r="W38">
            <v>716404.93680000002</v>
          </cell>
          <cell r="X38">
            <v>725915.96680000005</v>
          </cell>
          <cell r="Y38">
            <v>735818.79029999999</v>
          </cell>
          <cell r="Z38">
            <v>746138.17969999998</v>
          </cell>
          <cell r="AA38">
            <v>756805.67020000005</v>
          </cell>
          <cell r="AB38">
            <v>767740.08299999998</v>
          </cell>
          <cell r="AC38">
            <v>779016.0919</v>
          </cell>
          <cell r="AD38">
            <v>790692.55359999998</v>
          </cell>
          <cell r="AE38">
            <v>802776.63399999996</v>
          </cell>
          <cell r="AF38">
            <v>815238.02910000004</v>
          </cell>
          <cell r="AG38">
            <v>828029.38840000005</v>
          </cell>
          <cell r="AH38">
            <v>841105.44869999995</v>
          </cell>
          <cell r="AI38">
            <v>854419.13890000002</v>
          </cell>
          <cell r="AJ38">
            <v>867921.33219999995</v>
          </cell>
          <cell r="AK38">
            <v>881559.60939999996</v>
          </cell>
        </row>
        <row r="39">
          <cell r="B39">
            <v>539576.07090000005</v>
          </cell>
          <cell r="C39">
            <v>546459.26289999997</v>
          </cell>
          <cell r="D39">
            <v>553737.24800000002</v>
          </cell>
          <cell r="E39">
            <v>561379.66350000002</v>
          </cell>
          <cell r="F39">
            <v>569323.56640000001</v>
          </cell>
          <cell r="G39">
            <v>577532.46869999997</v>
          </cell>
          <cell r="H39">
            <v>585979.08169999998</v>
          </cell>
          <cell r="I39">
            <v>594626.40460000001</v>
          </cell>
          <cell r="J39">
            <v>603449.9388</v>
          </cell>
          <cell r="K39">
            <v>612434.50769999996</v>
          </cell>
          <cell r="L39">
            <v>621519.42890000006</v>
          </cell>
          <cell r="M39">
            <v>630337.93019999994</v>
          </cell>
          <cell r="N39">
            <v>638901.6986</v>
          </cell>
          <cell r="O39">
            <v>647241.29269999999</v>
          </cell>
          <cell r="P39">
            <v>655416.40399999998</v>
          </cell>
          <cell r="Q39">
            <v>663501.98609999998</v>
          </cell>
          <cell r="R39">
            <v>671585.5588</v>
          </cell>
          <cell r="S39">
            <v>679756.08510000003</v>
          </cell>
          <cell r="T39">
            <v>688094.63370000001</v>
          </cell>
          <cell r="U39">
            <v>696664.04559999995</v>
          </cell>
          <cell r="V39">
            <v>705488.29859999998</v>
          </cell>
          <cell r="W39">
            <v>714653.11309999996</v>
          </cell>
          <cell r="X39">
            <v>724200.34990000003</v>
          </cell>
          <cell r="Y39">
            <v>734162.31030000001</v>
          </cell>
          <cell r="Z39">
            <v>744553.22530000005</v>
          </cell>
          <cell r="AA39">
            <v>755296.63630000001</v>
          </cell>
          <cell r="AB39">
            <v>766321.02099999995</v>
          </cell>
          <cell r="AC39">
            <v>777693.77720000001</v>
          </cell>
          <cell r="AD39">
            <v>789463.69990000001</v>
          </cell>
          <cell r="AE39">
            <v>801626.223</v>
          </cell>
          <cell r="AF39">
            <v>814141.55339999998</v>
          </cell>
          <cell r="AG39">
            <v>826960.62560000003</v>
          </cell>
          <cell r="AH39">
            <v>840034.31790000002</v>
          </cell>
          <cell r="AI39">
            <v>853311.81709999999</v>
          </cell>
          <cell r="AJ39">
            <v>866740.37139999995</v>
          </cell>
          <cell r="AK39">
            <v>880265.49219999998</v>
          </cell>
        </row>
        <row r="40">
          <cell r="B40">
            <v>4212.4684120000002</v>
          </cell>
          <cell r="C40">
            <v>4282.764075</v>
          </cell>
          <cell r="D40">
            <v>4361.9344270000001</v>
          </cell>
          <cell r="E40">
            <v>4446.1389399999998</v>
          </cell>
          <cell r="F40">
            <v>4539.2764699999998</v>
          </cell>
          <cell r="G40">
            <v>4640.3825710000001</v>
          </cell>
          <cell r="H40">
            <v>4747.8034509999998</v>
          </cell>
          <cell r="I40">
            <v>4823.8056759999999</v>
          </cell>
          <cell r="J40">
            <v>4895.6601469999996</v>
          </cell>
          <cell r="K40">
            <v>4983.4657889999999</v>
          </cell>
          <cell r="L40">
            <v>5063.4012860000003</v>
          </cell>
          <cell r="M40">
            <v>5132.395998</v>
          </cell>
          <cell r="N40">
            <v>5190.037671</v>
          </cell>
          <cell r="O40">
            <v>5239.8285400000004</v>
          </cell>
          <cell r="P40">
            <v>5286.6158759999998</v>
          </cell>
          <cell r="Q40">
            <v>5333.5787440000004</v>
          </cell>
          <cell r="R40">
            <v>5390.2935589999997</v>
          </cell>
          <cell r="S40">
            <v>5450.6921110000003</v>
          </cell>
          <cell r="T40">
            <v>5516.0252350000001</v>
          </cell>
          <cell r="U40">
            <v>5585.7254290000001</v>
          </cell>
          <cell r="V40">
            <v>5664.2105410000004</v>
          </cell>
          <cell r="W40">
            <v>5754.9004370000002</v>
          </cell>
          <cell r="X40">
            <v>5859.5061640000004</v>
          </cell>
          <cell r="Y40">
            <v>5978.6955340000004</v>
          </cell>
          <cell r="Z40">
            <v>6112.3701840000003</v>
          </cell>
          <cell r="AA40">
            <v>6259.0679730000002</v>
          </cell>
          <cell r="AB40">
            <v>6412.7922939999999</v>
          </cell>
          <cell r="AC40">
            <v>6579.3187399999997</v>
          </cell>
          <cell r="AD40">
            <v>6759.2795580000002</v>
          </cell>
          <cell r="AE40">
            <v>6950.8553110000003</v>
          </cell>
          <cell r="AF40">
            <v>7151.1839380000001</v>
          </cell>
          <cell r="AG40">
            <v>7358.5259669999996</v>
          </cell>
          <cell r="AH40">
            <v>7571.1698189999997</v>
          </cell>
          <cell r="AI40">
            <v>7787.1368409999995</v>
          </cell>
          <cell r="AJ40">
            <v>8004.4679919999999</v>
          </cell>
          <cell r="AK40">
            <v>8221.2811290000009</v>
          </cell>
        </row>
        <row r="41">
          <cell r="B41">
            <v>4212.4684109999998</v>
          </cell>
          <cell r="C41">
            <v>4282.7640730000003</v>
          </cell>
          <cell r="D41">
            <v>4361.9344259999998</v>
          </cell>
          <cell r="E41">
            <v>4446.1389399999998</v>
          </cell>
          <cell r="F41">
            <v>4539.2764690000004</v>
          </cell>
          <cell r="G41">
            <v>4640.3825710000001</v>
          </cell>
          <cell r="H41">
            <v>4747.8034509999998</v>
          </cell>
          <cell r="I41">
            <v>4860.8281459999998</v>
          </cell>
          <cell r="J41">
            <v>4978.468879</v>
          </cell>
          <cell r="K41">
            <v>5100.0552189999999</v>
          </cell>
          <cell r="L41">
            <v>5220.5879210000003</v>
          </cell>
          <cell r="M41">
            <v>5324.4533590000001</v>
          </cell>
          <cell r="N41">
            <v>5414.5596310000001</v>
          </cell>
          <cell r="O41">
            <v>5494.9165160000002</v>
          </cell>
          <cell r="P41">
            <v>5570.1361699999998</v>
          </cell>
          <cell r="Q41">
            <v>5644.3930019999998</v>
          </cell>
          <cell r="R41">
            <v>5721.3169319999997</v>
          </cell>
          <cell r="S41">
            <v>5804.1515630000004</v>
          </cell>
          <cell r="T41">
            <v>5895.4952670000002</v>
          </cell>
          <cell r="U41">
            <v>5996.981409</v>
          </cell>
          <cell r="V41">
            <v>6109.5327539999998</v>
          </cell>
          <cell r="W41">
            <v>6234.7384599999996</v>
          </cell>
          <cell r="X41">
            <v>6373.9570809999996</v>
          </cell>
          <cell r="Y41">
            <v>6527.8882549999998</v>
          </cell>
          <cell r="Z41">
            <v>6696.403198</v>
          </cell>
          <cell r="AA41">
            <v>6877.8896240000004</v>
          </cell>
          <cell r="AB41">
            <v>7068.0969859999996</v>
          </cell>
          <cell r="AC41">
            <v>7268.9131109999998</v>
          </cell>
          <cell r="AD41">
            <v>7481.4897330000003</v>
          </cell>
          <cell r="AE41">
            <v>7704.2543409999998</v>
          </cell>
          <cell r="AF41">
            <v>7934.35491</v>
          </cell>
          <cell r="AG41">
            <v>8169.2120839999998</v>
          </cell>
          <cell r="AH41">
            <v>8406.8326230000002</v>
          </cell>
          <cell r="AI41">
            <v>8645.4876289999993</v>
          </cell>
          <cell r="AJ41">
            <v>8883.5744749999994</v>
          </cell>
          <cell r="AK41">
            <v>9119.5581820000007</v>
          </cell>
        </row>
        <row r="42">
          <cell r="B42">
            <v>35346.132870000001</v>
          </cell>
          <cell r="C42">
            <v>35659.537219999998</v>
          </cell>
          <cell r="D42">
            <v>35979.297449999998</v>
          </cell>
          <cell r="E42">
            <v>36322.059410000002</v>
          </cell>
          <cell r="F42">
            <v>36776.500050000002</v>
          </cell>
          <cell r="G42">
            <v>37330.338430000003</v>
          </cell>
          <cell r="H42">
            <v>37992.785759999999</v>
          </cell>
          <cell r="I42">
            <v>38551.07213</v>
          </cell>
          <cell r="J42">
            <v>39042.412759999999</v>
          </cell>
          <cell r="K42">
            <v>39610.033000000003</v>
          </cell>
          <cell r="L42">
            <v>40030.216820000001</v>
          </cell>
          <cell r="M42">
            <v>40423.810579999998</v>
          </cell>
          <cell r="N42">
            <v>40795.123520000001</v>
          </cell>
          <cell r="O42">
            <v>41158.047100000003</v>
          </cell>
          <cell r="P42">
            <v>41531.521350000003</v>
          </cell>
          <cell r="Q42">
            <v>41921.774490000003</v>
          </cell>
          <cell r="R42">
            <v>42189.101820000003</v>
          </cell>
          <cell r="S42">
            <v>42451.615530000003</v>
          </cell>
          <cell r="T42">
            <v>42599.965810000002</v>
          </cell>
          <cell r="U42">
            <v>42432.73126</v>
          </cell>
          <cell r="V42">
            <v>42249.893459999999</v>
          </cell>
          <cell r="W42">
            <v>42051.457909999997</v>
          </cell>
          <cell r="X42">
            <v>41838.534820000001</v>
          </cell>
          <cell r="Y42">
            <v>41612.70809</v>
          </cell>
          <cell r="Z42">
            <v>41374.46686</v>
          </cell>
          <cell r="AA42">
            <v>41121.028149999998</v>
          </cell>
          <cell r="AB42">
            <v>40803.075980000001</v>
          </cell>
          <cell r="AC42">
            <v>40466.244079999997</v>
          </cell>
          <cell r="AD42">
            <v>40136.660900000003</v>
          </cell>
          <cell r="AE42">
            <v>39818.526680000003</v>
          </cell>
          <cell r="AF42">
            <v>39509.979030000002</v>
          </cell>
          <cell r="AG42">
            <v>39217.78082</v>
          </cell>
          <cell r="AH42">
            <v>38948.523330000004</v>
          </cell>
          <cell r="AI42">
            <v>38708.819360000001</v>
          </cell>
          <cell r="AJ42">
            <v>38505.312030000001</v>
          </cell>
          <cell r="AK42">
            <v>38344.027600000001</v>
          </cell>
        </row>
        <row r="43">
          <cell r="B43">
            <v>35346.13276</v>
          </cell>
          <cell r="C43">
            <v>35659.537120000001</v>
          </cell>
          <cell r="D43">
            <v>35979.297350000001</v>
          </cell>
          <cell r="E43">
            <v>36322.059309999997</v>
          </cell>
          <cell r="F43">
            <v>36776.499949999998</v>
          </cell>
          <cell r="G43">
            <v>37330.338329999999</v>
          </cell>
          <cell r="H43">
            <v>37992.785660000001</v>
          </cell>
          <cell r="I43">
            <v>38729.217600000004</v>
          </cell>
          <cell r="J43">
            <v>39522.420749999997</v>
          </cell>
          <cell r="K43">
            <v>40362.15238</v>
          </cell>
          <cell r="L43">
            <v>41216.329339999997</v>
          </cell>
          <cell r="M43">
            <v>41980.170550000003</v>
          </cell>
          <cell r="N43">
            <v>42668.985489999999</v>
          </cell>
          <cell r="O43">
            <v>43301.243840000003</v>
          </cell>
          <cell r="P43">
            <v>43896.703990000002</v>
          </cell>
          <cell r="Q43">
            <v>44473.971510000003</v>
          </cell>
          <cell r="R43">
            <v>45042.187259999999</v>
          </cell>
          <cell r="S43">
            <v>45631.156929999997</v>
          </cell>
          <cell r="T43">
            <v>46255.370309999998</v>
          </cell>
          <cell r="U43">
            <v>46924.549160000002</v>
          </cell>
          <cell r="V43">
            <v>47646.205959999999</v>
          </cell>
          <cell r="W43">
            <v>48433.620900000002</v>
          </cell>
          <cell r="X43">
            <v>49298.56424</v>
          </cell>
          <cell r="Y43">
            <v>50249.955410000002</v>
          </cell>
          <cell r="Z43">
            <v>51292.523179999997</v>
          </cell>
          <cell r="AA43">
            <v>52423.876400000001</v>
          </cell>
          <cell r="AB43">
            <v>53538.933100000002</v>
          </cell>
          <cell r="AC43">
            <v>54702.054479999999</v>
          </cell>
          <cell r="AD43">
            <v>55944.917079999999</v>
          </cell>
          <cell r="AE43">
            <v>57267.186029999997</v>
          </cell>
          <cell r="AF43">
            <v>58655.334139999999</v>
          </cell>
          <cell r="AG43">
            <v>60095.150159999997</v>
          </cell>
          <cell r="AH43">
            <v>61574.499949999998</v>
          </cell>
          <cell r="AI43">
            <v>63081.719499999999</v>
          </cell>
          <cell r="AJ43">
            <v>64604.909879999999</v>
          </cell>
          <cell r="AK43">
            <v>66131.6492</v>
          </cell>
        </row>
        <row r="44">
          <cell r="B44">
            <v>3918.3587790000001</v>
          </cell>
          <cell r="C44">
            <v>3934.5935639999998</v>
          </cell>
          <cell r="D44">
            <v>3949.3054179999999</v>
          </cell>
          <cell r="E44">
            <v>3968.374276</v>
          </cell>
          <cell r="F44">
            <v>4000.4991220000002</v>
          </cell>
          <cell r="G44">
            <v>4044.3734530000002</v>
          </cell>
          <cell r="H44">
            <v>4094.292301</v>
          </cell>
          <cell r="I44">
            <v>4135.3783739999999</v>
          </cell>
          <cell r="J44">
            <v>4168.5439550000001</v>
          </cell>
          <cell r="K44">
            <v>4199.3452239999997</v>
          </cell>
          <cell r="L44">
            <v>4218.8954119999999</v>
          </cell>
          <cell r="M44">
            <v>4246.865847</v>
          </cell>
          <cell r="N44">
            <v>4278.21216</v>
          </cell>
          <cell r="O44">
            <v>4311.4113189999998</v>
          </cell>
          <cell r="P44">
            <v>4345.6897559999998</v>
          </cell>
          <cell r="Q44">
            <v>4380.2289950000004</v>
          </cell>
          <cell r="R44">
            <v>4410.0702810000003</v>
          </cell>
          <cell r="S44">
            <v>4438.2870860000003</v>
          </cell>
          <cell r="T44">
            <v>4680.7727199999999</v>
          </cell>
          <cell r="U44">
            <v>5544.2468449999997</v>
          </cell>
          <cell r="V44">
            <v>6555.1630340000002</v>
          </cell>
          <cell r="W44">
            <v>7729.1843280000003</v>
          </cell>
          <cell r="X44">
            <v>9083.9346640000003</v>
          </cell>
          <cell r="Y44">
            <v>10636.421200000001</v>
          </cell>
          <cell r="Z44">
            <v>12401.416020000001</v>
          </cell>
          <cell r="AA44">
            <v>14388.99109</v>
          </cell>
          <cell r="AB44">
            <v>16604.437519999999</v>
          </cell>
          <cell r="AC44">
            <v>19051.42787</v>
          </cell>
          <cell r="AD44">
            <v>21726.053899999999</v>
          </cell>
          <cell r="AE44">
            <v>24614.710439999999</v>
          </cell>
          <cell r="AF44">
            <v>27694.297760000001</v>
          </cell>
          <cell r="AG44">
            <v>30937.519820000001</v>
          </cell>
          <cell r="AH44">
            <v>34308.882839999998</v>
          </cell>
          <cell r="AI44">
            <v>37767.361040000003</v>
          </cell>
          <cell r="AJ44">
            <v>41268.968260000001</v>
          </cell>
          <cell r="AK44">
            <v>44769.072979999997</v>
          </cell>
        </row>
        <row r="45">
          <cell r="B45">
            <v>3918.3587790000001</v>
          </cell>
          <cell r="C45">
            <v>3934.5935629999999</v>
          </cell>
          <cell r="D45">
            <v>3949.305417</v>
          </cell>
          <cell r="E45">
            <v>3968.3742750000001</v>
          </cell>
          <cell r="F45">
            <v>4000.4991209999998</v>
          </cell>
          <cell r="G45">
            <v>4044.3734509999999</v>
          </cell>
          <cell r="H45">
            <v>4094.2923000000001</v>
          </cell>
          <cell r="I45">
            <v>4150.8750669999999</v>
          </cell>
          <cell r="J45">
            <v>4212.5594579999997</v>
          </cell>
          <cell r="K45">
            <v>4278.0291960000004</v>
          </cell>
          <cell r="L45">
            <v>4345.0344450000002</v>
          </cell>
          <cell r="M45">
            <v>4412.9895909999996</v>
          </cell>
          <cell r="N45">
            <v>4476.8721349999996</v>
          </cell>
          <cell r="O45">
            <v>4536.4319580000001</v>
          </cell>
          <cell r="P45">
            <v>4592.2346250000001</v>
          </cell>
          <cell r="Q45">
            <v>4645.1330369999996</v>
          </cell>
          <cell r="R45">
            <v>4693.9409299999998</v>
          </cell>
          <cell r="S45">
            <v>4742.6117990000002</v>
          </cell>
          <cell r="T45">
            <v>4792.3670069999998</v>
          </cell>
          <cell r="U45">
            <v>4844.051246</v>
          </cell>
          <cell r="V45">
            <v>4898.330046</v>
          </cell>
          <cell r="W45">
            <v>4956.2726279999997</v>
          </cell>
          <cell r="X45">
            <v>5018.8163450000002</v>
          </cell>
          <cell r="Y45">
            <v>5086.7150240000001</v>
          </cell>
          <cell r="Z45">
            <v>5160.4652800000003</v>
          </cell>
          <cell r="AA45">
            <v>5239.9599509999998</v>
          </cell>
          <cell r="AB45">
            <v>5324.014048</v>
          </cell>
          <cell r="AC45">
            <v>5413.6857790000004</v>
          </cell>
          <cell r="AD45">
            <v>5509.6864809999997</v>
          </cell>
          <cell r="AE45">
            <v>5611.8589789999996</v>
          </cell>
          <cell r="AF45">
            <v>5719.5093859999997</v>
          </cell>
          <cell r="AG45">
            <v>5831.82</v>
          </cell>
          <cell r="AH45">
            <v>5947.9637590000002</v>
          </cell>
          <cell r="AI45">
            <v>6067.0428780000002</v>
          </cell>
          <cell r="AJ45">
            <v>6188.0707050000001</v>
          </cell>
          <cell r="AK45">
            <v>6309.9772119999998</v>
          </cell>
        </row>
        <row r="46">
          <cell r="B46">
            <v>398.26210609999998</v>
          </cell>
          <cell r="C46">
            <v>400.82253909999997</v>
          </cell>
          <cell r="D46">
            <v>403.8534818</v>
          </cell>
          <cell r="E46">
            <v>406.6201992</v>
          </cell>
          <cell r="F46">
            <v>411.24963839999998</v>
          </cell>
          <cell r="G46">
            <v>417.20504119999998</v>
          </cell>
          <cell r="H46">
            <v>432.68639869999998</v>
          </cell>
          <cell r="I46">
            <v>447.78103060000001</v>
          </cell>
          <cell r="J46">
            <v>462.58677820000003</v>
          </cell>
          <cell r="K46">
            <v>478.99042709999998</v>
          </cell>
          <cell r="L46">
            <v>488.24243539999998</v>
          </cell>
          <cell r="M46">
            <v>491.39679030000002</v>
          </cell>
          <cell r="N46">
            <v>493.75724639999999</v>
          </cell>
          <cell r="O46">
            <v>496.13150100000001</v>
          </cell>
          <cell r="P46">
            <v>498.7762717</v>
          </cell>
          <cell r="Q46">
            <v>501.7871298</v>
          </cell>
          <cell r="R46">
            <v>488.07494150000002</v>
          </cell>
          <cell r="S46">
            <v>472.3208391</v>
          </cell>
          <cell r="T46">
            <v>454.70504410000001</v>
          </cell>
          <cell r="U46">
            <v>435.56697279999997</v>
          </cell>
          <cell r="V46">
            <v>415.75672040000001</v>
          </cell>
          <cell r="W46">
            <v>396.45188999999999</v>
          </cell>
          <cell r="X46">
            <v>378.64764330000003</v>
          </cell>
          <cell r="Y46">
            <v>363.52311159999999</v>
          </cell>
          <cell r="Z46">
            <v>352.35053799999997</v>
          </cell>
          <cell r="AA46">
            <v>346.28263140000001</v>
          </cell>
          <cell r="AB46">
            <v>341.94401290000002</v>
          </cell>
          <cell r="AC46">
            <v>342.67675500000001</v>
          </cell>
          <cell r="AD46">
            <v>349.96373499999999</v>
          </cell>
          <cell r="AE46">
            <v>363.8963248</v>
          </cell>
          <cell r="AF46">
            <v>383.93634859999997</v>
          </cell>
          <cell r="AG46">
            <v>409.39334910000002</v>
          </cell>
          <cell r="AH46">
            <v>439.38241140000002</v>
          </cell>
          <cell r="AI46">
            <v>472.98739430000001</v>
          </cell>
          <cell r="AJ46">
            <v>509.31814680000002</v>
          </cell>
          <cell r="AK46">
            <v>547.54929389999995</v>
          </cell>
        </row>
        <row r="47">
          <cell r="B47">
            <v>398.26208350000002</v>
          </cell>
          <cell r="C47">
            <v>400.82251730000002</v>
          </cell>
          <cell r="D47">
            <v>403.85346090000002</v>
          </cell>
          <cell r="E47">
            <v>406.6201792</v>
          </cell>
          <cell r="F47">
            <v>411.24961880000001</v>
          </cell>
          <cell r="G47">
            <v>417.20502169999997</v>
          </cell>
          <cell r="H47">
            <v>432.68637849999999</v>
          </cell>
          <cell r="I47">
            <v>451.00532279999999</v>
          </cell>
          <cell r="J47">
            <v>471.16275239999999</v>
          </cell>
          <cell r="K47">
            <v>493.0093056</v>
          </cell>
          <cell r="L47">
            <v>516.32342630000005</v>
          </cell>
          <cell r="M47">
            <v>531.50923829999999</v>
          </cell>
          <cell r="N47">
            <v>544.88954330000001</v>
          </cell>
          <cell r="O47">
            <v>557.66807740000002</v>
          </cell>
          <cell r="P47">
            <v>570.27683930000001</v>
          </cell>
          <cell r="Q47">
            <v>583.02993309999999</v>
          </cell>
          <cell r="R47">
            <v>596.0841911</v>
          </cell>
          <cell r="S47">
            <v>609.80943639999998</v>
          </cell>
          <cell r="T47">
            <v>624.41450050000003</v>
          </cell>
          <cell r="U47">
            <v>640.10181190000003</v>
          </cell>
          <cell r="V47">
            <v>657.02459329999999</v>
          </cell>
          <cell r="W47">
            <v>675.53447530000005</v>
          </cell>
          <cell r="X47">
            <v>695.90886929999999</v>
          </cell>
          <cell r="Y47">
            <v>718.41522499999996</v>
          </cell>
          <cell r="Z47">
            <v>743.29675159999999</v>
          </cell>
          <cell r="AA47">
            <v>770.60310660000005</v>
          </cell>
          <cell r="AB47">
            <v>790.38689690000001</v>
          </cell>
          <cell r="AC47">
            <v>807.7832545</v>
          </cell>
          <cell r="AD47">
            <v>825.82799729999999</v>
          </cell>
          <cell r="AE47">
            <v>845.27403530000004</v>
          </cell>
          <cell r="AF47">
            <v>866.00317310000003</v>
          </cell>
          <cell r="AG47">
            <v>887.6986508</v>
          </cell>
          <cell r="AH47">
            <v>910.05331349999994</v>
          </cell>
          <cell r="AI47">
            <v>932.79372950000004</v>
          </cell>
          <cell r="AJ47">
            <v>955.67468340000005</v>
          </cell>
          <cell r="AK47">
            <v>978.46803320000004</v>
          </cell>
        </row>
        <row r="48">
          <cell r="B48">
            <v>559.09579150000002</v>
          </cell>
          <cell r="C48">
            <v>562.69022659999996</v>
          </cell>
          <cell r="D48">
            <v>566.94518170000003</v>
          </cell>
          <cell r="E48">
            <v>570.82920669999999</v>
          </cell>
          <cell r="F48">
            <v>577.32819319999999</v>
          </cell>
          <cell r="G48">
            <v>585.68861860000004</v>
          </cell>
          <cell r="H48">
            <v>607.42194859999995</v>
          </cell>
          <cell r="I48">
            <v>628.61237830000005</v>
          </cell>
          <cell r="J48">
            <v>649.3972612</v>
          </cell>
          <cell r="K48">
            <v>672.42533969999999</v>
          </cell>
          <cell r="L48">
            <v>734.50486720000004</v>
          </cell>
          <cell r="M48">
            <v>791.95955389999995</v>
          </cell>
          <cell r="N48">
            <v>851.92440250000004</v>
          </cell>
          <cell r="O48">
            <v>915.61586720000003</v>
          </cell>
          <cell r="P48">
            <v>983.45043139999996</v>
          </cell>
          <cell r="Q48">
            <v>1055.5219770000001</v>
          </cell>
          <cell r="R48">
            <v>1224.3126520000001</v>
          </cell>
          <cell r="S48">
            <v>1412.96396</v>
          </cell>
          <cell r="T48">
            <v>1620.8558860000001</v>
          </cell>
          <cell r="U48">
            <v>1845.9909729999999</v>
          </cell>
          <cell r="V48">
            <v>2086.2372869999999</v>
          </cell>
          <cell r="W48">
            <v>2339.3093840000001</v>
          </cell>
          <cell r="X48">
            <v>2600.1734419999998</v>
          </cell>
          <cell r="Y48">
            <v>2862.8084410000001</v>
          </cell>
          <cell r="Z48">
            <v>3120.5941670000002</v>
          </cell>
          <cell r="AA48">
            <v>3365.795059</v>
          </cell>
          <cell r="AB48">
            <v>3545.1822910000001</v>
          </cell>
          <cell r="AC48">
            <v>3674.5776460000002</v>
          </cell>
          <cell r="AD48">
            <v>3763.38753</v>
          </cell>
          <cell r="AE48">
            <v>3813.7354209999999</v>
          </cell>
          <cell r="AF48">
            <v>3826.3430079999998</v>
          </cell>
          <cell r="AG48">
            <v>3804.356538</v>
          </cell>
          <cell r="AH48">
            <v>3751.5203839999999</v>
          </cell>
          <cell r="AI48">
            <v>3672.4830689999999</v>
          </cell>
          <cell r="AJ48">
            <v>3572.1784229999998</v>
          </cell>
          <cell r="AK48">
            <v>3455.3677809999999</v>
          </cell>
        </row>
        <row r="49">
          <cell r="B49">
            <v>559.09591609999995</v>
          </cell>
          <cell r="C49">
            <v>562.69035350000001</v>
          </cell>
          <cell r="D49">
            <v>566.94531080000002</v>
          </cell>
          <cell r="E49">
            <v>570.82933830000002</v>
          </cell>
          <cell r="F49">
            <v>577.32832710000002</v>
          </cell>
          <cell r="G49">
            <v>585.68875500000001</v>
          </cell>
          <cell r="H49">
            <v>607.42209030000004</v>
          </cell>
          <cell r="I49">
            <v>633.13894189999996</v>
          </cell>
          <cell r="J49">
            <v>661.43673130000002</v>
          </cell>
          <cell r="K49">
            <v>692.10577860000001</v>
          </cell>
          <cell r="L49">
            <v>724.8350547</v>
          </cell>
          <cell r="M49">
            <v>746.15349249999997</v>
          </cell>
          <cell r="N49">
            <v>764.9372889</v>
          </cell>
          <cell r="O49">
            <v>782.87629570000001</v>
          </cell>
          <cell r="P49">
            <v>800.57696969999995</v>
          </cell>
          <cell r="Q49">
            <v>818.48026230000005</v>
          </cell>
          <cell r="R49">
            <v>836.80634120000002</v>
          </cell>
          <cell r="S49">
            <v>856.07437830000003</v>
          </cell>
          <cell r="T49">
            <v>876.57753949999994</v>
          </cell>
          <cell r="U49">
            <v>898.60000190000005</v>
          </cell>
          <cell r="V49">
            <v>922.35686539999995</v>
          </cell>
          <cell r="W49">
            <v>948.34176300000001</v>
          </cell>
          <cell r="X49">
            <v>976.94413550000002</v>
          </cell>
          <cell r="Y49">
            <v>1008.539439</v>
          </cell>
          <cell r="Z49">
            <v>1043.4691009999999</v>
          </cell>
          <cell r="AA49">
            <v>1081.8028320000001</v>
          </cell>
          <cell r="AB49">
            <v>1109.576092</v>
          </cell>
          <cell r="AC49">
            <v>1133.9977799999999</v>
          </cell>
          <cell r="AD49">
            <v>1159.3296969999999</v>
          </cell>
          <cell r="AE49">
            <v>1186.6288070000001</v>
          </cell>
          <cell r="AF49">
            <v>1215.7291829999999</v>
          </cell>
          <cell r="AG49">
            <v>1246.1861449999999</v>
          </cell>
          <cell r="AH49">
            <v>1277.5684960000001</v>
          </cell>
          <cell r="AI49">
            <v>1309.492383</v>
          </cell>
          <cell r="AJ49">
            <v>1341.6135630000001</v>
          </cell>
          <cell r="AK49">
            <v>1373.61176</v>
          </cell>
        </row>
        <row r="50">
          <cell r="B50">
            <v>46392.322970000001</v>
          </cell>
          <cell r="C50">
            <v>47086.879730000001</v>
          </cell>
          <cell r="D50">
            <v>47740.07789</v>
          </cell>
          <cell r="E50">
            <v>48449.747340000002</v>
          </cell>
          <cell r="F50">
            <v>49098.061719999998</v>
          </cell>
          <cell r="G50">
            <v>49757.409910000002</v>
          </cell>
          <cell r="H50">
            <v>49974.32806</v>
          </cell>
          <cell r="I50">
            <v>50538.447679999997</v>
          </cell>
          <cell r="J50">
            <v>51246.073920000003</v>
          </cell>
          <cell r="K50">
            <v>52244.24192</v>
          </cell>
          <cell r="L50">
            <v>53318.9018</v>
          </cell>
          <cell r="M50">
            <v>53898.505859999997</v>
          </cell>
          <cell r="N50">
            <v>54002.474049999997</v>
          </cell>
          <cell r="O50">
            <v>53868.878649999999</v>
          </cell>
          <cell r="P50">
            <v>53608.803070000002</v>
          </cell>
          <cell r="Q50">
            <v>53272.320249999997</v>
          </cell>
          <cell r="R50">
            <v>52622.744270000003</v>
          </cell>
          <cell r="S50">
            <v>51925.85196</v>
          </cell>
          <cell r="T50">
            <v>51200.035040000002</v>
          </cell>
          <cell r="U50">
            <v>50470.322200000002</v>
          </cell>
          <cell r="V50">
            <v>49766.360990000001</v>
          </cell>
          <cell r="W50">
            <v>49105.508710000002</v>
          </cell>
          <cell r="X50">
            <v>48536.076260000002</v>
          </cell>
          <cell r="Y50">
            <v>48083.14488</v>
          </cell>
          <cell r="Z50">
            <v>47756.465100000001</v>
          </cell>
          <cell r="AA50">
            <v>47545.912980000001</v>
          </cell>
          <cell r="AB50">
            <v>48990.156799999997</v>
          </cell>
          <cell r="AC50">
            <v>50001.521079999999</v>
          </cell>
          <cell r="AD50">
            <v>51018.656569999999</v>
          </cell>
          <cell r="AE50">
            <v>52126.807339999999</v>
          </cell>
          <cell r="AF50">
            <v>53308.656969999996</v>
          </cell>
          <cell r="AG50">
            <v>54524.193010000003</v>
          </cell>
          <cell r="AH50">
            <v>55755.544849999998</v>
          </cell>
          <cell r="AI50">
            <v>56985.977489999997</v>
          </cell>
          <cell r="AJ50">
            <v>58200.544719999998</v>
          </cell>
          <cell r="AK50">
            <v>59386.806539999998</v>
          </cell>
        </row>
        <row r="51">
          <cell r="B51">
            <v>46392.322970000001</v>
          </cell>
          <cell r="C51">
            <v>47086.879730000001</v>
          </cell>
          <cell r="D51">
            <v>47740.077879999997</v>
          </cell>
          <cell r="E51">
            <v>48449.747320000002</v>
          </cell>
          <cell r="F51">
            <v>49098.061710000002</v>
          </cell>
          <cell r="G51">
            <v>49757.409899999999</v>
          </cell>
          <cell r="H51">
            <v>49974.328049999996</v>
          </cell>
          <cell r="I51">
            <v>50438.152900000001</v>
          </cell>
          <cell r="J51">
            <v>50926.037300000004</v>
          </cell>
          <cell r="K51">
            <v>51390.63291</v>
          </cell>
          <cell r="L51">
            <v>51796.799460000002</v>
          </cell>
          <cell r="M51">
            <v>52080.220269999998</v>
          </cell>
          <cell r="N51">
            <v>52094.815419999999</v>
          </cell>
          <cell r="O51">
            <v>51960.458270000003</v>
          </cell>
          <cell r="P51">
            <v>51719.630870000001</v>
          </cell>
          <cell r="Q51">
            <v>51399.718050000003</v>
          </cell>
          <cell r="R51">
            <v>50790.033860000003</v>
          </cell>
          <cell r="S51">
            <v>50122.79651</v>
          </cell>
          <cell r="T51">
            <v>49425.480459999999</v>
          </cell>
          <cell r="U51">
            <v>48733.997219999997</v>
          </cell>
          <cell r="V51">
            <v>48077.176090000001</v>
          </cell>
          <cell r="W51">
            <v>47491.196810000001</v>
          </cell>
          <cell r="X51">
            <v>47000.422919999997</v>
          </cell>
          <cell r="Y51">
            <v>46622.27605</v>
          </cell>
          <cell r="Z51">
            <v>46367.309399999998</v>
          </cell>
          <cell r="AA51">
            <v>46230.527650000004</v>
          </cell>
          <cell r="AB51">
            <v>47690.034749999999</v>
          </cell>
          <cell r="AC51">
            <v>48714.074289999997</v>
          </cell>
          <cell r="AD51">
            <v>49735.021489999999</v>
          </cell>
          <cell r="AE51">
            <v>50849.854270000003</v>
          </cell>
          <cell r="AF51">
            <v>52053.678039999999</v>
          </cell>
          <cell r="AG51">
            <v>53318.700340000003</v>
          </cell>
          <cell r="AH51">
            <v>54617.359830000001</v>
          </cell>
          <cell r="AI51">
            <v>55926.775309999997</v>
          </cell>
          <cell r="AJ51">
            <v>57228.685960000003</v>
          </cell>
          <cell r="AK51">
            <v>58508.013809999997</v>
          </cell>
        </row>
        <row r="52">
          <cell r="B52">
            <v>924.59248309999998</v>
          </cell>
          <cell r="C52">
            <v>938.43490180000003</v>
          </cell>
          <cell r="D52">
            <v>951.45304929999998</v>
          </cell>
          <cell r="E52">
            <v>965.59666179999999</v>
          </cell>
          <cell r="F52">
            <v>978.51747639999996</v>
          </cell>
          <cell r="G52">
            <v>991.65819329999999</v>
          </cell>
          <cell r="H52">
            <v>862.76131969999994</v>
          </cell>
          <cell r="I52">
            <v>726.4983939</v>
          </cell>
          <cell r="J52">
            <v>575.68965779999996</v>
          </cell>
          <cell r="K52">
            <v>407.79252750000001</v>
          </cell>
          <cell r="L52">
            <v>215.88645930000001</v>
          </cell>
          <cell r="M52">
            <v>225.8719237</v>
          </cell>
          <cell r="N52">
            <v>234.2289102</v>
          </cell>
          <cell r="O52">
            <v>241.82772639999999</v>
          </cell>
          <cell r="P52">
            <v>249.08385860000001</v>
          </cell>
          <cell r="Q52">
            <v>256.18423639999997</v>
          </cell>
          <cell r="R52">
            <v>169.45752640000001</v>
          </cell>
          <cell r="S52">
            <v>111.9715217</v>
          </cell>
          <cell r="T52">
            <v>73.931716109999996</v>
          </cell>
          <cell r="U52">
            <v>48.801501649999999</v>
          </cell>
          <cell r="V52">
            <v>32.223267270000001</v>
          </cell>
          <cell r="W52">
            <v>21.291216779999999</v>
          </cell>
          <cell r="X52">
            <v>14.091963549999999</v>
          </cell>
          <cell r="Y52">
            <v>9.3483785729999997</v>
          </cell>
          <cell r="Z52">
            <v>6.217448246</v>
          </cell>
          <cell r="AA52">
            <v>4.1450500269999999</v>
          </cell>
          <cell r="AB52">
            <v>4.2709591219999998</v>
          </cell>
          <cell r="AC52">
            <v>4.3591298040000002</v>
          </cell>
          <cell r="AD52">
            <v>4.447803618</v>
          </cell>
          <cell r="AE52">
            <v>4.5444121400000004</v>
          </cell>
          <cell r="AF52">
            <v>4.6474457249999999</v>
          </cell>
          <cell r="AG52">
            <v>4.7534160889999999</v>
          </cell>
          <cell r="AH52">
            <v>4.8607652730000002</v>
          </cell>
          <cell r="AI52">
            <v>4.9680343220000003</v>
          </cell>
          <cell r="AJ52">
            <v>5.0739202250000002</v>
          </cell>
          <cell r="AK52">
            <v>5.177338464</v>
          </cell>
        </row>
        <row r="53">
          <cell r="B53">
            <v>924.59248300000002</v>
          </cell>
          <cell r="C53">
            <v>938.43490159999999</v>
          </cell>
          <cell r="D53">
            <v>951.45304910000004</v>
          </cell>
          <cell r="E53">
            <v>965.59666149999998</v>
          </cell>
          <cell r="F53">
            <v>978.51747620000003</v>
          </cell>
          <cell r="G53">
            <v>991.65819299999998</v>
          </cell>
          <cell r="H53">
            <v>862.76131950000001</v>
          </cell>
          <cell r="I53">
            <v>725.05664000000002</v>
          </cell>
          <cell r="J53">
            <v>572.09442100000001</v>
          </cell>
          <cell r="K53">
            <v>401.12968089999998</v>
          </cell>
          <cell r="L53">
            <v>209.72351760000001</v>
          </cell>
          <cell r="M53">
            <v>218.25205260000001</v>
          </cell>
          <cell r="N53">
            <v>225.9546819</v>
          </cell>
          <cell r="O53">
            <v>233.2604613</v>
          </cell>
          <cell r="P53">
            <v>240.30615280000001</v>
          </cell>
          <cell r="Q53">
            <v>247.1789752</v>
          </cell>
          <cell r="R53">
            <v>163.5557709</v>
          </cell>
          <cell r="S53">
            <v>108.083461</v>
          </cell>
          <cell r="T53">
            <v>71.369298610000001</v>
          </cell>
          <cell r="U53">
            <v>47.122588919999998</v>
          </cell>
          <cell r="V53">
            <v>31.129535369999999</v>
          </cell>
          <cell r="W53">
            <v>20.591281779999999</v>
          </cell>
          <cell r="X53">
            <v>13.646101979999999</v>
          </cell>
          <cell r="Y53">
            <v>9.0643548280000008</v>
          </cell>
          <cell r="Z53">
            <v>6.0365930759999999</v>
          </cell>
          <cell r="AA53">
            <v>4.0303748080000004</v>
          </cell>
          <cell r="AB53">
            <v>4.1576145550000003</v>
          </cell>
          <cell r="AC53">
            <v>4.2468902640000001</v>
          </cell>
          <cell r="AD53">
            <v>4.3358963839999998</v>
          </cell>
          <cell r="AE53">
            <v>4.4330874429999998</v>
          </cell>
          <cell r="AF53">
            <v>4.5380367320000001</v>
          </cell>
          <cell r="AG53">
            <v>4.6483213049999996</v>
          </cell>
          <cell r="AH53">
            <v>4.761538367</v>
          </cell>
          <cell r="AI53">
            <v>4.8756931349999997</v>
          </cell>
          <cell r="AJ53">
            <v>4.9891936320000001</v>
          </cell>
          <cell r="AK53">
            <v>5.1007253629999996</v>
          </cell>
        </row>
        <row r="54">
          <cell r="B54">
            <v>1343.5881979999999</v>
          </cell>
          <cell r="C54">
            <v>1363.703557</v>
          </cell>
          <cell r="D54">
            <v>1382.6211129999999</v>
          </cell>
          <cell r="E54">
            <v>1403.1741569999999</v>
          </cell>
          <cell r="F54">
            <v>1421.950272</v>
          </cell>
          <cell r="G54">
            <v>1441.0459410000001</v>
          </cell>
          <cell r="H54">
            <v>1766.791716</v>
          </cell>
          <cell r="I54">
            <v>2136.850324</v>
          </cell>
          <cell r="J54">
            <v>2552.8046319999999</v>
          </cell>
          <cell r="K54">
            <v>3032.0372550000002</v>
          </cell>
          <cell r="L54">
            <v>3574.7146760000001</v>
          </cell>
          <cell r="M54">
            <v>3772.231139</v>
          </cell>
          <cell r="N54">
            <v>3945.450585</v>
          </cell>
          <cell r="O54">
            <v>4108.4903260000001</v>
          </cell>
          <cell r="P54">
            <v>4268.1711519999999</v>
          </cell>
          <cell r="Q54">
            <v>4427.603376</v>
          </cell>
          <cell r="R54">
            <v>4517.2159039999997</v>
          </cell>
          <cell r="S54">
            <v>4603.744839</v>
          </cell>
          <cell r="T54">
            <v>4688.4374980000002</v>
          </cell>
          <cell r="U54">
            <v>4773.3602060000003</v>
          </cell>
          <cell r="V54">
            <v>4861.320729</v>
          </cell>
          <cell r="W54">
            <v>4954.2607710000002</v>
          </cell>
          <cell r="X54">
            <v>5057.5894259999995</v>
          </cell>
          <cell r="Y54">
            <v>5174.900807</v>
          </cell>
          <cell r="Z54">
            <v>5308.4972429999998</v>
          </cell>
          <cell r="AA54">
            <v>5458.6201330000004</v>
          </cell>
          <cell r="AB54">
            <v>5624.4299339999998</v>
          </cell>
          <cell r="AC54">
            <v>5740.5419840000004</v>
          </cell>
          <cell r="AD54">
            <v>5857.3166110000002</v>
          </cell>
          <cell r="AE54">
            <v>5984.5404609999996</v>
          </cell>
          <cell r="AF54">
            <v>6120.2254819999998</v>
          </cell>
          <cell r="AG54">
            <v>6259.7779499999997</v>
          </cell>
          <cell r="AH54">
            <v>6401.1461870000003</v>
          </cell>
          <cell r="AI54">
            <v>6542.4088949999996</v>
          </cell>
          <cell r="AJ54">
            <v>6681.8501370000004</v>
          </cell>
          <cell r="AK54">
            <v>6818.0417090000001</v>
          </cell>
        </row>
        <row r="55">
          <cell r="B55">
            <v>1343.588197</v>
          </cell>
          <cell r="C55">
            <v>1363.703557</v>
          </cell>
          <cell r="D55">
            <v>1382.621112</v>
          </cell>
          <cell r="E55">
            <v>1403.1741569999999</v>
          </cell>
          <cell r="F55">
            <v>1421.9502709999999</v>
          </cell>
          <cell r="G55">
            <v>1441.04594</v>
          </cell>
          <cell r="H55">
            <v>1766.7917150000001</v>
          </cell>
          <cell r="I55">
            <v>2132.609692</v>
          </cell>
          <cell r="J55">
            <v>2536.8621229999999</v>
          </cell>
          <cell r="K55">
            <v>2982.497359</v>
          </cell>
          <cell r="L55">
            <v>3472.666784</v>
          </cell>
          <cell r="M55">
            <v>3644.9735569999998</v>
          </cell>
          <cell r="N55">
            <v>3806.075992</v>
          </cell>
          <cell r="O55">
            <v>3962.9382580000001</v>
          </cell>
          <cell r="P55">
            <v>4117.7609620000003</v>
          </cell>
          <cell r="Q55">
            <v>4271.9664570000004</v>
          </cell>
          <cell r="R55">
            <v>4359.8932720000003</v>
          </cell>
          <cell r="S55">
            <v>4443.8859839999996</v>
          </cell>
          <cell r="T55">
            <v>4525.9397920000001</v>
          </cell>
          <cell r="U55">
            <v>4609.1428169999999</v>
          </cell>
          <cell r="V55">
            <v>4696.3163080000004</v>
          </cell>
          <cell r="W55">
            <v>4791.3926469999997</v>
          </cell>
          <cell r="X55">
            <v>4897.5702259999998</v>
          </cell>
          <cell r="Y55">
            <v>5017.6762470000003</v>
          </cell>
          <cell r="Z55">
            <v>5154.0819369999999</v>
          </cell>
          <cell r="AA55">
            <v>5307.6042319999997</v>
          </cell>
          <cell r="AB55">
            <v>5475.1663710000003</v>
          </cell>
          <cell r="AC55">
            <v>5592.7336329999998</v>
          </cell>
          <cell r="AD55">
            <v>5709.9458729999997</v>
          </cell>
          <cell r="AE55">
            <v>5837.936866</v>
          </cell>
          <cell r="AF55">
            <v>5976.1446800000003</v>
          </cell>
          <cell r="AG55">
            <v>6121.3785340000004</v>
          </cell>
          <cell r="AH55">
            <v>6270.474185</v>
          </cell>
          <cell r="AI55">
            <v>6420.8047020000004</v>
          </cell>
          <cell r="AJ55">
            <v>6570.2736100000002</v>
          </cell>
          <cell r="AK55">
            <v>6717.1498469999997</v>
          </cell>
        </row>
        <row r="56">
          <cell r="B56">
            <v>1220.6574889999999</v>
          </cell>
          <cell r="C56">
            <v>1238.932407</v>
          </cell>
          <cell r="D56">
            <v>1256.119113</v>
          </cell>
          <cell r="E56">
            <v>1274.791671</v>
          </cell>
          <cell r="F56">
            <v>1291.8498770000001</v>
          </cell>
          <cell r="G56">
            <v>1309.1984010000001</v>
          </cell>
          <cell r="H56">
            <v>1128.1511270000001</v>
          </cell>
          <cell r="I56">
            <v>936.21281309999995</v>
          </cell>
          <cell r="J56">
            <v>723.64992949999998</v>
          </cell>
          <cell r="K56">
            <v>486.65891160000001</v>
          </cell>
          <cell r="L56">
            <v>215.88645930000001</v>
          </cell>
          <cell r="M56">
            <v>225.8719237</v>
          </cell>
          <cell r="N56">
            <v>234.2289102</v>
          </cell>
          <cell r="O56">
            <v>241.82772639999999</v>
          </cell>
          <cell r="P56">
            <v>249.08385860000001</v>
          </cell>
          <cell r="Q56">
            <v>256.18423639999997</v>
          </cell>
          <cell r="R56">
            <v>268.57208009999999</v>
          </cell>
          <cell r="S56">
            <v>281.25974609999997</v>
          </cell>
          <cell r="T56">
            <v>294.32746320000001</v>
          </cell>
          <cell r="U56">
            <v>307.91665890000002</v>
          </cell>
          <cell r="V56">
            <v>322.23267270000002</v>
          </cell>
          <cell r="W56">
            <v>337.44304540000002</v>
          </cell>
          <cell r="X56">
            <v>353.97412029999998</v>
          </cell>
          <cell r="Y56">
            <v>372.16565430000003</v>
          </cell>
          <cell r="Z56">
            <v>392.29446350000001</v>
          </cell>
          <cell r="AA56">
            <v>414.50500269999998</v>
          </cell>
          <cell r="AB56">
            <v>427.09591219999999</v>
          </cell>
          <cell r="AC56">
            <v>435.91298039999998</v>
          </cell>
          <cell r="AD56">
            <v>444.78036179999998</v>
          </cell>
          <cell r="AE56">
            <v>454.441214</v>
          </cell>
          <cell r="AF56">
            <v>464.7445725</v>
          </cell>
          <cell r="AG56">
            <v>475.34160889999998</v>
          </cell>
          <cell r="AH56">
            <v>486.07652730000001</v>
          </cell>
          <cell r="AI56">
            <v>496.80343219999997</v>
          </cell>
          <cell r="AJ56">
            <v>507.3920225</v>
          </cell>
          <cell r="AK56">
            <v>517.73384639999995</v>
          </cell>
        </row>
        <row r="57">
          <cell r="B57">
            <v>1220.6574889999999</v>
          </cell>
          <cell r="C57">
            <v>1238.932407</v>
          </cell>
          <cell r="D57">
            <v>1256.119113</v>
          </cell>
          <cell r="E57">
            <v>1274.791671</v>
          </cell>
          <cell r="F57">
            <v>1291.8498770000001</v>
          </cell>
          <cell r="G57">
            <v>1309.1984</v>
          </cell>
          <cell r="H57">
            <v>1128.1511270000001</v>
          </cell>
          <cell r="I57">
            <v>934.35487579999995</v>
          </cell>
          <cell r="J57">
            <v>719.13066660000004</v>
          </cell>
          <cell r="K57">
            <v>478.70748170000002</v>
          </cell>
          <cell r="L57">
            <v>209.72351760000001</v>
          </cell>
          <cell r="M57">
            <v>218.25205260000001</v>
          </cell>
          <cell r="N57">
            <v>225.9546819</v>
          </cell>
          <cell r="O57">
            <v>233.2604613</v>
          </cell>
          <cell r="P57">
            <v>240.30615280000001</v>
          </cell>
          <cell r="Q57">
            <v>247.1789752</v>
          </cell>
          <cell r="R57">
            <v>259.21842789999999</v>
          </cell>
          <cell r="S57">
            <v>271.49337919999999</v>
          </cell>
          <cell r="T57">
            <v>284.12629529999998</v>
          </cell>
          <cell r="U57">
            <v>297.3234357</v>
          </cell>
          <cell r="V57">
            <v>311.29535370000002</v>
          </cell>
          <cell r="W57">
            <v>326.34982309999998</v>
          </cell>
          <cell r="X57">
            <v>342.77458419999999</v>
          </cell>
          <cell r="Y57">
            <v>360.85846529999998</v>
          </cell>
          <cell r="Z57">
            <v>380.88327370000002</v>
          </cell>
          <cell r="AA57">
            <v>403.03748080000003</v>
          </cell>
          <cell r="AB57">
            <v>415.76145550000001</v>
          </cell>
          <cell r="AC57">
            <v>424.68902639999999</v>
          </cell>
          <cell r="AD57">
            <v>433.58963840000001</v>
          </cell>
          <cell r="AE57">
            <v>443.3087443</v>
          </cell>
          <cell r="AF57">
            <v>453.80367319999999</v>
          </cell>
          <cell r="AG57">
            <v>464.83213050000001</v>
          </cell>
          <cell r="AH57">
            <v>476.1538367</v>
          </cell>
          <cell r="AI57">
            <v>487.56931350000002</v>
          </cell>
          <cell r="AJ57">
            <v>498.91936320000002</v>
          </cell>
          <cell r="AK57">
            <v>510.07253630000002</v>
          </cell>
        </row>
        <row r="58">
          <cell r="B58">
            <v>2402.2289310000001</v>
          </cell>
          <cell r="C58">
            <v>2438.1935950000002</v>
          </cell>
          <cell r="D58">
            <v>2472.0166810000001</v>
          </cell>
          <cell r="E58">
            <v>2508.7638919999999</v>
          </cell>
          <cell r="F58">
            <v>2542.3340920000001</v>
          </cell>
          <cell r="G58">
            <v>2576.4756309999998</v>
          </cell>
          <cell r="H58">
            <v>3845.2970850000002</v>
          </cell>
          <cell r="I58">
            <v>5266.9533380000003</v>
          </cell>
          <cell r="J58">
            <v>6860.3509379999996</v>
          </cell>
          <cell r="K58">
            <v>8684.7680270000001</v>
          </cell>
          <cell r="L58">
            <v>10754.179840000001</v>
          </cell>
          <cell r="M58">
            <v>12117.033729999999</v>
          </cell>
          <cell r="N58">
            <v>13531.836429999999</v>
          </cell>
          <cell r="O58">
            <v>15045.426719999999</v>
          </cell>
          <cell r="P58">
            <v>16688.841</v>
          </cell>
          <cell r="Q58">
            <v>18484.817650000001</v>
          </cell>
          <cell r="R58">
            <v>20178.11694</v>
          </cell>
          <cell r="S58">
            <v>22003.124530000001</v>
          </cell>
          <cell r="T58">
            <v>23975.328590000001</v>
          </cell>
          <cell r="U58">
            <v>26117.041010000001</v>
          </cell>
          <cell r="V58">
            <v>28458.8511</v>
          </cell>
          <cell r="W58">
            <v>31031.67915</v>
          </cell>
          <cell r="X58">
            <v>33894.818290000003</v>
          </cell>
          <cell r="Y58">
            <v>37106.935949999999</v>
          </cell>
          <cell r="Z58">
            <v>40727.521979999998</v>
          </cell>
          <cell r="AA58">
            <v>44808.725229999996</v>
          </cell>
          <cell r="AB58">
            <v>46169.824860000001</v>
          </cell>
          <cell r="AC58">
            <v>47122.965550000001</v>
          </cell>
          <cell r="AD58">
            <v>48081.5452</v>
          </cell>
          <cell r="AE58">
            <v>49125.900439999998</v>
          </cell>
          <cell r="AF58">
            <v>50239.711739999999</v>
          </cell>
          <cell r="AG58">
            <v>51385.270149999997</v>
          </cell>
          <cell r="AH58">
            <v>52545.733849999997</v>
          </cell>
          <cell r="AI58">
            <v>53705.331279999999</v>
          </cell>
          <cell r="AJ58">
            <v>54849.976649999997</v>
          </cell>
          <cell r="AK58">
            <v>55967.94614</v>
          </cell>
        </row>
        <row r="59">
          <cell r="B59">
            <v>2402.2289300000002</v>
          </cell>
          <cell r="C59">
            <v>2438.1935950000002</v>
          </cell>
          <cell r="D59">
            <v>2472.0166800000002</v>
          </cell>
          <cell r="E59">
            <v>2508.7638910000001</v>
          </cell>
          <cell r="F59">
            <v>2542.3340910000002</v>
          </cell>
          <cell r="G59">
            <v>2576.4756299999999</v>
          </cell>
          <cell r="H59">
            <v>3845.2970839999998</v>
          </cell>
          <cell r="I59">
            <v>5256.5009399999999</v>
          </cell>
          <cell r="J59">
            <v>6817.5073910000001</v>
          </cell>
          <cell r="K59">
            <v>8542.8692090000004</v>
          </cell>
          <cell r="L59">
            <v>10447.17872</v>
          </cell>
          <cell r="M59">
            <v>11708.26122</v>
          </cell>
          <cell r="N59">
            <v>13053.81899</v>
          </cell>
          <cell r="O59">
            <v>14512.410250000001</v>
          </cell>
          <cell r="P59">
            <v>16100.72687</v>
          </cell>
          <cell r="Q59">
            <v>17835.048500000001</v>
          </cell>
          <cell r="R59">
            <v>19475.366730000002</v>
          </cell>
          <cell r="S59">
            <v>21239.095590000001</v>
          </cell>
          <cell r="T59">
            <v>23144.361789999999</v>
          </cell>
          <cell r="U59">
            <v>25218.53931</v>
          </cell>
          <cell r="V59">
            <v>27492.89215</v>
          </cell>
          <cell r="W59">
            <v>30011.532729999999</v>
          </cell>
          <cell r="X59">
            <v>32822.405870000002</v>
          </cell>
          <cell r="Y59">
            <v>35979.547839999999</v>
          </cell>
          <cell r="Z59">
            <v>39542.826489999999</v>
          </cell>
          <cell r="AA59">
            <v>43569.065790000001</v>
          </cell>
          <cell r="AB59">
            <v>44944.550009999999</v>
          </cell>
          <cell r="AC59">
            <v>45909.63624</v>
          </cell>
          <cell r="AD59">
            <v>46871.808169999997</v>
          </cell>
          <cell r="AE59">
            <v>47922.460740000002</v>
          </cell>
          <cell r="AF59">
            <v>49056.98115</v>
          </cell>
          <cell r="AG59">
            <v>50249.176919999998</v>
          </cell>
          <cell r="AH59">
            <v>51473.073420000001</v>
          </cell>
          <cell r="AI59">
            <v>52707.106690000001</v>
          </cell>
          <cell r="AJ59">
            <v>53934.067179999998</v>
          </cell>
          <cell r="AK59">
            <v>55139.744939999997</v>
          </cell>
        </row>
        <row r="60">
          <cell r="B60">
            <v>873.3033173</v>
          </cell>
          <cell r="C60">
            <v>886.37786670000003</v>
          </cell>
          <cell r="D60">
            <v>898.67386920000001</v>
          </cell>
          <cell r="E60">
            <v>912.03290460000005</v>
          </cell>
          <cell r="F60">
            <v>924.23697330000005</v>
          </cell>
          <cell r="G60">
            <v>936.64874589999999</v>
          </cell>
          <cell r="H60">
            <v>1520.342678</v>
          </cell>
          <cell r="I60">
            <v>2172.726455</v>
          </cell>
          <cell r="J60">
            <v>2903.5407340000002</v>
          </cell>
          <cell r="K60">
            <v>3739.3650339999999</v>
          </cell>
          <cell r="L60">
            <v>4687.7194149999996</v>
          </cell>
          <cell r="M60">
            <v>5318.6586079999997</v>
          </cell>
          <cell r="N60">
            <v>5981.1407300000001</v>
          </cell>
          <cell r="O60">
            <v>6696.5832920000003</v>
          </cell>
          <cell r="P60">
            <v>7479.910922</v>
          </cell>
          <cell r="Q60">
            <v>8342.7053099999994</v>
          </cell>
          <cell r="R60">
            <v>9516.0866810000007</v>
          </cell>
          <cell r="S60">
            <v>10842.966930000001</v>
          </cell>
          <cell r="T60">
            <v>12345.661550000001</v>
          </cell>
          <cell r="U60">
            <v>14052.70054</v>
          </cell>
          <cell r="V60">
            <v>16000.70823</v>
          </cell>
          <cell r="W60">
            <v>18231.111229999999</v>
          </cell>
          <cell r="X60">
            <v>20807.849440000002</v>
          </cell>
          <cell r="Y60">
            <v>23803.181229999998</v>
          </cell>
          <cell r="Z60">
            <v>27299.451260000002</v>
          </cell>
          <cell r="AA60">
            <v>31384.451389999998</v>
          </cell>
          <cell r="AB60">
            <v>32337.778330000001</v>
          </cell>
          <cell r="AC60">
            <v>33005.367010000002</v>
          </cell>
          <cell r="AD60">
            <v>33676.765189999998</v>
          </cell>
          <cell r="AE60">
            <v>34408.241390000003</v>
          </cell>
          <cell r="AF60">
            <v>35188.365279999998</v>
          </cell>
          <cell r="AG60">
            <v>35990.725129999999</v>
          </cell>
          <cell r="AH60">
            <v>36803.524790000003</v>
          </cell>
          <cell r="AI60">
            <v>37615.717700000001</v>
          </cell>
          <cell r="AJ60">
            <v>38417.438049999997</v>
          </cell>
          <cell r="AK60">
            <v>39200.474370000004</v>
          </cell>
        </row>
        <row r="61">
          <cell r="B61">
            <v>873.30331720000004</v>
          </cell>
          <cell r="C61">
            <v>886.37786659999995</v>
          </cell>
          <cell r="D61">
            <v>898.67386899999997</v>
          </cell>
          <cell r="E61">
            <v>912.03290430000004</v>
          </cell>
          <cell r="F61">
            <v>924.2369731</v>
          </cell>
          <cell r="G61">
            <v>936.64874559999998</v>
          </cell>
          <cell r="H61">
            <v>1520.342678</v>
          </cell>
          <cell r="I61">
            <v>2168.4146260000002</v>
          </cell>
          <cell r="J61">
            <v>2885.4078450000002</v>
          </cell>
          <cell r="K61">
            <v>3678.2682410000002</v>
          </cell>
          <cell r="L61">
            <v>4553.8984170000003</v>
          </cell>
          <cell r="M61">
            <v>5139.2317359999997</v>
          </cell>
          <cell r="N61">
            <v>5769.8545819999999</v>
          </cell>
          <cell r="O61">
            <v>6459.3424880000002</v>
          </cell>
          <cell r="P61">
            <v>7216.3191429999997</v>
          </cell>
          <cell r="Q61">
            <v>8049.4466689999999</v>
          </cell>
          <cell r="R61">
            <v>9184.6666580000001</v>
          </cell>
          <cell r="S61">
            <v>10466.45947</v>
          </cell>
          <cell r="T61">
            <v>11917.77023</v>
          </cell>
          <cell r="U61">
            <v>13569.247020000001</v>
          </cell>
          <cell r="V61">
            <v>15457.60734</v>
          </cell>
          <cell r="W61">
            <v>17631.77522</v>
          </cell>
          <cell r="X61">
            <v>20149.501130000001</v>
          </cell>
          <cell r="Y61">
            <v>23079.98965</v>
          </cell>
          <cell r="Z61">
            <v>26505.355879999999</v>
          </cell>
          <cell r="AA61">
            <v>30516.182290000001</v>
          </cell>
          <cell r="AB61">
            <v>31479.584330000002</v>
          </cell>
          <cell r="AC61">
            <v>32155.539779999999</v>
          </cell>
          <cell r="AD61">
            <v>32829.454030000001</v>
          </cell>
          <cell r="AE61">
            <v>33565.340940000002</v>
          </cell>
          <cell r="AF61">
            <v>34359.969669999999</v>
          </cell>
          <cell r="AG61">
            <v>35194.994769999998</v>
          </cell>
          <cell r="AH61">
            <v>36052.223360000004</v>
          </cell>
          <cell r="AI61">
            <v>36916.551829999997</v>
          </cell>
          <cell r="AJ61">
            <v>37775.926469999999</v>
          </cell>
          <cell r="AK61">
            <v>38620.394480000003</v>
          </cell>
        </row>
        <row r="62">
          <cell r="B62">
            <v>6722.8210559999998</v>
          </cell>
          <cell r="C62">
            <v>6823.4709160000002</v>
          </cell>
          <cell r="D62">
            <v>6918.1274030000004</v>
          </cell>
          <cell r="E62">
            <v>7020.9672780000001</v>
          </cell>
          <cell r="F62">
            <v>7114.9160460000003</v>
          </cell>
          <cell r="G62">
            <v>7210.4637489999996</v>
          </cell>
          <cell r="H62">
            <v>7236.6755720000001</v>
          </cell>
          <cell r="I62">
            <v>7312.6411699999999</v>
          </cell>
          <cell r="J62">
            <v>7408.7203310000004</v>
          </cell>
          <cell r="K62">
            <v>7546.0057200000001</v>
          </cell>
          <cell r="L62">
            <v>7693.3748050000004</v>
          </cell>
          <cell r="M62">
            <v>8100.2197660000002</v>
          </cell>
          <cell r="N62">
            <v>8453.1409999999996</v>
          </cell>
          <cell r="O62">
            <v>8782.6741899999997</v>
          </cell>
          <cell r="P62">
            <v>9103.5195280000007</v>
          </cell>
          <cell r="Q62">
            <v>9422.3495270000003</v>
          </cell>
          <cell r="R62">
            <v>9978.840467</v>
          </cell>
          <cell r="S62">
            <v>10556.96803</v>
          </cell>
          <cell r="T62">
            <v>11160.27311</v>
          </cell>
          <cell r="U62">
            <v>11794.77419</v>
          </cell>
          <cell r="V62">
            <v>12469.195320000001</v>
          </cell>
          <cell r="W62">
            <v>13191.12226</v>
          </cell>
          <cell r="X62">
            <v>13978.64849</v>
          </cell>
          <cell r="Y62">
            <v>14847.1253</v>
          </cell>
          <cell r="Z62">
            <v>15809.95635</v>
          </cell>
          <cell r="AA62">
            <v>16875.65654</v>
          </cell>
          <cell r="AB62">
            <v>17388.267629999998</v>
          </cell>
          <cell r="AC62">
            <v>17747.235110000001</v>
          </cell>
          <cell r="AD62">
            <v>18108.250980000001</v>
          </cell>
          <cell r="AE62">
            <v>18501.571260000001</v>
          </cell>
          <cell r="AF62">
            <v>18921.049760000002</v>
          </cell>
          <cell r="AG62">
            <v>19352.484710000001</v>
          </cell>
          <cell r="AH62">
            <v>19789.533230000001</v>
          </cell>
          <cell r="AI62">
            <v>20226.25549</v>
          </cell>
          <cell r="AJ62">
            <v>20657.346580000001</v>
          </cell>
          <cell r="AK62">
            <v>21078.39112</v>
          </cell>
        </row>
        <row r="63">
          <cell r="B63">
            <v>6722.8210550000003</v>
          </cell>
          <cell r="C63">
            <v>6823.4709149999999</v>
          </cell>
          <cell r="D63">
            <v>6918.1274009999997</v>
          </cell>
          <cell r="E63">
            <v>7020.9672760000003</v>
          </cell>
          <cell r="F63">
            <v>7114.9160439999996</v>
          </cell>
          <cell r="G63">
            <v>7210.4637469999998</v>
          </cell>
          <cell r="H63">
            <v>7236.6755700000003</v>
          </cell>
          <cell r="I63">
            <v>7298.129054</v>
          </cell>
          <cell r="J63">
            <v>7362.4521649999997</v>
          </cell>
          <cell r="K63">
            <v>7422.7129290000003</v>
          </cell>
          <cell r="L63">
            <v>7473.7509319999999</v>
          </cell>
          <cell r="M63">
            <v>7826.9559230000004</v>
          </cell>
          <cell r="N63">
            <v>8154.5304699999997</v>
          </cell>
          <cell r="O63">
            <v>8471.529149</v>
          </cell>
          <cell r="P63">
            <v>8782.7118429999991</v>
          </cell>
          <cell r="Q63">
            <v>9091.1397670000006</v>
          </cell>
          <cell r="R63">
            <v>9631.3039590000008</v>
          </cell>
          <cell r="S63">
            <v>10190.3915</v>
          </cell>
          <cell r="T63">
            <v>10773.466469999999</v>
          </cell>
          <cell r="U63">
            <v>11388.99986</v>
          </cell>
          <cell r="V63">
            <v>12045.96211</v>
          </cell>
          <cell r="W63">
            <v>12757.47263</v>
          </cell>
          <cell r="X63">
            <v>13536.372149999999</v>
          </cell>
          <cell r="Y63">
            <v>14396.03787</v>
          </cell>
          <cell r="Z63">
            <v>15350.07116</v>
          </cell>
          <cell r="AA63">
            <v>16408.78168</v>
          </cell>
          <cell r="AB63">
            <v>16926.810239999999</v>
          </cell>
          <cell r="AC63">
            <v>17290.276590000001</v>
          </cell>
          <cell r="AD63">
            <v>17652.645369999998</v>
          </cell>
          <cell r="AE63">
            <v>18048.337319999999</v>
          </cell>
          <cell r="AF63">
            <v>18475.61519</v>
          </cell>
          <cell r="AG63">
            <v>18924.61449</v>
          </cell>
          <cell r="AH63">
            <v>19385.552780000002</v>
          </cell>
          <cell r="AI63">
            <v>19850.308730000001</v>
          </cell>
          <cell r="AJ63">
            <v>20312.400959999999</v>
          </cell>
          <cell r="AK63">
            <v>20766.477780000001</v>
          </cell>
        </row>
        <row r="64">
          <cell r="B64">
            <v>7910.4226470000003</v>
          </cell>
          <cell r="C64">
            <v>8011.7559499999998</v>
          </cell>
          <cell r="D64">
            <v>8112.063854</v>
          </cell>
          <cell r="E64">
            <v>8218.0572950000005</v>
          </cell>
          <cell r="F64">
            <v>8319.5098500000004</v>
          </cell>
          <cell r="G64">
            <v>8428.090365</v>
          </cell>
          <cell r="H64">
            <v>9431.8597860000009</v>
          </cell>
          <cell r="I64">
            <v>10563.261860000001</v>
          </cell>
          <cell r="J64">
            <v>11819.93058</v>
          </cell>
          <cell r="K64">
            <v>13253.375379999999</v>
          </cell>
          <cell r="L64">
            <v>14864.29285</v>
          </cell>
          <cell r="M64">
            <v>16055.1425</v>
          </cell>
          <cell r="N64">
            <v>17289.54449</v>
          </cell>
          <cell r="O64">
            <v>18616.37588</v>
          </cell>
          <cell r="P64">
            <v>20061.298650000001</v>
          </cell>
          <cell r="Q64">
            <v>21642.760129999999</v>
          </cell>
          <cell r="R64">
            <v>23795.853169999998</v>
          </cell>
          <cell r="S64">
            <v>26145.5923</v>
          </cell>
          <cell r="T64">
            <v>28687.84764</v>
          </cell>
          <cell r="U64">
            <v>31424.12428</v>
          </cell>
          <cell r="V64">
            <v>34359.740409999999</v>
          </cell>
          <cell r="W64">
            <v>37509.229619999998</v>
          </cell>
          <cell r="X64">
            <v>40913.061110000002</v>
          </cell>
          <cell r="Y64">
            <v>44612.369189999998</v>
          </cell>
          <cell r="Z64">
            <v>48650.818379999997</v>
          </cell>
          <cell r="AA64">
            <v>53054.772100000002</v>
          </cell>
          <cell r="AB64">
            <v>54574.187599999997</v>
          </cell>
          <cell r="AC64">
            <v>55660.130879999997</v>
          </cell>
          <cell r="AD64">
            <v>56751.918030000001</v>
          </cell>
          <cell r="AE64">
            <v>57931.991329999997</v>
          </cell>
          <cell r="AF64">
            <v>59180.89142</v>
          </cell>
          <cell r="AG64">
            <v>60457.939129999999</v>
          </cell>
          <cell r="AH64">
            <v>61746.753640000003</v>
          </cell>
          <cell r="AI64">
            <v>63031.180890000003</v>
          </cell>
          <cell r="AJ64">
            <v>64296.665820000002</v>
          </cell>
          <cell r="AK64">
            <v>65531.11404</v>
          </cell>
        </row>
        <row r="65">
          <cell r="B65">
            <v>7910.4226470000003</v>
          </cell>
          <cell r="C65">
            <v>8011.7559540000002</v>
          </cell>
          <cell r="D65">
            <v>8112.063862</v>
          </cell>
          <cell r="E65">
            <v>8218.0573060000006</v>
          </cell>
          <cell r="F65">
            <v>8319.509865</v>
          </cell>
          <cell r="G65">
            <v>8428.0903820000003</v>
          </cell>
          <cell r="H65">
            <v>9431.8598039999997</v>
          </cell>
          <cell r="I65">
            <v>10553.00519</v>
          </cell>
          <cell r="J65">
            <v>11787.75909</v>
          </cell>
          <cell r="K65">
            <v>13145.36441</v>
          </cell>
          <cell r="L65">
            <v>14640.135179999999</v>
          </cell>
          <cell r="M65">
            <v>15782.700409999999</v>
          </cell>
          <cell r="N65">
            <v>16987.775699999998</v>
          </cell>
          <cell r="O65">
            <v>18284.192729999999</v>
          </cell>
          <cell r="P65">
            <v>19689.06566</v>
          </cell>
          <cell r="Q65">
            <v>21219.079000000002</v>
          </cell>
          <cell r="R65">
            <v>23299.73747</v>
          </cell>
          <cell r="S65">
            <v>25563.90566</v>
          </cell>
          <cell r="T65">
            <v>28012.561860000002</v>
          </cell>
          <cell r="U65">
            <v>30653.572469999999</v>
          </cell>
          <cell r="V65">
            <v>33493.990550000002</v>
          </cell>
          <cell r="W65">
            <v>36564.156040000002</v>
          </cell>
          <cell r="X65">
            <v>39892.440770000001</v>
          </cell>
          <cell r="Y65">
            <v>43515.80603</v>
          </cell>
          <cell r="Z65">
            <v>47479.242579999998</v>
          </cell>
          <cell r="AA65">
            <v>51815.590199999999</v>
          </cell>
          <cell r="AB65">
            <v>53343.4018</v>
          </cell>
          <cell r="AC65">
            <v>54436.917000000001</v>
          </cell>
          <cell r="AD65">
            <v>55531.293579999998</v>
          </cell>
          <cell r="AE65">
            <v>56723.376900000003</v>
          </cell>
          <cell r="AF65">
            <v>58007.320610000002</v>
          </cell>
          <cell r="AG65">
            <v>59354.368369999997</v>
          </cell>
          <cell r="AH65">
            <v>60736.170299999998</v>
          </cell>
          <cell r="AI65">
            <v>62129.181960000002</v>
          </cell>
          <cell r="AJ65">
            <v>63514.54593</v>
          </cell>
          <cell r="AK65">
            <v>64876.613980000002</v>
          </cell>
        </row>
        <row r="66">
          <cell r="B66">
            <v>109.8176077</v>
          </cell>
          <cell r="C66">
            <v>111.46172799999999</v>
          </cell>
          <cell r="D66">
            <v>113.0079463</v>
          </cell>
          <cell r="E66">
            <v>114.6878407</v>
          </cell>
          <cell r="F66">
            <v>116.2224983</v>
          </cell>
          <cell r="G66">
            <v>117.78327470000001</v>
          </cell>
          <cell r="H66">
            <v>120.5543802</v>
          </cell>
          <cell r="I66">
            <v>124.3894584</v>
          </cell>
          <cell r="J66">
            <v>128.85920899999999</v>
          </cell>
          <cell r="K66">
            <v>134.4044346</v>
          </cell>
          <cell r="L66">
            <v>140.56343269999999</v>
          </cell>
          <cell r="M66">
            <v>146.21974280000001</v>
          </cell>
          <cell r="N66">
            <v>151.0501065</v>
          </cell>
          <cell r="O66">
            <v>155.66950399999999</v>
          </cell>
          <cell r="P66">
            <v>160.39062469999999</v>
          </cell>
          <cell r="Q66">
            <v>165.3780515</v>
          </cell>
          <cell r="R66">
            <v>170.01786390000001</v>
          </cell>
          <cell r="S66">
            <v>175.15345160000001</v>
          </cell>
          <cell r="T66">
            <v>180.8738214</v>
          </cell>
          <cell r="U66">
            <v>187.3133291</v>
          </cell>
          <cell r="V66">
            <v>194.6522046</v>
          </cell>
          <cell r="W66">
            <v>203.0565995</v>
          </cell>
          <cell r="X66">
            <v>212.86070559999999</v>
          </cell>
          <cell r="Y66">
            <v>224.36385089999999</v>
          </cell>
          <cell r="Z66">
            <v>237.8520911</v>
          </cell>
          <cell r="AA66">
            <v>253.5616157</v>
          </cell>
          <cell r="AB66">
            <v>261.26374559999999</v>
          </cell>
          <cell r="AC66">
            <v>266.65733560000001</v>
          </cell>
          <cell r="AD66">
            <v>272.08170330000002</v>
          </cell>
          <cell r="AE66">
            <v>277.99145420000002</v>
          </cell>
          <cell r="AF66">
            <v>284.29423989999998</v>
          </cell>
          <cell r="AG66">
            <v>290.7766747</v>
          </cell>
          <cell r="AH66">
            <v>297.34345500000001</v>
          </cell>
          <cell r="AI66">
            <v>303.90533310000001</v>
          </cell>
          <cell r="AJ66">
            <v>310.38260129999998</v>
          </cell>
          <cell r="AK66">
            <v>316.70891719999997</v>
          </cell>
        </row>
        <row r="67">
          <cell r="B67">
            <v>109.8176077</v>
          </cell>
          <cell r="C67">
            <v>111.46172799999999</v>
          </cell>
          <cell r="D67">
            <v>113.0079463</v>
          </cell>
          <cell r="E67">
            <v>114.6878406</v>
          </cell>
          <cell r="F67">
            <v>116.2224983</v>
          </cell>
          <cell r="G67">
            <v>117.78327470000001</v>
          </cell>
          <cell r="H67">
            <v>120.5543802</v>
          </cell>
          <cell r="I67">
            <v>124.1426045</v>
          </cell>
          <cell r="J67">
            <v>128.05447100000001</v>
          </cell>
          <cell r="K67">
            <v>132.20842540000001</v>
          </cell>
          <cell r="L67">
            <v>136.55074819999999</v>
          </cell>
          <cell r="M67">
            <v>141.28696690000001</v>
          </cell>
          <cell r="N67">
            <v>145.71420209999999</v>
          </cell>
          <cell r="O67">
            <v>150.15457839999999</v>
          </cell>
          <cell r="P67">
            <v>154.73846510000001</v>
          </cell>
          <cell r="Q67">
            <v>159.56476420000001</v>
          </cell>
          <cell r="R67">
            <v>164.09659329999999</v>
          </cell>
          <cell r="S67">
            <v>169.07148330000001</v>
          </cell>
          <cell r="T67">
            <v>174.60487119999999</v>
          </cell>
          <cell r="U67">
            <v>180.86920910000001</v>
          </cell>
          <cell r="V67">
            <v>188.04526050000001</v>
          </cell>
          <cell r="W67">
            <v>196.38124479999999</v>
          </cell>
          <cell r="X67">
            <v>206.12591620000001</v>
          </cell>
          <cell r="Y67">
            <v>217.54719700000001</v>
          </cell>
          <cell r="Z67">
            <v>230.93337159999999</v>
          </cell>
          <cell r="AA67">
            <v>246.54668609999999</v>
          </cell>
          <cell r="AB67">
            <v>254.33021489999999</v>
          </cell>
          <cell r="AC67">
            <v>259.79140180000002</v>
          </cell>
          <cell r="AD67">
            <v>265.23609740000001</v>
          </cell>
          <cell r="AE67">
            <v>271.18148330000002</v>
          </cell>
          <cell r="AF67">
            <v>277.60145679999999</v>
          </cell>
          <cell r="AG67">
            <v>284.347801</v>
          </cell>
          <cell r="AH67">
            <v>291.27353190000002</v>
          </cell>
          <cell r="AI67">
            <v>298.25662440000002</v>
          </cell>
          <cell r="AJ67">
            <v>305.19969359999999</v>
          </cell>
          <cell r="AK67">
            <v>312.0223292</v>
          </cell>
        </row>
      </sheetData>
      <sheetData sheetId="2"/>
      <sheetData sheetId="4">
        <row r="1365">
          <cell r="E1365" t="str">
            <v>100*(GDP_2/GDP_0-1)</v>
          </cell>
          <cell r="F1365">
            <v>0</v>
          </cell>
          <cell r="G1365">
            <v>0</v>
          </cell>
          <cell r="H1365">
            <v>0</v>
          </cell>
          <cell r="I1365">
            <v>0</v>
          </cell>
          <cell r="J1365">
            <v>0</v>
          </cell>
          <cell r="K1365">
            <v>0</v>
          </cell>
          <cell r="L1365">
            <v>0</v>
          </cell>
          <cell r="M1365">
            <v>-0.2950639427813484</v>
          </cell>
          <cell r="N1365">
            <v>-0.57952535091619906</v>
          </cell>
          <cell r="O1365">
            <v>-0.4799761837117833</v>
          </cell>
          <cell r="P1365">
            <v>-0.33578532611262535</v>
          </cell>
          <cell r="Q1365">
            <v>-0.18593624585869772</v>
          </cell>
          <cell r="R1365">
            <v>-5.1263474599583247E-2</v>
          </cell>
          <cell r="S1365">
            <v>7.1919239536022417E-2</v>
          </cell>
          <cell r="T1365">
            <v>0.19829645049547207</v>
          </cell>
          <cell r="U1365">
            <v>0.32312373761234081</v>
          </cell>
          <cell r="V1365">
            <v>0.40994855902936056</v>
          </cell>
          <cell r="W1365">
            <v>0.46901187098644659</v>
          </cell>
          <cell r="X1365">
            <v>0.5063245811513184</v>
          </cell>
          <cell r="Y1365">
            <v>0.53111749867933433</v>
          </cell>
          <cell r="Z1365">
            <v>0.54341486628575186</v>
          </cell>
          <cell r="AA1365">
            <v>0.54769814573865094</v>
          </cell>
          <cell r="AB1365">
            <v>0.54701647551562704</v>
          </cell>
          <cell r="AC1365">
            <v>0.54486233433437281</v>
          </cell>
          <cell r="AD1365">
            <v>0.54590757021104608</v>
          </cell>
          <cell r="AE1365">
            <v>0.55370397704730401</v>
          </cell>
          <cell r="AF1365">
            <v>0.56879770350990455</v>
          </cell>
          <cell r="AG1365">
            <v>0.58804355008394982</v>
          </cell>
          <cell r="AH1365">
            <v>0.61200153913956168</v>
          </cell>
          <cell r="AI1365">
            <v>0.64350864189535173</v>
          </cell>
          <cell r="AJ1365">
            <v>0.68486787732899845</v>
          </cell>
          <cell r="AK1365">
            <v>0.73605960257434599</v>
          </cell>
          <cell r="AL1365">
            <v>0.79582843643033474</v>
          </cell>
          <cell r="AM1365">
            <v>0.86285855123886535</v>
          </cell>
          <cell r="AN1365">
            <v>0.93634535639492977</v>
          </cell>
          <cell r="AO1365">
            <v>1.0153549224254377</v>
          </cell>
        </row>
        <row r="1366">
          <cell r="C1366" t="str">
            <v>VA du secteur marchand</v>
          </cell>
          <cell r="E1366" t="str">
            <v>100*((VA_2-VA_spub_2)/(VA_0-VA_spub_0)-1)</v>
          </cell>
          <cell r="F1366">
            <v>0</v>
          </cell>
          <cell r="G1366">
            <v>0</v>
          </cell>
          <cell r="H1366">
            <v>0</v>
          </cell>
          <cell r="I1366">
            <v>-5.9728444412598947E-9</v>
          </cell>
          <cell r="J1366">
            <v>0</v>
          </cell>
          <cell r="K1366">
            <v>5.6932036862633595E-8</v>
          </cell>
          <cell r="L1366">
            <v>0</v>
          </cell>
          <cell r="M1366">
            <v>-0.35468403305292107</v>
          </cell>
          <cell r="N1366">
            <v>-0.67698624977078348</v>
          </cell>
          <cell r="O1366">
            <v>-0.51547106765853501</v>
          </cell>
          <cell r="P1366">
            <v>-0.31591579647721746</v>
          </cell>
          <cell r="Q1366">
            <v>-0.13729002490328046</v>
          </cell>
          <cell r="R1366">
            <v>2.3206290640676031E-3</v>
          </cell>
          <cell r="S1366">
            <v>0.11786914994877939</v>
          </cell>
          <cell r="T1366">
            <v>0.23403286836261028</v>
          </cell>
          <cell r="U1366">
            <v>0.34772771375353173</v>
          </cell>
          <cell r="V1366">
            <v>0.41913638180779422</v>
          </cell>
          <cell r="W1366">
            <v>0.46227126180768963</v>
          </cell>
          <cell r="X1366">
            <v>0.48221819210525485</v>
          </cell>
          <cell r="Y1366">
            <v>0.48600764416895093</v>
          </cell>
          <cell r="Z1366">
            <v>0.47700399607899513</v>
          </cell>
          <cell r="AA1366">
            <v>0.46088356131981367</v>
          </cell>
          <cell r="AB1366">
            <v>0.4422190223152267</v>
          </cell>
          <cell r="AC1366">
            <v>0.4249213509748051</v>
          </cell>
          <cell r="AD1366">
            <v>0.41399190364366234</v>
          </cell>
          <cell r="AE1366">
            <v>0.41322671284811374</v>
          </cell>
          <cell r="AF1366">
            <v>0.42449638402468626</v>
          </cell>
          <cell r="AG1366">
            <v>0.44457316841872707</v>
          </cell>
          <cell r="AH1366">
            <v>0.47299037982651004</v>
          </cell>
          <cell r="AI1366">
            <v>0.51183356576438577</v>
          </cell>
          <cell r="AJ1366">
            <v>0.56285325601832525</v>
          </cell>
          <cell r="AK1366">
            <v>0.62570919491480304</v>
          </cell>
          <cell r="AL1366">
            <v>0.69908262624480688</v>
          </cell>
          <cell r="AM1366">
            <v>0.78077528358753145</v>
          </cell>
          <cell r="AN1366">
            <v>0.86907597588550267</v>
          </cell>
          <cell r="AO1366">
            <v>0.96229651882437928</v>
          </cell>
        </row>
        <row r="1367">
          <cell r="E1367" t="str">
            <v>100*((CH_2-CH_0)/GDP_0)</v>
          </cell>
          <cell r="F1367">
            <v>0</v>
          </cell>
          <cell r="G1367">
            <v>0</v>
          </cell>
          <cell r="H1367">
            <v>0</v>
          </cell>
          <cell r="I1367">
            <v>0</v>
          </cell>
          <cell r="J1367">
            <v>0</v>
          </cell>
          <cell r="K1367">
            <v>0</v>
          </cell>
          <cell r="L1367">
            <v>0</v>
          </cell>
          <cell r="M1367">
            <v>-0.10646477512130359</v>
          </cell>
          <cell r="N1367">
            <v>-0.26420359888904299</v>
          </cell>
          <cell r="O1367">
            <v>-0.35862972466403847</v>
          </cell>
          <cell r="P1367">
            <v>-0.35167216583227423</v>
          </cell>
          <cell r="Q1367">
            <v>-0.22206289292544704</v>
          </cell>
          <cell r="R1367">
            <v>-4.9217823361294849E-3</v>
          </cell>
          <cell r="S1367">
            <v>0.25108040574590951</v>
          </cell>
          <cell r="T1367">
            <v>0.51571027731991703</v>
          </cell>
          <cell r="U1367">
            <v>0.77362137842315759</v>
          </cell>
          <cell r="V1367">
            <v>1.0029897646161066</v>
          </cell>
          <cell r="W1367">
            <v>1.1939368727352895</v>
          </cell>
          <cell r="X1367">
            <v>1.3511016196386434</v>
          </cell>
          <cell r="Y1367">
            <v>1.4810375149952151</v>
          </cell>
          <cell r="Z1367">
            <v>1.5844752219296603</v>
          </cell>
          <cell r="AA1367">
            <v>1.6620644138308118</v>
          </cell>
          <cell r="AB1367">
            <v>1.7108802864242638</v>
          </cell>
          <cell r="AC1367">
            <v>1.733997589222912</v>
          </cell>
          <cell r="AD1367">
            <v>1.7366060411498911</v>
          </cell>
          <cell r="AE1367">
            <v>1.7228674309949017</v>
          </cell>
          <cell r="AF1367">
            <v>1.6847928852858831</v>
          </cell>
          <cell r="AG1367">
            <v>1.6187338394023147</v>
          </cell>
          <cell r="AH1367">
            <v>1.5320367321269031</v>
          </cell>
          <cell r="AI1367">
            <v>1.4343257734273864</v>
          </cell>
          <cell r="AJ1367">
            <v>1.3332726719427626</v>
          </cell>
          <cell r="AK1367">
            <v>1.2309830956299541</v>
          </cell>
          <cell r="AL1367">
            <v>1.1270500719094694</v>
          </cell>
          <cell r="AM1367">
            <v>1.0256058539359436</v>
          </cell>
          <cell r="AN1367">
            <v>0.93177678781873829</v>
          </cell>
          <cell r="AO1367">
            <v>0.84967217671353656</v>
          </cell>
        </row>
        <row r="1368">
          <cell r="C1368" t="str">
            <v>Consommation des ménages automobile</v>
          </cell>
          <cell r="E1368" t="str">
            <v>100*((CH_cveh_2-CH_cveh_0)/GDP_0)</v>
          </cell>
          <cell r="F1368">
            <v>0</v>
          </cell>
          <cell r="G1368">
            <v>0</v>
          </cell>
          <cell r="H1368">
            <v>8.7712236407419439E-10</v>
          </cell>
          <cell r="I1368">
            <v>1.2886329898472195E-9</v>
          </cell>
          <cell r="J1368">
            <v>1.6811644537429759E-9</v>
          </cell>
          <cell r="K1368">
            <v>2.0547010144112079E-9</v>
          </cell>
          <cell r="L1368">
            <v>2.0083831476625979E-9</v>
          </cell>
          <cell r="M1368">
            <v>-3.6494366476916888E-2</v>
          </cell>
          <cell r="N1368">
            <v>-8.9054843701575556E-2</v>
          </cell>
          <cell r="O1368">
            <v>-0.14001362729636901</v>
          </cell>
          <cell r="P1368">
            <v>-0.1927409676677071</v>
          </cell>
          <cell r="Q1368">
            <v>-0.16855728755655625</v>
          </cell>
          <cell r="R1368">
            <v>-0.12011334961333432</v>
          </cell>
          <cell r="S1368">
            <v>-7.5890314442191437E-2</v>
          </cell>
          <cell r="T1368">
            <v>-4.390246832281916E-2</v>
          </cell>
          <cell r="U1368">
            <v>-2.3976421581472226E-2</v>
          </cell>
          <cell r="V1368">
            <v>-2.1564471237931836E-2</v>
          </cell>
          <cell r="W1368">
            <v>-2.9555630298598253E-2</v>
          </cell>
          <cell r="X1368">
            <v>-4.0726247665910612E-2</v>
          </cell>
          <cell r="Y1368">
            <v>-4.8619243124127944E-2</v>
          </cell>
          <cell r="Z1368">
            <v>-5.6263075756857496E-2</v>
          </cell>
          <cell r="AA1368">
            <v>-5.6789670426764229E-2</v>
          </cell>
          <cell r="AB1368">
            <v>-5.6660074637292487E-2</v>
          </cell>
          <cell r="AC1368">
            <v>-5.7483604263982011E-2</v>
          </cell>
          <cell r="AD1368">
            <v>-5.9061328200560717E-2</v>
          </cell>
          <cell r="AE1368">
            <v>-6.1208885135300047E-2</v>
          </cell>
          <cell r="AF1368">
            <v>-6.104602443042581E-2</v>
          </cell>
          <cell r="AG1368">
            <v>-6.2349278885372755E-2</v>
          </cell>
          <cell r="AH1368">
            <v>-6.5201140223979256E-2</v>
          </cell>
          <cell r="AI1368">
            <v>-6.8723581012950771E-2</v>
          </cell>
          <cell r="AJ1368">
            <v>-7.2434216328109813E-2</v>
          </cell>
          <cell r="AK1368">
            <v>-7.5103371589932633E-2</v>
          </cell>
          <cell r="AL1368">
            <v>-7.8738906946689446E-2</v>
          </cell>
          <cell r="AM1368">
            <v>-8.3530500775060246E-2</v>
          </cell>
          <cell r="AN1368">
            <v>-8.9041742045036038E-2</v>
          </cell>
          <cell r="AO1368">
            <v>-9.492405154162907E-2</v>
          </cell>
        </row>
        <row r="1369">
          <cell r="C1369" t="str">
            <v>Dépenses publiques</v>
          </cell>
          <cell r="E1369" t="str">
            <v>100*((G_2-G_0)/GDP_0)</v>
          </cell>
          <cell r="F1369">
            <v>0</v>
          </cell>
          <cell r="G1369">
            <v>0</v>
          </cell>
          <cell r="H1369">
            <v>0</v>
          </cell>
          <cell r="I1369">
            <v>0</v>
          </cell>
          <cell r="J1369">
            <v>0</v>
          </cell>
          <cell r="K1369">
            <v>0</v>
          </cell>
          <cell r="L1369">
            <v>0</v>
          </cell>
          <cell r="M1369">
            <v>0</v>
          </cell>
          <cell r="N1369">
            <v>0</v>
          </cell>
          <cell r="O1369">
            <v>0</v>
          </cell>
          <cell r="P1369">
            <v>0</v>
          </cell>
          <cell r="Q1369">
            <v>0</v>
          </cell>
          <cell r="R1369">
            <v>0</v>
          </cell>
          <cell r="S1369">
            <v>0</v>
          </cell>
          <cell r="T1369">
            <v>0</v>
          </cell>
          <cell r="U1369">
            <v>0</v>
          </cell>
          <cell r="V1369">
            <v>0</v>
          </cell>
          <cell r="W1369">
            <v>0</v>
          </cell>
          <cell r="X1369">
            <v>0</v>
          </cell>
          <cell r="Y1369">
            <v>0</v>
          </cell>
          <cell r="Z1369">
            <v>0</v>
          </cell>
          <cell r="AA1369">
            <v>0</v>
          </cell>
          <cell r="AB1369">
            <v>0</v>
          </cell>
          <cell r="AC1369">
            <v>0</v>
          </cell>
          <cell r="AD1369">
            <v>0</v>
          </cell>
          <cell r="AE1369">
            <v>0</v>
          </cell>
          <cell r="AF1369">
            <v>0</v>
          </cell>
          <cell r="AG1369">
            <v>0</v>
          </cell>
          <cell r="AH1369">
            <v>0</v>
          </cell>
          <cell r="AI1369">
            <v>0</v>
          </cell>
          <cell r="AJ1369">
            <v>0</v>
          </cell>
          <cell r="AK1369">
            <v>0</v>
          </cell>
          <cell r="AL1369">
            <v>0</v>
          </cell>
          <cell r="AM1369">
            <v>0</v>
          </cell>
          <cell r="AN1369">
            <v>0</v>
          </cell>
          <cell r="AO1369">
            <v>0</v>
          </cell>
        </row>
        <row r="1370">
          <cell r="E1370" t="str">
            <v>100*((I_2-I_0)/GDP_0)</v>
          </cell>
          <cell r="F1370">
            <v>0</v>
          </cell>
          <cell r="G1370">
            <v>0</v>
          </cell>
          <cell r="H1370">
            <v>0</v>
          </cell>
          <cell r="I1370">
            <v>4.2954441329165439E-9</v>
          </cell>
          <cell r="J1370">
            <v>4.2029114401594801E-9</v>
          </cell>
          <cell r="K1370">
            <v>4.1093996368357305E-9</v>
          </cell>
          <cell r="L1370">
            <v>4.0167651262920583E-9</v>
          </cell>
          <cell r="M1370">
            <v>-5.616059594016011E-2</v>
          </cell>
          <cell r="N1370">
            <v>-0.13815606344916456</v>
          </cell>
          <cell r="O1370">
            <v>-0.17333286719680141</v>
          </cell>
          <cell r="P1370">
            <v>-0.1837302389298979</v>
          </cell>
          <cell r="Q1370">
            <v>-0.17194988123769647</v>
          </cell>
          <cell r="R1370">
            <v>-0.14969006602630416</v>
          </cell>
          <cell r="S1370">
            <v>-0.1216953227241216</v>
          </cell>
          <cell r="T1370">
            <v>-8.6843497738126968E-2</v>
          </cell>
          <cell r="U1370">
            <v>-4.4682911717988077E-2</v>
          </cell>
          <cell r="V1370">
            <v>-3.5959744566292991E-3</v>
          </cell>
          <cell r="W1370">
            <v>3.5498124036276182E-2</v>
          </cell>
          <cell r="X1370">
            <v>7.3993232591371583E-2</v>
          </cell>
          <cell r="Y1370">
            <v>0.11451265527450467</v>
          </cell>
          <cell r="Z1370">
            <v>0.15860694244887447</v>
          </cell>
          <cell r="AA1370">
            <v>0.20888418139765599</v>
          </cell>
          <cell r="AB1370">
            <v>0.26526702161998655</v>
          </cell>
          <cell r="AC1370">
            <v>0.3282219384920485</v>
          </cell>
          <cell r="AD1370">
            <v>0.39863029182382265</v>
          </cell>
          <cell r="AE1370">
            <v>0.47728598278016943</v>
          </cell>
          <cell r="AF1370">
            <v>0.56334517426937947</v>
          </cell>
          <cell r="AG1370">
            <v>0.65253558165191827</v>
          </cell>
          <cell r="AH1370">
            <v>0.7426607673512724</v>
          </cell>
          <cell r="AI1370">
            <v>0.83283639084744954</v>
          </cell>
          <cell r="AJ1370">
            <v>0.92275080969297507</v>
          </cell>
          <cell r="AK1370">
            <v>1.0117084431266199</v>
          </cell>
          <cell r="AL1370">
            <v>1.0980638768922002</v>
          </cell>
          <cell r="AM1370">
            <v>1.1808479281821875</v>
          </cell>
          <cell r="AN1370">
            <v>1.2595595620366198</v>
          </cell>
          <cell r="AO1370">
            <v>1.3339494124162123</v>
          </cell>
        </row>
        <row r="1371">
          <cell r="C1371" t="str">
            <v>Variations de stocks</v>
          </cell>
          <cell r="E1371" t="str">
            <v>100*((DS_2-DS_0)/GDP_0)</v>
          </cell>
          <cell r="F1371">
            <v>0</v>
          </cell>
          <cell r="G1371">
            <v>0</v>
          </cell>
          <cell r="H1371">
            <v>0</v>
          </cell>
          <cell r="I1371">
            <v>0</v>
          </cell>
          <cell r="J1371">
            <v>0</v>
          </cell>
          <cell r="K1371">
            <v>0</v>
          </cell>
          <cell r="L1371">
            <v>0</v>
          </cell>
          <cell r="M1371">
            <v>0</v>
          </cell>
          <cell r="N1371">
            <v>0</v>
          </cell>
          <cell r="O1371">
            <v>0</v>
          </cell>
          <cell r="P1371">
            <v>0</v>
          </cell>
          <cell r="Q1371">
            <v>0</v>
          </cell>
          <cell r="R1371">
            <v>0</v>
          </cell>
          <cell r="S1371">
            <v>0</v>
          </cell>
          <cell r="T1371">
            <v>0</v>
          </cell>
          <cell r="U1371">
            <v>0</v>
          </cell>
          <cell r="V1371">
            <v>0</v>
          </cell>
          <cell r="W1371">
            <v>0</v>
          </cell>
          <cell r="X1371">
            <v>0</v>
          </cell>
          <cell r="Y1371">
            <v>0</v>
          </cell>
          <cell r="Z1371">
            <v>0</v>
          </cell>
          <cell r="AA1371">
            <v>0</v>
          </cell>
          <cell r="AB1371">
            <v>0</v>
          </cell>
          <cell r="AC1371">
            <v>0</v>
          </cell>
          <cell r="AD1371">
            <v>0</v>
          </cell>
          <cell r="AE1371">
            <v>0</v>
          </cell>
          <cell r="AF1371">
            <v>0</v>
          </cell>
          <cell r="AG1371">
            <v>0</v>
          </cell>
          <cell r="AH1371">
            <v>0</v>
          </cell>
          <cell r="AI1371">
            <v>0</v>
          </cell>
          <cell r="AJ1371">
            <v>0</v>
          </cell>
          <cell r="AK1371">
            <v>0</v>
          </cell>
          <cell r="AL1371">
            <v>0</v>
          </cell>
          <cell r="AM1371">
            <v>0</v>
          </cell>
          <cell r="AN1371">
            <v>0</v>
          </cell>
          <cell r="AO1371">
            <v>0</v>
          </cell>
        </row>
        <row r="1372">
          <cell r="E1372" t="str">
            <v>100*((X_2-X_0)/GDP_0)-100*((M_2-M_0)/GDP_0)</v>
          </cell>
          <cell r="F1372">
            <v>-4.552083073732457E-9</v>
          </cell>
          <cell r="G1372">
            <v>0</v>
          </cell>
          <cell r="H1372">
            <v>-4.3856079912291818E-9</v>
          </cell>
          <cell r="I1372">
            <v>-4.2954416326391076E-9</v>
          </cell>
          <cell r="J1372">
            <v>-4.2029089937431566E-9</v>
          </cell>
          <cell r="K1372">
            <v>-8.2188040576448316E-9</v>
          </cell>
          <cell r="L1372">
            <v>-1.2050300055008723E-8</v>
          </cell>
          <cell r="M1372">
            <v>-0.13243858742076256</v>
          </cell>
          <cell r="N1372">
            <v>-0.1771656694026546</v>
          </cell>
          <cell r="O1372">
            <v>5.1986415642164552E-2</v>
          </cell>
          <cell r="P1372">
            <v>0.19961713723595556</v>
          </cell>
          <cell r="Q1372">
            <v>0.20807653548105276</v>
          </cell>
          <cell r="R1372">
            <v>0.10334834909861412</v>
          </cell>
          <cell r="S1372">
            <v>-5.7465826158498823E-2</v>
          </cell>
          <cell r="T1372">
            <v>-0.23057031543669146</v>
          </cell>
          <cell r="U1372">
            <v>-0.40581473918069838</v>
          </cell>
          <cell r="V1372">
            <v>-0.58944520461379246</v>
          </cell>
          <cell r="W1372">
            <v>-0.76042309638491645</v>
          </cell>
          <cell r="X1372">
            <v>-0.91877028073259004</v>
          </cell>
          <cell r="Y1372">
            <v>-1.064432658919432</v>
          </cell>
          <cell r="Z1372">
            <v>-1.1996673541794873</v>
          </cell>
          <cell r="AA1372">
            <v>-1.3232504219344772</v>
          </cell>
          <cell r="AB1372">
            <v>-1.4291308475530882</v>
          </cell>
          <cell r="AC1372">
            <v>-1.5173571815983689</v>
          </cell>
          <cell r="AD1372">
            <v>-1.589328808907575</v>
          </cell>
          <cell r="AE1372">
            <v>-1.6464493746499322</v>
          </cell>
          <cell r="AF1372">
            <v>-1.6793403450135131</v>
          </cell>
          <cell r="AG1372">
            <v>-1.6832258575038925</v>
          </cell>
          <cell r="AH1372">
            <v>-1.6626959866183924</v>
          </cell>
          <cell r="AI1372">
            <v>-1.623653573632635</v>
          </cell>
          <cell r="AJ1372">
            <v>-1.5711556043067165</v>
          </cell>
          <cell r="AK1372">
            <v>-1.5066319848770289</v>
          </cell>
          <cell r="AL1372">
            <v>-1.4292855123713495</v>
          </cell>
          <cell r="AM1372">
            <v>-1.3435952540153477</v>
          </cell>
          <cell r="AN1372">
            <v>-1.2549909934604231</v>
          </cell>
          <cell r="AO1372">
            <v>-1.1682666887227409</v>
          </cell>
        </row>
        <row r="1373">
          <cell r="C1373" t="str">
            <v>Consommation des ménages</v>
          </cell>
          <cell r="E1373" t="str">
            <v>100*((CH_2-CH_ccon_2-(CH_0-CH_ccon_0))/GDP_0)</v>
          </cell>
          <cell r="F1373">
            <v>0</v>
          </cell>
          <cell r="G1373">
            <v>0</v>
          </cell>
          <cell r="H1373">
            <v>0</v>
          </cell>
          <cell r="I1373">
            <v>0</v>
          </cell>
          <cell r="J1373">
            <v>0</v>
          </cell>
          <cell r="K1373">
            <v>0</v>
          </cell>
          <cell r="L1373">
            <v>-4.0167043365689272E-10</v>
          </cell>
          <cell r="M1373">
            <v>-0.10449137748497214</v>
          </cell>
          <cell r="N1373">
            <v>-0.25889823269833673</v>
          </cell>
          <cell r="O1373">
            <v>-0.35035215460779801</v>
          </cell>
          <cell r="P1373">
            <v>-0.34139174586301568</v>
          </cell>
          <cell r="Q1373">
            <v>-0.21154884727630913</v>
          </cell>
          <cell r="R1373">
            <v>3.7494347553103913E-3</v>
          </cell>
          <cell r="S1373">
            <v>0.2565202290343972</v>
          </cell>
          <cell r="T1373">
            <v>0.51723171477301255</v>
          </cell>
          <cell r="U1373">
            <v>0.77100573354966206</v>
          </cell>
          <cell r="V1373">
            <v>0.99651160225898527</v>
          </cell>
          <cell r="W1373">
            <v>1.1842001714223247</v>
          </cell>
          <cell r="X1373">
            <v>1.338688494968405</v>
          </cell>
          <cell r="Y1373">
            <v>1.4663918162122447</v>
          </cell>
          <cell r="Z1373">
            <v>1.5679076989080327</v>
          </cell>
          <cell r="AA1373">
            <v>1.6438277123913572</v>
          </cell>
          <cell r="AB1373">
            <v>1.6912402294509614</v>
          </cell>
          <cell r="AC1373">
            <v>1.7132349813628303</v>
          </cell>
          <cell r="AD1373">
            <v>1.7149821707790409</v>
          </cell>
          <cell r="AE1373">
            <v>1.7006208359526604</v>
          </cell>
          <cell r="AF1373">
            <v>1.6623486558885192</v>
          </cell>
          <cell r="AG1373">
            <v>1.5966785924968259</v>
          </cell>
          <cell r="AH1373">
            <v>1.5109255967505171</v>
          </cell>
          <cell r="AI1373">
            <v>1.4145617399953603</v>
          </cell>
          <cell r="AJ1373">
            <v>1.3150901761117879</v>
          </cell>
          <cell r="AK1373">
            <v>1.2145274751808086</v>
          </cell>
          <cell r="AL1373">
            <v>1.1124459768620742</v>
          </cell>
          <cell r="AM1373">
            <v>1.0129040226115289</v>
          </cell>
          <cell r="AN1373">
            <v>0.92092290219065787</v>
          </cell>
          <cell r="AO1373">
            <v>0.84051201325245217</v>
          </cell>
        </row>
        <row r="1374">
          <cell r="E1374" t="str">
            <v>100*((I_2+CH_ccon_2-(I_0+CH_ccon_0))/GDP_0)</v>
          </cell>
          <cell r="F1374">
            <v>0</v>
          </cell>
          <cell r="G1374">
            <v>0</v>
          </cell>
          <cell r="H1374">
            <v>0</v>
          </cell>
          <cell r="I1374">
            <v>4.2954441329165439E-9</v>
          </cell>
          <cell r="J1374">
            <v>4.2029089937431566E-9</v>
          </cell>
          <cell r="K1374">
            <v>4.1093996368357305E-9</v>
          </cell>
          <cell r="L1374">
            <v>4.4184402360814992E-9</v>
          </cell>
          <cell r="M1374">
            <v>-5.8133993576491551E-2</v>
          </cell>
          <cell r="N1374">
            <v>-0.14346142963987529</v>
          </cell>
          <cell r="O1374">
            <v>-0.18161043725303316</v>
          </cell>
          <cell r="P1374">
            <v>-0.19401065889915217</v>
          </cell>
          <cell r="Q1374">
            <v>-0.18246392688683855</v>
          </cell>
          <cell r="R1374">
            <v>-0.15836128311773995</v>
          </cell>
          <cell r="S1374">
            <v>-0.12713514601260528</v>
          </cell>
          <cell r="T1374">
            <v>-8.8364935191214564E-2</v>
          </cell>
          <cell r="U1374">
            <v>-4.2067266844488582E-2</v>
          </cell>
          <cell r="V1374">
            <v>2.8821879004919029E-3</v>
          </cell>
          <cell r="W1374">
            <v>4.5234825349237104E-2</v>
          </cell>
          <cell r="X1374">
            <v>8.6406357261609834E-2</v>
          </cell>
          <cell r="Y1374">
            <v>0.12915835405747134</v>
          </cell>
          <cell r="Z1374">
            <v>0.17517446547050211</v>
          </cell>
          <cell r="AA1374">
            <v>0.22712088283711085</v>
          </cell>
          <cell r="AB1374">
            <v>0.28490707859328923</v>
          </cell>
          <cell r="AC1374">
            <v>0.34898454635213028</v>
          </cell>
          <cell r="AD1374">
            <v>0.42025416219466971</v>
          </cell>
          <cell r="AE1374">
            <v>0.49953257782241078</v>
          </cell>
          <cell r="AF1374">
            <v>0.5857894036667467</v>
          </cell>
          <cell r="AG1374">
            <v>0.67459082855740704</v>
          </cell>
          <cell r="AH1374">
            <v>0.76377190272765827</v>
          </cell>
          <cell r="AI1374">
            <v>0.85260042427947547</v>
          </cell>
          <cell r="AJ1374">
            <v>0.94093330552394383</v>
          </cell>
          <cell r="AK1374">
            <v>1.0281640635757598</v>
          </cell>
          <cell r="AL1374">
            <v>1.1126679719396009</v>
          </cell>
          <cell r="AM1374">
            <v>1.1935497595066076</v>
          </cell>
          <cell r="AN1374">
            <v>1.2704134476647002</v>
          </cell>
          <cell r="AO1374">
            <v>1.3431095758772869</v>
          </cell>
        </row>
        <row r="1375">
          <cell r="C1375" t="str">
            <v>Investissement entreprises</v>
          </cell>
          <cell r="E1375" t="str">
            <v>100*((I_2-IA_spub_2-(I_0-IA_spub_0))/GDP_0)</v>
          </cell>
          <cell r="F1375">
            <v>0</v>
          </cell>
          <cell r="G1375">
            <v>0</v>
          </cell>
          <cell r="H1375">
            <v>0</v>
          </cell>
          <cell r="I1375">
            <v>4.2954441329165439E-9</v>
          </cell>
          <cell r="J1375">
            <v>3.7826220086349584E-9</v>
          </cell>
          <cell r="K1375">
            <v>4.1093996368357305E-9</v>
          </cell>
          <cell r="L1375">
            <v>3.2134102305806274E-9</v>
          </cell>
          <cell r="M1375">
            <v>-5.3880681596743529E-2</v>
          </cell>
          <cell r="N1375">
            <v>-0.13247476092051419</v>
          </cell>
          <cell r="O1375">
            <v>-0.16440092738340348</v>
          </cell>
          <cell r="P1375">
            <v>-0.17157801690294075</v>
          </cell>
          <cell r="Q1375">
            <v>-0.15842642143120014</v>
          </cell>
          <cell r="R1375">
            <v>-0.13602871426572294</v>
          </cell>
          <cell r="S1375">
            <v>-0.10870810403781789</v>
          </cell>
          <cell r="T1375">
            <v>-7.5132616100002034E-2</v>
          </cell>
          <cell r="U1375">
            <v>-3.4741455123518422E-2</v>
          </cell>
          <cell r="V1375">
            <v>4.4737038040847266E-3</v>
          </cell>
          <cell r="W1375">
            <v>4.1714032591688099E-2</v>
          </cell>
          <cell r="X1375">
            <v>7.829070209311606E-2</v>
          </cell>
          <cell r="Y1375">
            <v>0.11666174973243508</v>
          </cell>
          <cell r="Z1375">
            <v>0.15833604330319193</v>
          </cell>
          <cell r="AA1375">
            <v>0.20576689566997394</v>
          </cell>
          <cell r="AB1375">
            <v>0.259023311485712</v>
          </cell>
          <cell r="AC1375">
            <v>0.31861912822045013</v>
          </cell>
          <cell r="AD1375">
            <v>0.38545047782023034</v>
          </cell>
          <cell r="AE1375">
            <v>0.46033628734378285</v>
          </cell>
          <cell r="AF1375">
            <v>0.54257910643773521</v>
          </cell>
          <cell r="AG1375">
            <v>0.62826714360410074</v>
          </cell>
          <cell r="AH1375">
            <v>0.71529922743241559</v>
          </cell>
          <cell r="AI1375">
            <v>0.80277400875024119</v>
          </cell>
          <cell r="AJ1375">
            <v>0.89033160590493088</v>
          </cell>
          <cell r="AK1375">
            <v>0.97726287512516596</v>
          </cell>
          <cell r="AL1375">
            <v>1.0619963310828651</v>
          </cell>
          <cell r="AM1375">
            <v>1.1435437705936593</v>
          </cell>
          <cell r="AN1375">
            <v>1.2213466743433261</v>
          </cell>
          <cell r="AO1375">
            <v>1.2950889210143721</v>
          </cell>
        </row>
        <row r="1376">
          <cell r="C1376" t="str">
            <v>Investissement ménages</v>
          </cell>
          <cell r="E1376" t="str">
            <v>100*((CH_ccon_2-CH_ccon_0)/GDP_0)</v>
          </cell>
          <cell r="F1376">
            <v>0</v>
          </cell>
          <cell r="G1376">
            <v>0</v>
          </cell>
          <cell r="H1376">
            <v>0</v>
          </cell>
          <cell r="I1376">
            <v>0</v>
          </cell>
          <cell r="J1376">
            <v>0</v>
          </cell>
          <cell r="K1376">
            <v>0</v>
          </cell>
          <cell r="L1376">
            <v>4.0167671721000476E-10</v>
          </cell>
          <cell r="M1376">
            <v>-1.9733976363313015E-3</v>
          </cell>
          <cell r="N1376">
            <v>-5.3053661907082319E-3</v>
          </cell>
          <cell r="O1376">
            <v>-8.2775700562350112E-3</v>
          </cell>
          <cell r="P1376">
            <v>-1.0280419969256552E-2</v>
          </cell>
          <cell r="Q1376">
            <v>-1.0514045649139608E-2</v>
          </cell>
          <cell r="R1376">
            <v>-8.6712170914361592E-3</v>
          </cell>
          <cell r="S1376">
            <v>-5.4398232884851601E-3</v>
          </cell>
          <cell r="T1376">
            <v>-1.521437453088578E-3</v>
          </cell>
          <cell r="U1376">
            <v>2.6156448734997446E-3</v>
          </cell>
          <cell r="V1376">
            <v>6.4781623571225286E-3</v>
          </cell>
          <cell r="W1376">
            <v>9.7367013129607966E-3</v>
          </cell>
          <cell r="X1376">
            <v>1.2413124670238366E-2</v>
          </cell>
          <cell r="Y1376">
            <v>1.4645698782965625E-2</v>
          </cell>
          <cell r="Z1376">
            <v>1.6567523021628866E-2</v>
          </cell>
          <cell r="AA1376">
            <v>1.8236701439456285E-2</v>
          </cell>
          <cell r="AB1376">
            <v>1.9640056973300547E-2</v>
          </cell>
          <cell r="AC1376">
            <v>2.0762607860082716E-2</v>
          </cell>
          <cell r="AD1376">
            <v>2.1623870370847426E-2</v>
          </cell>
          <cell r="AE1376">
            <v>2.2246595042241149E-2</v>
          </cell>
          <cell r="AF1376">
            <v>2.2444229397365196E-2</v>
          </cell>
          <cell r="AG1376">
            <v>2.205524690548866E-2</v>
          </cell>
          <cell r="AH1376">
            <v>2.1111135376385131E-2</v>
          </cell>
          <cell r="AI1376">
            <v>1.9764033432021606E-2</v>
          </cell>
          <cell r="AJ1376">
            <v>1.8182495830969106E-2</v>
          </cell>
          <cell r="AK1376">
            <v>1.6455620449142169E-2</v>
          </cell>
          <cell r="AL1376">
            <v>1.4604095047401833E-2</v>
          </cell>
          <cell r="AM1376">
            <v>1.2701831324420302E-2</v>
          </cell>
          <cell r="AN1376">
            <v>1.085388562808021E-2</v>
          </cell>
          <cell r="AO1376">
            <v>9.1601634610767608E-3</v>
          </cell>
        </row>
        <row r="1377">
          <cell r="C1377" t="str">
            <v>Investissement public</v>
          </cell>
          <cell r="E1377" t="str">
            <v>100*((IA_spub_2-IA_spub_0)/GDP_0)</v>
          </cell>
          <cell r="F1377">
            <v>0</v>
          </cell>
          <cell r="G1377">
            <v>0</v>
          </cell>
          <cell r="H1377">
            <v>0</v>
          </cell>
          <cell r="I1377">
            <v>0</v>
          </cell>
          <cell r="J1377">
            <v>4.202912663367642E-10</v>
          </cell>
          <cell r="K1377">
            <v>0</v>
          </cell>
          <cell r="L1377">
            <v>8.0335372667829391E-10</v>
          </cell>
          <cell r="M1377">
            <v>-2.2799143434154337E-3</v>
          </cell>
          <cell r="N1377">
            <v>-5.6813025286503709E-3</v>
          </cell>
          <cell r="O1377">
            <v>-8.9319398133987562E-3</v>
          </cell>
          <cell r="P1377">
            <v>-1.2152222026956079E-2</v>
          </cell>
          <cell r="Q1377">
            <v>-1.3523459806499431E-2</v>
          </cell>
          <cell r="R1377">
            <v>-1.3661351760580726E-2</v>
          </cell>
          <cell r="S1377">
            <v>-1.2987218686303476E-2</v>
          </cell>
          <cell r="T1377">
            <v>-1.1710881638123454E-2</v>
          </cell>
          <cell r="U1377">
            <v>-9.941456594468186E-3</v>
          </cell>
          <cell r="V1377">
            <v>-8.069678260711614E-3</v>
          </cell>
          <cell r="W1377">
            <v>-6.2159085554093036E-3</v>
          </cell>
          <cell r="X1377">
            <v>-4.2974695017419049E-3</v>
          </cell>
          <cell r="Y1377">
            <v>-2.1490944579292516E-3</v>
          </cell>
          <cell r="Z1377">
            <v>2.7089914567959128E-4</v>
          </cell>
          <cell r="AA1377">
            <v>3.1172857276807503E-3</v>
          </cell>
          <cell r="AB1377">
            <v>6.2437101342775652E-3</v>
          </cell>
          <cell r="AC1377">
            <v>9.6028102716003375E-3</v>
          </cell>
          <cell r="AD1377">
            <v>1.3179814003591469E-2</v>
          </cell>
          <cell r="AE1377">
            <v>1.6949695436385696E-2</v>
          </cell>
          <cell r="AF1377">
            <v>2.0766067831644579E-2</v>
          </cell>
          <cell r="AG1377">
            <v>2.4268438047818246E-2</v>
          </cell>
          <cell r="AH1377">
            <v>2.7361539918858539E-2</v>
          </cell>
          <cell r="AI1377">
            <v>3.0062382097207907E-2</v>
          </cell>
          <cell r="AJ1377">
            <v>3.2419203788043027E-2</v>
          </cell>
          <cell r="AK1377">
            <v>3.4445568001456733E-2</v>
          </cell>
          <cell r="AL1377">
            <v>3.6067545809333343E-2</v>
          </cell>
          <cell r="AM1377">
            <v>3.7304157588528127E-2</v>
          </cell>
          <cell r="AN1377">
            <v>3.8212887693290773E-2</v>
          </cell>
          <cell r="AO1377">
            <v>3.8860491401842501E-2</v>
          </cell>
        </row>
        <row r="1378">
          <cell r="C1378" t="str">
            <v>Consommation des ménages</v>
          </cell>
          <cell r="E1378" t="str">
            <v>100*(CH_2/CH_0-1)</v>
          </cell>
          <cell r="F1378">
            <v>0</v>
          </cell>
          <cell r="G1378">
            <v>0</v>
          </cell>
          <cell r="H1378">
            <v>0</v>
          </cell>
          <cell r="I1378">
            <v>0</v>
          </cell>
          <cell r="J1378">
            <v>0</v>
          </cell>
          <cell r="K1378">
            <v>0</v>
          </cell>
          <cell r="L1378">
            <v>0</v>
          </cell>
          <cell r="M1378">
            <v>-0.1944644245064131</v>
          </cell>
          <cell r="N1378">
            <v>-0.48213331582790397</v>
          </cell>
          <cell r="O1378">
            <v>-0.6539038020091259</v>
          </cell>
          <cell r="P1378">
            <v>-0.64032694307663007</v>
          </cell>
          <cell r="Q1378">
            <v>-0.40325861833147014</v>
          </cell>
          <cell r="R1378">
            <v>-8.9132779139466933E-3</v>
          </cell>
          <cell r="S1378">
            <v>0.45369894725550974</v>
          </cell>
          <cell r="T1378">
            <v>0.93074734324298802</v>
          </cell>
          <cell r="U1378">
            <v>1.3962064535124163</v>
          </cell>
          <cell r="V1378">
            <v>1.8123288856670472</v>
          </cell>
          <cell r="W1378">
            <v>2.16233801380048</v>
          </cell>
          <cell r="X1378">
            <v>2.4549802672521048</v>
          </cell>
          <cell r="Y1378">
            <v>2.701915627245155</v>
          </cell>
          <cell r="Z1378">
            <v>2.9043971625505316</v>
          </cell>
          <cell r="AA1378">
            <v>3.062138809871473</v>
          </cell>
          <cell r="AB1378">
            <v>3.1689633020109964</v>
          </cell>
          <cell r="AC1378">
            <v>3.2294127784504578</v>
          </cell>
          <cell r="AD1378">
            <v>3.2519439392154847</v>
          </cell>
          <cell r="AE1378">
            <v>3.2446743189671334</v>
          </cell>
          <cell r="AF1378">
            <v>3.190512310152549</v>
          </cell>
          <cell r="AG1378">
            <v>3.0814943570480979</v>
          </cell>
          <cell r="AH1378">
            <v>2.9305674817836191</v>
          </cell>
          <cell r="AI1378">
            <v>2.7551792822062326</v>
          </cell>
          <cell r="AJ1378">
            <v>2.5697302280403678</v>
          </cell>
          <cell r="AK1378">
            <v>2.3785935724183416</v>
          </cell>
          <cell r="AL1378">
            <v>2.1816035243477971</v>
          </cell>
          <cell r="AM1378">
            <v>1.9874387193278942</v>
          </cell>
          <cell r="AN1378">
            <v>1.8066821215543927</v>
          </cell>
          <cell r="AO1378">
            <v>1.6478442631691292</v>
          </cell>
        </row>
        <row r="1379">
          <cell r="C1379" t="str">
            <v>Consommation des ménages automobile</v>
          </cell>
          <cell r="E1379" t="str">
            <v>100*(CH_cveh_2/CH_cveh_0-1)</v>
          </cell>
          <cell r="F1379">
            <v>0</v>
          </cell>
          <cell r="G1379">
            <v>0</v>
          </cell>
          <cell r="H1379">
            <v>2.8212632230406598E-8</v>
          </cell>
          <cell r="I1379">
            <v>3.9862535494705753E-8</v>
          </cell>
          <cell r="J1379">
            <v>5.0523141226221924E-8</v>
          </cell>
          <cell r="K1379">
            <v>6.0683502667302491E-8</v>
          </cell>
          <cell r="L1379">
            <v>5.886873211125021E-8</v>
          </cell>
          <cell r="M1379">
            <v>-1.0688081550857986</v>
          </cell>
          <cell r="N1379">
            <v>-2.6170701146649877</v>
          </cell>
          <cell r="O1379">
            <v>-4.1394732895288939</v>
          </cell>
          <cell r="P1379">
            <v>-5.7375441268674994</v>
          </cell>
          <cell r="Q1379">
            <v>-5.0561460018990196</v>
          </cell>
          <cell r="R1379">
            <v>-3.635379528917404</v>
          </cell>
          <cell r="S1379">
            <v>-2.3207378117167554</v>
          </cell>
          <cell r="T1379">
            <v>-1.3582953039885104</v>
          </cell>
          <cell r="U1379">
            <v>-0.75133868046445285</v>
          </cell>
          <cell r="V1379">
            <v>-0.68487924824378599</v>
          </cell>
          <cell r="W1379">
            <v>-0.95155179190974382</v>
          </cell>
          <cell r="X1379">
            <v>-1.3291096990671325</v>
          </cell>
          <cell r="Y1379">
            <v>-1.6080396093431926</v>
          </cell>
          <cell r="Z1379">
            <v>-1.886004482738568</v>
          </cell>
          <cell r="AA1379">
            <v>-1.9279936124245944</v>
          </cell>
          <cell r="AB1379">
            <v>-1.9472820810201852</v>
          </cell>
          <cell r="AC1379">
            <v>-1.9990869075680484</v>
          </cell>
          <cell r="AD1379">
            <v>-2.0776208774015981</v>
          </cell>
          <cell r="AE1379">
            <v>-2.1792399537909457</v>
          </cell>
          <cell r="AF1379">
            <v>-2.1983800984693658</v>
          </cell>
          <cell r="AG1379">
            <v>-2.2700374519803668</v>
          </cell>
          <cell r="AH1379">
            <v>-2.3988225046998268</v>
          </cell>
          <cell r="AI1379">
            <v>-2.5533567204116037</v>
          </cell>
          <cell r="AJ1379">
            <v>-2.7161209994759905</v>
          </cell>
          <cell r="AK1379">
            <v>-2.8411698062431934</v>
          </cell>
          <cell r="AL1379">
            <v>-3.004783876811512</v>
          </cell>
          <cell r="AM1379">
            <v>-3.2159971236315643</v>
          </cell>
          <cell r="AN1379">
            <v>-3.4598205968221052</v>
          </cell>
          <cell r="AO1379">
            <v>-3.7241392123855799</v>
          </cell>
        </row>
        <row r="1380">
          <cell r="C1380" t="str">
            <v>Dépenses publiques</v>
          </cell>
          <cell r="E1380" t="str">
            <v>100*(G_2/G_0-1)</v>
          </cell>
          <cell r="F1380">
            <v>0</v>
          </cell>
          <cell r="G1380">
            <v>0</v>
          </cell>
          <cell r="H1380">
            <v>0</v>
          </cell>
          <cell r="I1380">
            <v>0</v>
          </cell>
          <cell r="J1380">
            <v>0</v>
          </cell>
          <cell r="K1380">
            <v>0</v>
          </cell>
          <cell r="L1380">
            <v>0</v>
          </cell>
          <cell r="M1380">
            <v>0</v>
          </cell>
          <cell r="N1380">
            <v>0</v>
          </cell>
          <cell r="O1380">
            <v>0</v>
          </cell>
          <cell r="P1380">
            <v>0</v>
          </cell>
          <cell r="Q1380">
            <v>0</v>
          </cell>
          <cell r="R1380">
            <v>0</v>
          </cell>
          <cell r="S1380">
            <v>0</v>
          </cell>
          <cell r="T1380">
            <v>0</v>
          </cell>
          <cell r="U1380">
            <v>0</v>
          </cell>
          <cell r="V1380">
            <v>0</v>
          </cell>
          <cell r="W1380">
            <v>0</v>
          </cell>
          <cell r="X1380">
            <v>0</v>
          </cell>
          <cell r="Y1380">
            <v>0</v>
          </cell>
          <cell r="Z1380">
            <v>0</v>
          </cell>
          <cell r="AA1380">
            <v>0</v>
          </cell>
          <cell r="AB1380">
            <v>0</v>
          </cell>
          <cell r="AC1380">
            <v>0</v>
          </cell>
          <cell r="AD1380">
            <v>0</v>
          </cell>
          <cell r="AE1380">
            <v>0</v>
          </cell>
          <cell r="AF1380">
            <v>0</v>
          </cell>
          <cell r="AG1380">
            <v>0</v>
          </cell>
          <cell r="AH1380">
            <v>0</v>
          </cell>
          <cell r="AI1380">
            <v>0</v>
          </cell>
          <cell r="AJ1380">
            <v>0</v>
          </cell>
          <cell r="AK1380">
            <v>0</v>
          </cell>
          <cell r="AL1380">
            <v>0</v>
          </cell>
          <cell r="AM1380">
            <v>0</v>
          </cell>
          <cell r="AN1380">
            <v>0</v>
          </cell>
          <cell r="AO1380">
            <v>0</v>
          </cell>
        </row>
        <row r="1381">
          <cell r="C1381" t="str">
            <v>Investissement</v>
          </cell>
          <cell r="E1381" t="str">
            <v>100*(I_2/I_0-1)</v>
          </cell>
          <cell r="F1381">
            <v>0</v>
          </cell>
          <cell r="G1381">
            <v>0</v>
          </cell>
          <cell r="H1381">
            <v>0</v>
          </cell>
          <cell r="I1381">
            <v>1.9924750738198327E-8</v>
          </cell>
          <cell r="J1381">
            <v>1.9439982956725999E-8</v>
          </cell>
          <cell r="K1381">
            <v>1.8941448409748318E-8</v>
          </cell>
          <cell r="L1381">
            <v>1.8433010673390982E-8</v>
          </cell>
          <cell r="M1381">
            <v>-0.25640340811622364</v>
          </cell>
          <cell r="N1381">
            <v>-0.62713648420643642</v>
          </cell>
          <cell r="O1381">
            <v>-0.78183701344138878</v>
          </cell>
          <cell r="P1381">
            <v>-0.82290922921121057</v>
          </cell>
          <cell r="Q1381">
            <v>-0.76383873837161387</v>
          </cell>
          <cell r="R1381">
            <v>-0.65930940245846337</v>
          </cell>
          <cell r="S1381">
            <v>-0.53133810909873347</v>
          </cell>
          <cell r="T1381">
            <v>-0.37580008988947755</v>
          </cell>
          <cell r="U1381">
            <v>-0.19160989761852765</v>
          </cell>
          <cell r="V1381">
            <v>-1.5278809258623127E-2</v>
          </cell>
          <cell r="W1381">
            <v>0.14943098529582866</v>
          </cell>
          <cell r="X1381">
            <v>0.30858687813564156</v>
          </cell>
          <cell r="Y1381">
            <v>0.47314034224870127</v>
          </cell>
          <cell r="Z1381">
            <v>0.64924194866804452</v>
          </cell>
          <cell r="AA1381">
            <v>0.84723514644542419</v>
          </cell>
          <cell r="AB1381">
            <v>1.0662452509574871</v>
          </cell>
          <cell r="AC1381">
            <v>1.3075791666376402</v>
          </cell>
          <cell r="AD1381">
            <v>1.574091810721634</v>
          </cell>
          <cell r="AE1381">
            <v>1.8679004926984266</v>
          </cell>
          <cell r="AF1381">
            <v>2.1880018855701344</v>
          </cell>
          <cell r="AG1381">
            <v>2.5180315811931031</v>
          </cell>
          <cell r="AH1381">
            <v>2.8495041085941031</v>
          </cell>
          <cell r="AI1381">
            <v>3.1788282021494974</v>
          </cell>
          <cell r="AJ1381">
            <v>3.5046248103150379</v>
          </cell>
          <cell r="AK1381">
            <v>3.8241880992752941</v>
          </cell>
          <cell r="AL1381">
            <v>4.1313258005817532</v>
          </cell>
          <cell r="AM1381">
            <v>4.4224512469293042</v>
          </cell>
          <cell r="AN1381">
            <v>4.695759465682614</v>
          </cell>
          <cell r="AO1381">
            <v>4.950410868666455</v>
          </cell>
        </row>
        <row r="1382">
          <cell r="C1382" t="str">
            <v>Investissement entreprises</v>
          </cell>
          <cell r="E1382" t="str">
            <v>100*((I_2-IA_spub_2)/(I_0-IA_spub_0)-1)</v>
          </cell>
          <cell r="F1382">
            <v>0</v>
          </cell>
          <cell r="G1382">
            <v>0</v>
          </cell>
          <cell r="H1382">
            <v>0</v>
          </cell>
          <cell r="I1382">
            <v>2.1703727703936693E-8</v>
          </cell>
          <cell r="J1382">
            <v>1.9041745957792955E-8</v>
          </cell>
          <cell r="K1382">
            <v>2.0595525285216354E-8</v>
          </cell>
          <cell r="L1382">
            <v>1.6017787096700431E-8</v>
          </cell>
          <cell r="M1382">
            <v>-0.2669133088415987</v>
          </cell>
          <cell r="N1382">
            <v>-0.65174588882487283</v>
          </cell>
          <cell r="O1382">
            <v>-0.80275803571641102</v>
          </cell>
          <cell r="P1382">
            <v>-0.83094030472419256</v>
          </cell>
          <cell r="Q1382">
            <v>-0.76016906958802366</v>
          </cell>
          <cell r="R1382">
            <v>-0.64656953551386342</v>
          </cell>
          <cell r="S1382">
            <v>-0.51180481317484317</v>
          </cell>
          <cell r="T1382">
            <v>-0.35033907135032516</v>
          </cell>
          <cell r="U1382">
            <v>-0.16042957144591918</v>
          </cell>
          <cell r="V1382">
            <v>2.0456458135087452E-2</v>
          </cell>
          <cell r="W1382">
            <v>0.18885892457127795</v>
          </cell>
          <cell r="X1382">
            <v>0.35094175372756276</v>
          </cell>
          <cell r="Y1382">
            <v>0.51773322112895759</v>
          </cell>
          <cell r="Z1382">
            <v>0.69564016055434497</v>
          </cell>
          <cell r="AA1382">
            <v>0.89504876993113935</v>
          </cell>
          <cell r="AB1382">
            <v>1.1155954787306133</v>
          </cell>
          <cell r="AC1382">
            <v>1.3587965500794885</v>
          </cell>
          <cell r="AD1382">
            <v>1.6276685580718597</v>
          </cell>
          <cell r="AE1382">
            <v>1.9244851646628591</v>
          </cell>
          <cell r="AF1382">
            <v>2.2487047783474434</v>
          </cell>
          <cell r="AG1382">
            <v>2.5842484551083178</v>
          </cell>
          <cell r="AH1382">
            <v>2.9223769853964354</v>
          </cell>
          <cell r="AI1382">
            <v>3.2591726376542951</v>
          </cell>
          <cell r="AJ1382">
            <v>3.5929978436454846</v>
          </cell>
          <cell r="AK1382">
            <v>3.9209748490215857</v>
          </cell>
          <cell r="AL1382">
            <v>4.2368992023782415</v>
          </cell>
          <cell r="AM1382">
            <v>4.5369827832659304</v>
          </cell>
          <cell r="AN1382">
            <v>4.8191884580634392</v>
          </cell>
          <cell r="AO1382">
            <v>5.0824725402289328</v>
          </cell>
        </row>
        <row r="1383">
          <cell r="E1383" t="str">
            <v>100*(X_2/X_0-1)</v>
          </cell>
          <cell r="F1383">
            <v>0</v>
          </cell>
          <cell r="G1383">
            <v>0</v>
          </cell>
          <cell r="H1383">
            <v>-1.4733503306274542E-8</v>
          </cell>
          <cell r="I1383">
            <v>-1.4230772116263779E-8</v>
          </cell>
          <cell r="J1383">
            <v>-1.3753909122726782E-8</v>
          </cell>
          <cell r="K1383">
            <v>-2.6598656610588023E-8</v>
          </cell>
          <cell r="L1383">
            <v>-3.8594949458570227E-8</v>
          </cell>
          <cell r="M1383">
            <v>-0.90175410291339908</v>
          </cell>
          <cell r="N1383">
            <v>-1.6219163140213877</v>
          </cell>
          <cell r="O1383">
            <v>-1.0916428675096901</v>
          </cell>
          <cell r="P1383">
            <v>-0.75368880336688093</v>
          </cell>
          <cell r="Q1383">
            <v>-0.66940327492821527</v>
          </cell>
          <cell r="R1383">
            <v>-0.84781525601780316</v>
          </cell>
          <cell r="S1383">
            <v>-1.1570259059755283</v>
          </cell>
          <cell r="T1383">
            <v>-1.4626216598553676</v>
          </cell>
          <cell r="U1383">
            <v>-1.7437983942854118</v>
          </cell>
          <cell r="V1383">
            <v>-2.0948143671954411</v>
          </cell>
          <cell r="W1383">
            <v>-2.4451130517261999</v>
          </cell>
          <cell r="X1383">
            <v>-2.7861276736856233</v>
          </cell>
          <cell r="Y1383">
            <v>-3.1119515479819837</v>
          </cell>
          <cell r="Z1383">
            <v>-3.4178550333518021</v>
          </cell>
          <cell r="AA1383">
            <v>-3.6894745392572981</v>
          </cell>
          <cell r="AB1383">
            <v>-3.919783047222436</v>
          </cell>
          <cell r="AC1383">
            <v>-4.1100545611948425</v>
          </cell>
          <cell r="AD1383">
            <v>-4.2622547686043344</v>
          </cell>
          <cell r="AE1383">
            <v>-4.3779865487384111</v>
          </cell>
          <cell r="AF1383">
            <v>-4.4330640356412427</v>
          </cell>
          <cell r="AG1383">
            <v>-4.4282069635494086</v>
          </cell>
          <cell r="AH1383">
            <v>-4.3752690828480878</v>
          </cell>
          <cell r="AI1383">
            <v>-4.2866908667942845</v>
          </cell>
          <cell r="AJ1383">
            <v>-4.1726111086295203</v>
          </cell>
          <cell r="AK1383">
            <v>-4.0341969320676689</v>
          </cell>
          <cell r="AL1383">
            <v>-3.8721061623522179</v>
          </cell>
          <cell r="AM1383">
            <v>-3.694829748321582</v>
          </cell>
          <cell r="AN1383">
            <v>-3.5115902164053692</v>
          </cell>
          <cell r="AO1383">
            <v>-3.3303952539819548</v>
          </cell>
        </row>
        <row r="1384">
          <cell r="E1384" t="str">
            <v>100*(M_2/M_0-1)</v>
          </cell>
          <cell r="F1384">
            <v>1.5268852848748793E-8</v>
          </cell>
          <cell r="G1384">
            <v>0</v>
          </cell>
          <cell r="H1384">
            <v>0</v>
          </cell>
          <cell r="I1384">
            <v>0</v>
          </cell>
          <cell r="J1384">
            <v>0</v>
          </cell>
          <cell r="K1384">
            <v>0</v>
          </cell>
          <cell r="L1384">
            <v>0</v>
          </cell>
          <cell r="M1384">
            <v>-0.49596794023940571</v>
          </cell>
          <cell r="N1384">
            <v>-1.1008116543748336</v>
          </cell>
          <cell r="O1384">
            <v>-1.2994995375707363</v>
          </cell>
          <cell r="P1384">
            <v>-1.4228648037349467</v>
          </cell>
          <cell r="Q1384">
            <v>-1.356315789076179</v>
          </cell>
          <cell r="R1384">
            <v>-1.1996593938425004</v>
          </cell>
          <cell r="S1384">
            <v>-0.99934169235385006</v>
          </cell>
          <cell r="T1384">
            <v>-0.75740845235292564</v>
          </cell>
          <cell r="U1384">
            <v>-0.48654818098015085</v>
          </cell>
          <cell r="V1384">
            <v>-0.26401633352164389</v>
          </cell>
          <cell r="W1384">
            <v>-8.6103075332044643E-2</v>
          </cell>
          <cell r="X1384">
            <v>5.4524041516001986E-2</v>
          </cell>
          <cell r="Y1384">
            <v>0.16294777243150982</v>
          </cell>
          <cell r="Z1384">
            <v>0.2499921927150428</v>
          </cell>
          <cell r="AA1384">
            <v>0.32702868169953714</v>
          </cell>
          <cell r="AB1384">
            <v>0.38252230804125542</v>
          </cell>
          <cell r="AC1384">
            <v>0.41644098729367585</v>
          </cell>
          <cell r="AD1384">
            <v>0.43312949377010135</v>
          </cell>
          <cell r="AE1384">
            <v>0.43561700948810955</v>
          </cell>
          <cell r="AF1384">
            <v>0.42425317571390675</v>
          </cell>
          <cell r="AG1384">
            <v>0.38467904121537444</v>
          </cell>
          <cell r="AH1384">
            <v>0.3210877674961754</v>
          </cell>
          <cell r="AI1384">
            <v>0.24247439084492672</v>
          </cell>
          <cell r="AJ1384">
            <v>0.15686766501905591</v>
          </cell>
          <cell r="AK1384">
            <v>6.9245599212308662E-2</v>
          </cell>
          <cell r="AL1384">
            <v>-2.2811268603062373E-2</v>
          </cell>
          <cell r="AM1384">
            <v>-0.11520756169892676</v>
          </cell>
          <cell r="AN1384">
            <v>-0.20243067257583736</v>
          </cell>
          <cell r="AO1384">
            <v>-0.27993522158710205</v>
          </cell>
        </row>
        <row r="1385">
          <cell r="C1385" t="str">
            <v>Consommation des ménages</v>
          </cell>
          <cell r="E1385" t="str">
            <v>100*((CH_2-CH_ccon_2)/(CH_0-CH_ccon_0)-1)</v>
          </cell>
          <cell r="F1385">
            <v>0</v>
          </cell>
          <cell r="G1385">
            <v>0</v>
          </cell>
          <cell r="H1385">
            <v>0</v>
          </cell>
          <cell r="I1385">
            <v>0</v>
          </cell>
          <cell r="J1385">
            <v>0</v>
          </cell>
          <cell r="K1385">
            <v>0</v>
          </cell>
          <cell r="L1385">
            <v>-7.4541484096357635E-10</v>
          </cell>
          <cell r="M1385">
            <v>-0.1937169151562057</v>
          </cell>
          <cell r="N1385">
            <v>-0.47951743584235818</v>
          </cell>
          <cell r="O1385">
            <v>-0.64835486423402422</v>
          </cell>
          <cell r="P1385">
            <v>-0.63088585180628431</v>
          </cell>
          <cell r="Q1385">
            <v>-0.3898951180088206</v>
          </cell>
          <cell r="R1385">
            <v>6.8914281020848733E-3</v>
          </cell>
          <cell r="S1385">
            <v>0.47044452672673209</v>
          </cell>
          <cell r="T1385">
            <v>0.94743899567351075</v>
          </cell>
          <cell r="U1385">
            <v>1.4123139490425762</v>
          </cell>
          <cell r="V1385">
            <v>1.8276402221094612</v>
          </cell>
          <cell r="W1385">
            <v>2.1769692248097661</v>
          </cell>
          <cell r="X1385">
            <v>2.4691190838343147</v>
          </cell>
          <cell r="Y1385">
            <v>2.7156576786378173</v>
          </cell>
          <cell r="Z1385">
            <v>2.917595844033416</v>
          </cell>
          <cell r="AA1385">
            <v>3.0745337032054731</v>
          </cell>
          <cell r="AB1385">
            <v>3.1802206869990579</v>
          </cell>
          <cell r="AC1385">
            <v>3.2392993986170016</v>
          </cell>
          <cell r="AD1385">
            <v>3.2603278245946665</v>
          </cell>
          <cell r="AE1385">
            <v>3.2514982271377946</v>
          </cell>
          <cell r="AF1385">
            <v>3.1958490154836872</v>
          </cell>
          <cell r="AG1385">
            <v>3.0856392615466355</v>
          </cell>
          <cell r="AH1385">
            <v>2.9339859385670186</v>
          </cell>
          <cell r="AI1385">
            <v>2.7583358295310223</v>
          </cell>
          <cell r="AJ1385">
            <v>2.5729943390432997</v>
          </cell>
          <cell r="AK1385">
            <v>2.3822272975062564</v>
          </cell>
          <cell r="AL1385">
            <v>2.1858184494886856</v>
          </cell>
          <cell r="AM1385">
            <v>1.9924214555947284</v>
          </cell>
          <cell r="AN1385">
            <v>1.8125603690404724</v>
          </cell>
          <cell r="AO1385">
            <v>1.6546666344089633</v>
          </cell>
        </row>
        <row r="1386">
          <cell r="C1386" t="str">
            <v>Investissement</v>
          </cell>
          <cell r="E1386" t="str">
            <v>100*((I_2+CH_ccon_2)/(I_0+CH_ccon_0)-1)</v>
          </cell>
          <cell r="F1386">
            <v>0</v>
          </cell>
          <cell r="G1386">
            <v>0</v>
          </cell>
          <cell r="H1386">
            <v>0</v>
          </cell>
          <cell r="I1386">
            <v>1.920554826284615E-8</v>
          </cell>
          <cell r="J1386">
            <v>1.8740564655672642E-8</v>
          </cell>
          <cell r="K1386">
            <v>1.826214734990117E-8</v>
          </cell>
          <cell r="L1386">
            <v>1.9551982255450184E-8</v>
          </cell>
          <cell r="M1386">
            <v>-0.25597667644873257</v>
          </cell>
          <cell r="N1386">
            <v>-0.6281940315545409</v>
          </cell>
          <cell r="O1386">
            <v>-0.79039180235905837</v>
          </cell>
          <cell r="P1386">
            <v>-0.83861842171056855</v>
          </cell>
          <cell r="Q1386">
            <v>-0.78241820812590124</v>
          </cell>
          <cell r="R1386">
            <v>-0.67343677774337474</v>
          </cell>
          <cell r="S1386">
            <v>-0.53604828194462328</v>
          </cell>
          <cell r="T1386">
            <v>-0.36934853015444524</v>
          </cell>
          <cell r="U1386">
            <v>-0.17428631701104091</v>
          </cell>
          <cell r="V1386">
            <v>1.1834656453513226E-2</v>
          </cell>
          <cell r="W1386">
            <v>0.18407680924517056</v>
          </cell>
          <cell r="X1386">
            <v>0.34846938243842107</v>
          </cell>
          <cell r="Y1386">
            <v>0.51623352904965891</v>
          </cell>
          <cell r="Z1386">
            <v>0.69391962081035707</v>
          </cell>
          <cell r="AA1386">
            <v>0.89183198938924679</v>
          </cell>
          <cell r="AB1386">
            <v>1.1091363408988419</v>
          </cell>
          <cell r="AC1386">
            <v>1.3471012028949181</v>
          </cell>
          <cell r="AD1386">
            <v>1.6086266785954706</v>
          </cell>
          <cell r="AE1386">
            <v>1.8959294689240513</v>
          </cell>
          <cell r="AF1386">
            <v>2.2074033004741755</v>
          </cell>
          <cell r="AG1386">
            <v>2.5265719630847006</v>
          </cell>
          <cell r="AH1386">
            <v>2.8453028372398936</v>
          </cell>
          <cell r="AI1386">
            <v>3.1606387995654073</v>
          </cell>
          <cell r="AJ1386">
            <v>3.4718218301876824</v>
          </cell>
          <cell r="AK1386">
            <v>3.7765138531733244</v>
          </cell>
          <cell r="AL1386">
            <v>4.0687438850900204</v>
          </cell>
          <cell r="AM1386">
            <v>4.3452735509775575</v>
          </cell>
          <cell r="AN1386">
            <v>4.6047135253615146</v>
          </cell>
          <cell r="AO1386">
            <v>4.8465961027749804</v>
          </cell>
        </row>
        <row r="1387">
          <cell r="C1387" t="str">
            <v>Investissement ménages</v>
          </cell>
          <cell r="E1387" t="str">
            <v>100*((CH_ccon_2)/(CH_ccon_0)-1)</v>
          </cell>
          <cell r="F1387">
            <v>0</v>
          </cell>
          <cell r="G1387">
            <v>0</v>
          </cell>
          <cell r="H1387">
            <v>0</v>
          </cell>
          <cell r="I1387">
            <v>0</v>
          </cell>
          <cell r="J1387">
            <v>0</v>
          </cell>
          <cell r="K1387">
            <v>0</v>
          </cell>
          <cell r="L1387">
            <v>4.9757287179374998E-8</v>
          </cell>
          <cell r="M1387">
            <v>-0.24440087829409318</v>
          </cell>
          <cell r="N1387">
            <v>-0.65704688007800494</v>
          </cell>
          <cell r="O1387">
            <v>-1.0253167786448691</v>
          </cell>
          <cell r="P1387">
            <v>-1.2728917898018444</v>
          </cell>
          <cell r="Q1387">
            <v>-1.2992641538264404</v>
          </cell>
          <cell r="R1387">
            <v>-1.0687787778437818</v>
          </cell>
          <cell r="S1387">
            <v>-0.66865177907177165</v>
          </cell>
          <cell r="T1387">
            <v>-0.18654710852432643</v>
          </cell>
          <cell r="U1387">
            <v>0.32009657028413407</v>
          </cell>
          <cell r="V1387">
            <v>0.79185839676580994</v>
          </cell>
          <cell r="W1387">
            <v>1.18978936015115</v>
          </cell>
          <cell r="X1387">
            <v>1.5177188142847076</v>
          </cell>
          <cell r="Y1387">
            <v>1.7933149674827398</v>
          </cell>
          <cell r="Z1387">
            <v>2.0337167250310317</v>
          </cell>
          <cell r="AA1387">
            <v>2.2459734431718559</v>
          </cell>
          <cell r="AB1387">
            <v>2.4286601943078745</v>
          </cell>
          <cell r="AC1387">
            <v>2.5797243953120885</v>
          </cell>
          <cell r="AD1387">
            <v>2.7010764750363903</v>
          </cell>
          <cell r="AE1387">
            <v>2.7960894151981996</v>
          </cell>
          <cell r="AF1387">
            <v>2.8393389031803773</v>
          </cell>
          <cell r="AG1387">
            <v>2.8083878540624108</v>
          </cell>
          <cell r="AH1387">
            <v>2.7050027172650593</v>
          </cell>
          <cell r="AI1387">
            <v>2.5465995303777023</v>
          </cell>
          <cell r="AJ1387">
            <v>2.3537616320838728</v>
          </cell>
          <cell r="AK1387">
            <v>2.1379075480835397</v>
          </cell>
          <cell r="AL1387">
            <v>1.9021975571496208</v>
          </cell>
          <cell r="AM1387">
            <v>1.6569871706290096</v>
          </cell>
          <cell r="AN1387">
            <v>1.4168220723498104</v>
          </cell>
          <cell r="AO1387">
            <v>1.1955407784911776</v>
          </cell>
        </row>
        <row r="1388">
          <cell r="C1388" t="str">
            <v>Investissement public</v>
          </cell>
          <cell r="E1388" t="str">
            <v>100*((IA_spub_2)/(IA_spub_0)-1)</v>
          </cell>
          <cell r="F1388">
            <v>0</v>
          </cell>
          <cell r="G1388">
            <v>0</v>
          </cell>
          <cell r="H1388">
            <v>0</v>
          </cell>
          <cell r="I1388">
            <v>0</v>
          </cell>
          <cell r="J1388">
            <v>2.3947732685769552E-8</v>
          </cell>
          <cell r="K1388">
            <v>0</v>
          </cell>
          <cell r="L1388">
            <v>4.6446624324403274E-8</v>
          </cell>
          <cell r="M1388">
            <v>-0.13281318349982474</v>
          </cell>
          <cell r="N1388">
            <v>-0.33350220848868961</v>
          </cell>
          <cell r="O1388">
            <v>-0.52838048404453275</v>
          </cell>
          <cell r="P1388">
            <v>-0.72409782407364398</v>
          </cell>
          <cell r="Q1388">
            <v>-0.80962558054425982</v>
          </cell>
          <cell r="R1388">
            <v>-0.82023488013368562</v>
          </cell>
          <cell r="S1388">
            <v>-0.78075993217922024</v>
          </cell>
          <cell r="T1388">
            <v>-0.70408541049288287</v>
          </cell>
          <cell r="U1388">
            <v>-0.59727762832464393</v>
          </cell>
          <cell r="V1388">
            <v>-0.4842865125939344</v>
          </cell>
          <cell r="W1388">
            <v>-0.3726278901763358</v>
          </cell>
          <cell r="X1388">
            <v>-0.25743486231520896</v>
          </cell>
          <cell r="Y1388">
            <v>-0.12872649898236777</v>
          </cell>
          <cell r="Z1388">
            <v>1.6237458016199469E-2</v>
          </cell>
          <cell r="AA1388">
            <v>0.18718568375002409</v>
          </cell>
          <cell r="AB1388">
            <v>0.37607681424522976</v>
          </cell>
          <cell r="AC1388">
            <v>0.58097796636256138</v>
          </cell>
          <cell r="AD1388">
            <v>0.80202255521699684</v>
          </cell>
          <cell r="AE1388">
            <v>1.0385639623086362</v>
          </cell>
          <cell r="AF1388">
            <v>1.2830453146887022</v>
          </cell>
          <cell r="AG1388">
            <v>1.5138395390568604</v>
          </cell>
          <cell r="AH1388">
            <v>1.7249922437061027</v>
          </cell>
          <cell r="AI1388">
            <v>1.9169295036061795</v>
          </cell>
          <cell r="AJ1388">
            <v>2.0917143748425904</v>
          </cell>
          <cell r="AK1388">
            <v>2.2490918628101708</v>
          </cell>
          <cell r="AL1388">
            <v>2.3829663681629309</v>
          </cell>
          <cell r="AM1388">
            <v>2.493145306535216</v>
          </cell>
          <cell r="AN1388">
            <v>2.5820721444665073</v>
          </cell>
          <cell r="AO1388">
            <v>2.6530237347371255</v>
          </cell>
        </row>
        <row r="1389">
          <cell r="C1389" t="str">
            <v>Revenu disponible des ménages</v>
          </cell>
          <cell r="E1389" t="str">
            <v>100*(DISPINC_AT_VAL_2/DISPINC_AT_VAL_0-1)</v>
          </cell>
          <cell r="F1389">
            <v>0</v>
          </cell>
          <cell r="G1389">
            <v>0</v>
          </cell>
          <cell r="H1389">
            <v>0</v>
          </cell>
          <cell r="I1389">
            <v>6.5587579811676733E-8</v>
          </cell>
          <cell r="J1389">
            <v>6.2930749500367256E-8</v>
          </cell>
          <cell r="K1389">
            <v>1.2062519871847144E-7</v>
          </cell>
          <cell r="L1389">
            <v>1.1553697998323287E-7</v>
          </cell>
          <cell r="M1389">
            <v>0.13703263347266681</v>
          </cell>
          <cell r="N1389">
            <v>0.4290454140929878</v>
          </cell>
          <cell r="O1389">
            <v>1.2322059714643174</v>
          </cell>
          <cell r="P1389">
            <v>2.6117825476658529</v>
          </cell>
          <cell r="Q1389">
            <v>3.8349119463649828</v>
          </cell>
          <cell r="R1389">
            <v>5.1429866809922453</v>
          </cell>
          <cell r="S1389">
            <v>6.4525964790317802</v>
          </cell>
          <cell r="T1389">
            <v>7.7320155573996407</v>
          </cell>
          <cell r="U1389">
            <v>8.9606846180828157</v>
          </cell>
          <cell r="V1389">
            <v>10.143957407180881</v>
          </cell>
          <cell r="W1389">
            <v>11.258335297945688</v>
          </cell>
          <cell r="X1389">
            <v>12.290675258170513</v>
          </cell>
          <cell r="Y1389">
            <v>13.212518415041608</v>
          </cell>
          <cell r="Z1389">
            <v>14.014395895058485</v>
          </cell>
          <cell r="AA1389">
            <v>14.626831619485525</v>
          </cell>
          <cell r="AB1389">
            <v>15.082999359176895</v>
          </cell>
          <cell r="AC1389">
            <v>15.381278533974395</v>
          </cell>
          <cell r="AD1389">
            <v>15.523507029993123</v>
          </cell>
          <cell r="AE1389">
            <v>15.515318971253755</v>
          </cell>
          <cell r="AF1389">
            <v>15.325119464623583</v>
          </cell>
          <cell r="AG1389">
            <v>15.027508920662026</v>
          </cell>
          <cell r="AH1389">
            <v>14.651255160511599</v>
          </cell>
          <cell r="AI1389">
            <v>14.221944981979595</v>
          </cell>
          <cell r="AJ1389">
            <v>13.760555081940119</v>
          </cell>
          <cell r="AK1389">
            <v>13.274116614129916</v>
          </cell>
          <cell r="AL1389">
            <v>12.798276230285467</v>
          </cell>
          <cell r="AM1389">
            <v>12.355300299577765</v>
          </cell>
          <cell r="AN1389">
            <v>11.963119562057599</v>
          </cell>
          <cell r="AO1389">
            <v>11.634128557967593</v>
          </cell>
        </row>
        <row r="1390">
          <cell r="C1390" t="str">
            <v>Revenu disponible réel des ménages</v>
          </cell>
          <cell r="E1390" t="str">
            <v>100*(DISPINC_AT_VAL_2/DISPINC_AT_VAL_0-1)-100*(PCH_2/PCH_0-1)</v>
          </cell>
          <cell r="F1390">
            <v>0</v>
          </cell>
          <cell r="G1390">
            <v>0</v>
          </cell>
          <cell r="H1390">
            <v>0</v>
          </cell>
          <cell r="I1390">
            <v>6.5587579811676733E-8</v>
          </cell>
          <cell r="J1390">
            <v>6.2930749500367256E-8</v>
          </cell>
          <cell r="K1390">
            <v>2.9917734956086406E-8</v>
          </cell>
          <cell r="L1390">
            <v>2.6608648617809649E-8</v>
          </cell>
          <cell r="M1390">
            <v>-0.28612845856759161</v>
          </cell>
          <cell r="N1390">
            <v>-0.59838635608331359</v>
          </cell>
          <cell r="O1390">
            <v>-0.69594095754430541</v>
          </cell>
          <cell r="P1390">
            <v>-0.597060430924512</v>
          </cell>
          <cell r="Q1390">
            <v>-0.26274553937661871</v>
          </cell>
          <cell r="R1390">
            <v>0.18641699799339939</v>
          </cell>
          <cell r="S1390">
            <v>0.66086533646778634</v>
          </cell>
          <cell r="T1390">
            <v>1.1349524871903105</v>
          </cell>
          <cell r="U1390">
            <v>1.5999476277779099</v>
          </cell>
          <cell r="V1390">
            <v>2.0105800851027098</v>
          </cell>
          <cell r="W1390">
            <v>2.3589428032687394</v>
          </cell>
          <cell r="X1390">
            <v>2.6642883648142934</v>
          </cell>
          <cell r="Y1390">
            <v>2.9348064745323477</v>
          </cell>
          <cell r="Z1390">
            <v>3.162472835062168</v>
          </cell>
          <cell r="AA1390">
            <v>3.3410977279990419</v>
          </cell>
          <cell r="AB1390">
            <v>3.460961361034709</v>
          </cell>
          <cell r="AC1390">
            <v>3.5311179890830093</v>
          </cell>
          <cell r="AD1390">
            <v>3.5609575859800735</v>
          </cell>
          <cell r="AE1390">
            <v>3.5577824440415249</v>
          </cell>
          <cell r="AF1390">
            <v>3.4883410592512654</v>
          </cell>
          <cell r="AG1390">
            <v>3.3540245468327363</v>
          </cell>
          <cell r="AH1390">
            <v>3.1806184648021532</v>
          </cell>
          <cell r="AI1390">
            <v>2.9881877460781627</v>
          </cell>
          <cell r="AJ1390">
            <v>2.7895944044015639</v>
          </cell>
          <cell r="AK1390">
            <v>2.583857487626485</v>
          </cell>
          <cell r="AL1390">
            <v>2.369854558370001</v>
          </cell>
          <cell r="AM1390">
            <v>2.1624944321172457</v>
          </cell>
          <cell r="AN1390">
            <v>1.9737744297086302</v>
          </cell>
          <cell r="AO1390">
            <v>1.8111889144070794</v>
          </cell>
        </row>
        <row r="1391">
          <cell r="C1391" t="str">
            <v>Revenu disponible par emploi en valeur</v>
          </cell>
          <cell r="E1391" t="str">
            <v>100*(DISPINC_AT_VAL_2/DISPINC_AT_VAL_0-1)-100*((F_L_2/F_L_0)-1)</v>
          </cell>
          <cell r="F1391">
            <v>0</v>
          </cell>
          <cell r="G1391">
            <v>0</v>
          </cell>
          <cell r="H1391">
            <v>0</v>
          </cell>
          <cell r="I1391">
            <v>6.5587579811676733E-8</v>
          </cell>
          <cell r="J1391">
            <v>2.7506619204586968E-8</v>
          </cell>
          <cell r="K1391">
            <v>1.2062519871847144E-7</v>
          </cell>
          <cell r="L1391">
            <v>1.1553697998323287E-7</v>
          </cell>
          <cell r="M1391">
            <v>0.27298395979112877</v>
          </cell>
          <cell r="N1391">
            <v>0.76670537010539164</v>
          </cell>
          <cell r="O1391">
            <v>1.5842315946187568</v>
          </cell>
          <cell r="P1391">
            <v>2.8223773632014781</v>
          </cell>
          <cell r="Q1391">
            <v>3.8528066699001995</v>
          </cell>
          <cell r="R1391">
            <v>4.9791574142018957</v>
          </cell>
          <cell r="S1391">
            <v>6.1403140850078364</v>
          </cell>
          <cell r="T1391">
            <v>7.2998692003467758</v>
          </cell>
          <cell r="U1391">
            <v>8.4309803170158588</v>
          </cell>
          <cell r="V1391">
            <v>9.548842441455573</v>
          </cell>
          <cell r="W1391">
            <v>10.628800124986505</v>
          </cell>
          <cell r="X1391">
            <v>11.653588928467927</v>
          </cell>
          <cell r="Y1391">
            <v>12.588790348741895</v>
          </cell>
          <cell r="Z1391">
            <v>13.420826513225981</v>
          </cell>
          <cell r="AA1391">
            <v>14.078719507267889</v>
          </cell>
          <cell r="AB1391">
            <v>14.59020294837816</v>
          </cell>
          <cell r="AC1391">
            <v>14.947837361440229</v>
          </cell>
          <cell r="AD1391">
            <v>15.147684398886874</v>
          </cell>
          <cell r="AE1391">
            <v>15.19031625142906</v>
          </cell>
          <cell r="AF1391">
            <v>15.042385607949949</v>
          </cell>
          <cell r="AG1391">
            <v>14.773492374590026</v>
          </cell>
          <cell r="AH1391">
            <v>14.408839928173322</v>
          </cell>
          <cell r="AI1391">
            <v>13.971617086987953</v>
          </cell>
          <cell r="AJ1391">
            <v>13.481518985063602</v>
          </cell>
          <cell r="AK1391">
            <v>12.946070538766396</v>
          </cell>
          <cell r="AL1391">
            <v>12.401025261374322</v>
          </cell>
          <cell r="AM1391">
            <v>11.870032884724747</v>
          </cell>
          <cell r="AN1391">
            <v>11.37341935478957</v>
          </cell>
          <cell r="AO1391">
            <v>10.926622330969792</v>
          </cell>
        </row>
        <row r="1392">
          <cell r="C1392" t="str">
            <v>Revenu disponible réel par emploi</v>
          </cell>
          <cell r="E1392" t="str">
            <v>100*(DISPINC_AT_VAL_2/DISPINC_AT_VAL_0-1)-100*((F_L_2/F_L_0)-1)-100*(PCH_2/PCH_0-1)</v>
          </cell>
          <cell r="F1392">
            <v>0</v>
          </cell>
          <cell r="G1392">
            <v>0</v>
          </cell>
          <cell r="H1392">
            <v>0</v>
          </cell>
          <cell r="I1392">
            <v>6.5587579811676733E-8</v>
          </cell>
          <cell r="J1392">
            <v>2.7506619204586968E-8</v>
          </cell>
          <cell r="K1392">
            <v>2.9917734956086406E-8</v>
          </cell>
          <cell r="L1392">
            <v>2.6608648617809649E-8</v>
          </cell>
          <cell r="M1392">
            <v>-0.15017713224912965</v>
          </cell>
          <cell r="N1392">
            <v>-0.26072640007090975</v>
          </cell>
          <cell r="O1392">
            <v>-0.34391533438986599</v>
          </cell>
          <cell r="P1392">
            <v>-0.3864656153888868</v>
          </cell>
          <cell r="Q1392">
            <v>-0.244850815841402</v>
          </cell>
          <cell r="R1392">
            <v>2.2587731203049799E-2</v>
          </cell>
          <cell r="S1392">
            <v>0.34858294244384247</v>
          </cell>
          <cell r="T1392">
            <v>0.70280613013744553</v>
          </cell>
          <cell r="U1392">
            <v>1.070243326710953</v>
          </cell>
          <cell r="V1392">
            <v>1.4154651193774015</v>
          </cell>
          <cell r="W1392">
            <v>1.7294076303095558</v>
          </cell>
          <cell r="X1392">
            <v>2.0272020351117082</v>
          </cell>
          <cell r="Y1392">
            <v>2.3110784082326354</v>
          </cell>
          <cell r="Z1392">
            <v>2.5689034532296642</v>
          </cell>
          <cell r="AA1392">
            <v>2.7929856157814061</v>
          </cell>
          <cell r="AB1392">
            <v>2.9681649502359733</v>
          </cell>
          <cell r="AC1392">
            <v>3.0976768165488426</v>
          </cell>
          <cell r="AD1392">
            <v>3.1851349548738241</v>
          </cell>
          <cell r="AE1392">
            <v>3.2327797242168295</v>
          </cell>
          <cell r="AF1392">
            <v>3.2056072025776317</v>
          </cell>
          <cell r="AG1392">
            <v>3.1000080007607362</v>
          </cell>
          <cell r="AH1392">
            <v>2.9382032324638754</v>
          </cell>
          <cell r="AI1392">
            <v>2.7378598510865206</v>
          </cell>
          <cell r="AJ1392">
            <v>2.5105583075250468</v>
          </cell>
          <cell r="AK1392">
            <v>2.2558114122629647</v>
          </cell>
          <cell r="AL1392">
            <v>1.9726035894588563</v>
          </cell>
          <cell r="AM1392">
            <v>1.6772270172642276</v>
          </cell>
          <cell r="AN1392">
            <v>1.3840742224406011</v>
          </cell>
          <cell r="AO1392">
            <v>1.1036826874092789</v>
          </cell>
        </row>
        <row r="1393">
          <cell r="C1393" t="str">
            <v>Taux d'épargne</v>
          </cell>
          <cell r="E1393" t="str">
            <v>100*(MPS_n_2-MPS_n_0)</v>
          </cell>
          <cell r="F1393">
            <v>0</v>
          </cell>
          <cell r="G1393">
            <v>0</v>
          </cell>
          <cell r="H1393">
            <v>0</v>
          </cell>
          <cell r="I1393">
            <v>0</v>
          </cell>
          <cell r="J1393">
            <v>0</v>
          </cell>
          <cell r="K1393">
            <v>0</v>
          </cell>
          <cell r="L1393">
            <v>0</v>
          </cell>
          <cell r="M1393">
            <v>0</v>
          </cell>
          <cell r="N1393">
            <v>0</v>
          </cell>
          <cell r="O1393">
            <v>0</v>
          </cell>
          <cell r="P1393">
            <v>0</v>
          </cell>
          <cell r="Q1393">
            <v>0</v>
          </cell>
          <cell r="R1393">
            <v>0</v>
          </cell>
          <cell r="S1393">
            <v>0</v>
          </cell>
          <cell r="T1393">
            <v>0</v>
          </cell>
          <cell r="U1393">
            <v>0</v>
          </cell>
          <cell r="V1393">
            <v>0</v>
          </cell>
          <cell r="W1393">
            <v>0</v>
          </cell>
          <cell r="X1393">
            <v>0</v>
          </cell>
          <cell r="Y1393">
            <v>0</v>
          </cell>
          <cell r="Z1393">
            <v>0</v>
          </cell>
          <cell r="AA1393">
            <v>0</v>
          </cell>
          <cell r="AB1393">
            <v>0</v>
          </cell>
          <cell r="AC1393">
            <v>0</v>
          </cell>
          <cell r="AD1393">
            <v>0</v>
          </cell>
          <cell r="AE1393">
            <v>0</v>
          </cell>
          <cell r="AF1393">
            <v>0</v>
          </cell>
          <cell r="AG1393">
            <v>0</v>
          </cell>
          <cell r="AH1393">
            <v>0</v>
          </cell>
          <cell r="AI1393">
            <v>0</v>
          </cell>
          <cell r="AJ1393">
            <v>0</v>
          </cell>
          <cell r="AK1393">
            <v>0</v>
          </cell>
          <cell r="AL1393">
            <v>0</v>
          </cell>
          <cell r="AM1393">
            <v>0</v>
          </cell>
          <cell r="AN1393">
            <v>0</v>
          </cell>
          <cell r="AO1393">
            <v>0</v>
          </cell>
        </row>
        <row r="1394">
          <cell r="C1394" t="str">
            <v>Prix à la consommation des ménages</v>
          </cell>
          <cell r="E1394" t="str">
            <v>100*(PCH_2/PCH_0-1)</v>
          </cell>
          <cell r="F1394">
            <v>0</v>
          </cell>
          <cell r="G1394">
            <v>0</v>
          </cell>
          <cell r="H1394">
            <v>0</v>
          </cell>
          <cell r="I1394">
            <v>6.5587579811676733E-8</v>
          </cell>
          <cell r="J1394">
            <v>6.2930749500367256E-8</v>
          </cell>
          <cell r="K1394">
            <v>2.9917734956086406E-8</v>
          </cell>
          <cell r="L1394">
            <v>2.6608648617809649E-8</v>
          </cell>
          <cell r="M1394">
            <v>-0.28612845856759161</v>
          </cell>
          <cell r="N1394">
            <v>-0.59838635608331359</v>
          </cell>
          <cell r="O1394">
            <v>-0.69594095754430541</v>
          </cell>
          <cell r="P1394">
            <v>-0.597060430924512</v>
          </cell>
          <cell r="Q1394">
            <v>-0.26274553937661871</v>
          </cell>
          <cell r="R1394">
            <v>0.18641699799339939</v>
          </cell>
          <cell r="S1394">
            <v>0.66086533646778634</v>
          </cell>
          <cell r="T1394">
            <v>1.1349524871903105</v>
          </cell>
          <cell r="U1394">
            <v>1.5999476277779099</v>
          </cell>
          <cell r="V1394">
            <v>2.0105800851027098</v>
          </cell>
          <cell r="W1394">
            <v>2.3589428032687394</v>
          </cell>
          <cell r="X1394">
            <v>2.6642883648142934</v>
          </cell>
          <cell r="Y1394">
            <v>2.9348064745323477</v>
          </cell>
          <cell r="Z1394">
            <v>3.162472835062168</v>
          </cell>
          <cell r="AA1394">
            <v>3.3410977279990419</v>
          </cell>
          <cell r="AB1394">
            <v>3.460961361034709</v>
          </cell>
          <cell r="AC1394">
            <v>3.5311179890830093</v>
          </cell>
          <cell r="AD1394">
            <v>3.5609575859800735</v>
          </cell>
          <cell r="AE1394">
            <v>3.5577824440415249</v>
          </cell>
          <cell r="AF1394">
            <v>3.4883410592512654</v>
          </cell>
          <cell r="AG1394">
            <v>3.3540245468327363</v>
          </cell>
          <cell r="AH1394">
            <v>3.1806184648021532</v>
          </cell>
          <cell r="AI1394">
            <v>2.9881877460781627</v>
          </cell>
          <cell r="AJ1394">
            <v>2.7895944044015639</v>
          </cell>
          <cell r="AK1394">
            <v>2.583857487626485</v>
          </cell>
          <cell r="AL1394">
            <v>2.369854558370001</v>
          </cell>
          <cell r="AM1394">
            <v>2.1624944321172457</v>
          </cell>
          <cell r="AN1394">
            <v>1.9737744297086302</v>
          </cell>
          <cell r="AO1394">
            <v>1.8111889144070794</v>
          </cell>
        </row>
        <row r="1395">
          <cell r="C1395" t="str">
            <v>Prix à la production marchande</v>
          </cell>
          <cell r="E1395" t="str">
            <v>100*(PY_2/PY_0-1)</v>
          </cell>
          <cell r="F1395">
            <v>0</v>
          </cell>
          <cell r="G1395">
            <v>0</v>
          </cell>
          <cell r="H1395">
            <v>0</v>
          </cell>
          <cell r="I1395">
            <v>0</v>
          </cell>
          <cell r="J1395">
            <v>9.2325325162789795E-8</v>
          </cell>
          <cell r="K1395">
            <v>0</v>
          </cell>
          <cell r="L1395">
            <v>8.8482288163049816E-8</v>
          </cell>
          <cell r="M1395">
            <v>0.19860839572420907</v>
          </cell>
          <cell r="N1395">
            <v>0.5552951930255734</v>
          </cell>
          <cell r="O1395">
            <v>1.1662880307397483</v>
          </cell>
          <cell r="P1395">
            <v>2.1029109587989536</v>
          </cell>
          <cell r="Q1395">
            <v>3.0323626446978169</v>
          </cell>
          <cell r="R1395">
            <v>3.9523855287108667</v>
          </cell>
          <cell r="S1395">
            <v>4.857004569999912</v>
          </cell>
          <cell r="T1395">
            <v>5.7362736485651933</v>
          </cell>
          <cell r="U1395">
            <v>6.5760420768065986</v>
          </cell>
          <cell r="V1395">
            <v>7.3925452640581923</v>
          </cell>
          <cell r="W1395">
            <v>8.1872667138868103</v>
          </cell>
          <cell r="X1395">
            <v>8.94206908119315</v>
          </cell>
          <cell r="Y1395">
            <v>9.6333932419068837</v>
          </cell>
          <cell r="Z1395">
            <v>10.24512260975996</v>
          </cell>
          <cell r="AA1395">
            <v>10.740915606134283</v>
          </cell>
          <cell r="AB1395">
            <v>11.128588845433175</v>
          </cell>
          <cell r="AC1395">
            <v>11.40477287082582</v>
          </cell>
          <cell r="AD1395">
            <v>11.565070662895071</v>
          </cell>
          <cell r="AE1395">
            <v>11.609583009500412</v>
          </cell>
          <cell r="AF1395">
            <v>11.525272300836086</v>
          </cell>
          <cell r="AG1395">
            <v>11.383675119198578</v>
          </cell>
          <cell r="AH1395">
            <v>11.206409703271669</v>
          </cell>
          <cell r="AI1395">
            <v>11.002933252895941</v>
          </cell>
          <cell r="AJ1395">
            <v>10.781118748945495</v>
          </cell>
          <cell r="AK1395">
            <v>10.549300459226597</v>
          </cell>
          <cell r="AL1395">
            <v>10.332837476860135</v>
          </cell>
          <cell r="AM1395">
            <v>10.143704308302514</v>
          </cell>
          <cell r="AN1395">
            <v>9.988199840141565</v>
          </cell>
          <cell r="AO1395">
            <v>9.8702402975777694</v>
          </cell>
        </row>
        <row r="1396">
          <cell r="C1396" t="str">
            <v>Prix des exportations</v>
          </cell>
          <cell r="E1396" t="str">
            <v>100*(PX_2/PX_0-1)</v>
          </cell>
          <cell r="F1396">
            <v>0</v>
          </cell>
          <cell r="G1396">
            <v>0</v>
          </cell>
          <cell r="H1396">
            <v>0</v>
          </cell>
          <cell r="I1396">
            <v>9.4307095466206192E-8</v>
          </cell>
          <cell r="J1396">
            <v>9.2471297286067511E-8</v>
          </cell>
          <cell r="K1396">
            <v>0</v>
          </cell>
          <cell r="L1396">
            <v>0</v>
          </cell>
          <cell r="M1396">
            <v>0.2946619206114276</v>
          </cell>
          <cell r="N1396">
            <v>0.77900510497190822</v>
          </cell>
          <cell r="O1396">
            <v>1.5600408687064915</v>
          </cell>
          <cell r="P1396">
            <v>2.6906269556396412</v>
          </cell>
          <cell r="Q1396">
            <v>3.7101528571957143</v>
          </cell>
          <cell r="R1396">
            <v>4.62012685828328</v>
          </cell>
          <cell r="S1396">
            <v>5.4449074315521928</v>
          </cell>
          <cell r="T1396">
            <v>6.1992061335764737</v>
          </cell>
          <cell r="U1396">
            <v>6.8873022900404868</v>
          </cell>
          <cell r="V1396">
            <v>7.5539459304352574</v>
          </cell>
          <cell r="W1396">
            <v>8.2139786027568995</v>
          </cell>
          <cell r="X1396">
            <v>8.845962654414441</v>
          </cell>
          <cell r="Y1396">
            <v>9.4255273944942495</v>
          </cell>
          <cell r="Z1396">
            <v>9.9362603529553404</v>
          </cell>
          <cell r="AA1396">
            <v>10.340207647774836</v>
          </cell>
          <cell r="AB1396">
            <v>10.64839149398118</v>
          </cell>
          <cell r="AC1396">
            <v>10.854790539556735</v>
          </cell>
          <cell r="AD1396">
            <v>10.953239999273157</v>
          </cell>
          <cell r="AE1396">
            <v>10.942184977186198</v>
          </cell>
          <cell r="AF1396">
            <v>10.836635869762024</v>
          </cell>
          <cell r="AG1396">
            <v>10.696507872741767</v>
          </cell>
          <cell r="AH1396">
            <v>10.530839580598395</v>
          </cell>
          <cell r="AI1396">
            <v>10.343132252252364</v>
          </cell>
          <cell r="AJ1396">
            <v>10.137769908661532</v>
          </cell>
          <cell r="AK1396">
            <v>9.9239942263562355</v>
          </cell>
          <cell r="AL1396">
            <v>9.7297598618682368</v>
          </cell>
          <cell r="AM1396">
            <v>9.5638575872660994</v>
          </cell>
          <cell r="AN1396">
            <v>9.4305077239233981</v>
          </cell>
          <cell r="AO1396">
            <v>9.3321912174533672</v>
          </cell>
        </row>
        <row r="1397">
          <cell r="C1397" t="str">
            <v>Prix des importations</v>
          </cell>
          <cell r="E1397" t="str">
            <v>100*(PM_2/PM_0-1)</v>
          </cell>
          <cell r="F1397">
            <v>0</v>
          </cell>
          <cell r="G1397">
            <v>0</v>
          </cell>
          <cell r="H1397">
            <v>0</v>
          </cell>
          <cell r="I1397">
            <v>0</v>
          </cell>
          <cell r="J1397">
            <v>0</v>
          </cell>
          <cell r="K1397">
            <v>0</v>
          </cell>
          <cell r="L1397">
            <v>0</v>
          </cell>
          <cell r="M1397">
            <v>0.71344843952336756</v>
          </cell>
          <cell r="N1397">
            <v>1.4648480821435328</v>
          </cell>
          <cell r="O1397">
            <v>2.2941729668652711</v>
          </cell>
          <cell r="P1397">
            <v>3.1957764871642036</v>
          </cell>
          <cell r="Q1397">
            <v>3.8927634341754391</v>
          </cell>
          <cell r="R1397">
            <v>4.2593422445302176</v>
          </cell>
          <cell r="S1397">
            <v>4.434528080408251</v>
          </cell>
          <cell r="T1397">
            <v>4.4807151884849405</v>
          </cell>
          <cell r="U1397">
            <v>4.4270005821031688</v>
          </cell>
          <cell r="V1397">
            <v>4.3919879177514831</v>
          </cell>
          <cell r="W1397">
            <v>4.4381309500574728</v>
          </cell>
          <cell r="X1397">
            <v>4.4824247311300303</v>
          </cell>
          <cell r="Y1397">
            <v>4.5009836167597683</v>
          </cell>
          <cell r="Z1397">
            <v>4.4857535727333309</v>
          </cell>
          <cell r="AA1397">
            <v>4.4587367146867063</v>
          </cell>
          <cell r="AB1397">
            <v>4.427386449782067</v>
          </cell>
          <cell r="AC1397">
            <v>4.3568106403170548</v>
          </cell>
          <cell r="AD1397">
            <v>4.2337842221576327</v>
          </cell>
          <cell r="AE1397">
            <v>4.0558485550397316</v>
          </cell>
          <cell r="AF1397">
            <v>3.9543705973978271</v>
          </cell>
          <cell r="AG1397">
            <v>3.96965332110506</v>
          </cell>
          <cell r="AH1397">
            <v>4.0128824890566017</v>
          </cell>
          <cell r="AI1397">
            <v>4.0564706957678887</v>
          </cell>
          <cell r="AJ1397">
            <v>4.0938783032535841</v>
          </cell>
          <cell r="AK1397">
            <v>4.1621628762854579</v>
          </cell>
          <cell r="AL1397">
            <v>4.2917354833722721</v>
          </cell>
          <cell r="AM1397">
            <v>4.4497815404732854</v>
          </cell>
          <cell r="AN1397">
            <v>4.6213658659971957</v>
          </cell>
          <cell r="AO1397">
            <v>4.7996960741083727</v>
          </cell>
        </row>
        <row r="1398">
          <cell r="C1398" t="str">
            <v>Salaire net nominal (hors cotisations employeurs et employés, unitaire)</v>
          </cell>
          <cell r="E1398" t="str">
            <v>100*(W_2/W_0-1)</v>
          </cell>
          <cell r="F1398">
            <v>0</v>
          </cell>
          <cell r="G1398">
            <v>2.3540858151704924E-8</v>
          </cell>
          <cell r="H1398">
            <v>0</v>
          </cell>
          <cell r="I1398">
            <v>2.2119284182053889E-8</v>
          </cell>
          <cell r="J1398">
            <v>2.1419821472079548E-8</v>
          </cell>
          <cell r="K1398">
            <v>4.1466852174210089E-8</v>
          </cell>
          <cell r="L1398">
            <v>6.0165428195091408E-8</v>
          </cell>
          <cell r="M1398">
            <v>-2.7660801595874585E-2</v>
          </cell>
          <cell r="N1398">
            <v>3.5982458436678577E-2</v>
          </cell>
          <cell r="O1398">
            <v>0.28869200594510147</v>
          </cell>
          <cell r="P1398">
            <v>0.79889769335534933</v>
          </cell>
          <cell r="Q1398">
            <v>1.6230237036425121</v>
          </cell>
          <cell r="R1398">
            <v>2.5842596358949255</v>
          </cell>
          <cell r="S1398">
            <v>3.5968581195698679</v>
          </cell>
          <cell r="T1398">
            <v>4.617768718707449</v>
          </cell>
          <cell r="U1398">
            <v>5.6216751166838996</v>
          </cell>
          <cell r="V1398">
            <v>6.5865021304897686</v>
          </cell>
          <cell r="W1398">
            <v>7.5125468945282936</v>
          </cell>
          <cell r="X1398">
            <v>8.4019373991202748</v>
          </cell>
          <cell r="Y1398">
            <v>9.2496943344507301</v>
          </cell>
          <cell r="Z1398">
            <v>10.039534060303668</v>
          </cell>
          <cell r="AA1398">
            <v>10.757001784543551</v>
          </cell>
          <cell r="AB1398">
            <v>11.375073669513892</v>
          </cell>
          <cell r="AC1398">
            <v>11.883374751385123</v>
          </cell>
          <cell r="AD1398">
            <v>12.27568077936616</v>
          </cell>
          <cell r="AE1398">
            <v>12.547228257925337</v>
          </cell>
          <cell r="AF1398">
            <v>12.695049497119104</v>
          </cell>
          <cell r="AG1398">
            <v>12.719220909085527</v>
          </cell>
          <cell r="AH1398">
            <v>12.641836001301442</v>
          </cell>
          <cell r="AI1398">
            <v>12.485733817171418</v>
          </cell>
          <cell r="AJ1398">
            <v>12.270407536663196</v>
          </cell>
          <cell r="AK1398">
            <v>12.012411135676482</v>
          </cell>
          <cell r="AL1398">
            <v>11.726147517467368</v>
          </cell>
          <cell r="AM1398">
            <v>11.432057184505862</v>
          </cell>
          <cell r="AN1398">
            <v>11.148395141331902</v>
          </cell>
          <cell r="AO1398">
            <v>10.889527841163705</v>
          </cell>
        </row>
        <row r="1399">
          <cell r="C1399" t="str">
            <v>Salaire net réel (hors cotisations employeurs et employés, unitaire)</v>
          </cell>
          <cell r="E1399" t="str">
            <v>100*((W_2/PCH_2)/(W_0/PCH_0)-1)</v>
          </cell>
          <cell r="F1399">
            <v>0</v>
          </cell>
          <cell r="G1399">
            <v>2.3540858151704924E-8</v>
          </cell>
          <cell r="H1399">
            <v>0</v>
          </cell>
          <cell r="I1399">
            <v>2.2119284182053889E-8</v>
          </cell>
          <cell r="J1399">
            <v>2.141984367654004E-8</v>
          </cell>
          <cell r="K1399">
            <v>-4.9240622690405189E-8</v>
          </cell>
          <cell r="L1399">
            <v>-2.8762903170331811E-8</v>
          </cell>
          <cell r="M1399">
            <v>-0.44892222942768401</v>
          </cell>
          <cell r="N1399">
            <v>-0.98136644114148464</v>
          </cell>
          <cell r="O1399">
            <v>-1.6084418018561419</v>
          </cell>
          <cell r="P1399">
            <v>-2.3350182171259504</v>
          </cell>
          <cell r="Q1399">
            <v>-2.3772233130587184</v>
          </cell>
          <cell r="R1399">
            <v>-2.2602778027797865</v>
          </cell>
          <cell r="S1399">
            <v>-2.0747113212812085</v>
          </cell>
          <cell r="T1399">
            <v>-1.856800079190013</v>
          </cell>
          <cell r="U1399">
            <v>-1.619830416941026</v>
          </cell>
          <cell r="V1399">
            <v>-1.4305251809355601</v>
          </cell>
          <cell r="W1399">
            <v>-1.2735108694168606</v>
          </cell>
          <cell r="X1399">
            <v>-1.1169295357942421</v>
          </cell>
          <cell r="Y1399">
            <v>-0.93220795750015295</v>
          </cell>
          <cell r="Z1399">
            <v>-0.73285963587023106</v>
          </cell>
          <cell r="AA1399">
            <v>-0.47511220751664807</v>
          </cell>
          <cell r="AB1399">
            <v>-0.22125051025533304</v>
          </cell>
          <cell r="AC1399">
            <v>2.9695269396068369E-2</v>
          </cell>
          <cell r="AD1399">
            <v>0.27967506716135571</v>
          </cell>
          <cell r="AE1399">
            <v>0.52671016977028362</v>
          </cell>
          <cell r="AF1399">
            <v>0.76743188062504686</v>
          </cell>
          <cell r="AG1399">
            <v>0.93642330685734798</v>
          </cell>
          <cell r="AH1399">
            <v>1.0506796590649348</v>
          </cell>
          <cell r="AI1399">
            <v>1.1255365388897598</v>
          </cell>
          <cell r="AJ1399">
            <v>1.1709791923858237</v>
          </cell>
          <cell r="AK1399">
            <v>1.1944610299104985</v>
          </cell>
          <cell r="AL1399">
            <v>1.1751737694915665</v>
          </cell>
          <cell r="AM1399">
            <v>1.1246208927068624</v>
          </cell>
          <cell r="AN1399">
            <v>1.0537838984205683</v>
          </cell>
          <cell r="AO1399">
            <v>0.97118889829836963</v>
          </cell>
        </row>
        <row r="1400">
          <cell r="C1400" t="str">
            <v>Coût du travail nominal (yc. Cotisations employeurs et employés, unitaire)</v>
          </cell>
          <cell r="E1400" t="str">
            <v>100*(C_L_2/C_L_0-1)</v>
          </cell>
          <cell r="F1400">
            <v>0</v>
          </cell>
          <cell r="G1400">
            <v>0</v>
          </cell>
          <cell r="H1400">
            <v>0</v>
          </cell>
          <cell r="I1400">
            <v>1.7367796090184129E-8</v>
          </cell>
          <cell r="J1400">
            <v>3.3637204133185605E-8</v>
          </cell>
          <cell r="K1400">
            <v>4.8838932897865561E-8</v>
          </cell>
          <cell r="L1400">
            <v>6.2988236848582346E-8</v>
          </cell>
          <cell r="M1400">
            <v>-2.7660802548723495E-2</v>
          </cell>
          <cell r="N1400">
            <v>3.5982472358342399E-2</v>
          </cell>
          <cell r="O1400">
            <v>0.28869199627348241</v>
          </cell>
          <cell r="P1400">
            <v>0.79889768392593652</v>
          </cell>
          <cell r="Q1400">
            <v>1.6230237194039931</v>
          </cell>
          <cell r="R1400">
            <v>2.5842596507348548</v>
          </cell>
          <cell r="S1400">
            <v>3.5968581362517682</v>
          </cell>
          <cell r="T1400">
            <v>4.6177687177283211</v>
          </cell>
          <cell r="U1400">
            <v>5.6216751263284293</v>
          </cell>
          <cell r="V1400">
            <v>6.5865021208027619</v>
          </cell>
          <cell r="W1400">
            <v>7.5125468975397736</v>
          </cell>
          <cell r="X1400">
            <v>8.401937402553461</v>
          </cell>
          <cell r="Y1400">
            <v>9.2496943308625568</v>
          </cell>
          <cell r="Z1400">
            <v>10.039534093430479</v>
          </cell>
          <cell r="AA1400">
            <v>10.757001742823991</v>
          </cell>
          <cell r="AB1400">
            <v>11.375073608872155</v>
          </cell>
          <cell r="AC1400">
            <v>11.883374781527722</v>
          </cell>
          <cell r="AD1400">
            <v>12.275680800624599</v>
          </cell>
          <cell r="AE1400">
            <v>12.547228255770261</v>
          </cell>
          <cell r="AF1400">
            <v>12.695049485151921</v>
          </cell>
          <cell r="AG1400">
            <v>12.719220937404764</v>
          </cell>
          <cell r="AH1400">
            <v>12.641836013629447</v>
          </cell>
          <cell r="AI1400">
            <v>12.485733889562734</v>
          </cell>
          <cell r="AJ1400">
            <v>12.27040762083087</v>
          </cell>
          <cell r="AK1400">
            <v>12.012411151514613</v>
          </cell>
          <cell r="AL1400">
            <v>11.726147552285493</v>
          </cell>
          <cell r="AM1400">
            <v>11.432057192253087</v>
          </cell>
          <cell r="AN1400">
            <v>11.148395229814124</v>
          </cell>
          <cell r="AO1400">
            <v>10.889527870888482</v>
          </cell>
        </row>
        <row r="1401">
          <cell r="C1401" t="str">
            <v>Coût réel du travail (yc. Cotisations employeurs et employés, unitaire)</v>
          </cell>
          <cell r="E1401" t="str">
            <v>100*((C_L_2/PVA_2)/(C_L_0/PVA_0)-1)</v>
          </cell>
          <cell r="F1401">
            <v>0</v>
          </cell>
          <cell r="G1401">
            <v>0</v>
          </cell>
          <cell r="H1401">
            <v>0</v>
          </cell>
          <cell r="I1401">
            <v>-7.6917916480567783E-8</v>
          </cell>
          <cell r="J1401">
            <v>3.3637204133185605E-8</v>
          </cell>
          <cell r="K1401">
            <v>-4.1314485166310533E-8</v>
          </cell>
          <cell r="L1401">
            <v>6.2988259053042839E-8</v>
          </cell>
          <cell r="M1401">
            <v>4.5599929094608527E-2</v>
          </cell>
          <cell r="N1401">
            <v>8.775028835290577E-2</v>
          </cell>
          <cell r="O1401">
            <v>0.13847935096584774</v>
          </cell>
          <cell r="P1401">
            <v>0.21710334558402433</v>
          </cell>
          <cell r="Q1401">
            <v>0.11408543297926066</v>
          </cell>
          <cell r="R1401">
            <v>0.10417077682292053</v>
          </cell>
          <cell r="S1401">
            <v>0.13311751336768651</v>
          </cell>
          <cell r="T1401">
            <v>0.18168436084466943</v>
          </cell>
          <cell r="U1401">
            <v>0.24668681276009963</v>
          </cell>
          <cell r="V1401">
            <v>0.33478210404132014</v>
          </cell>
          <cell r="W1401">
            <v>0.42971353914023069</v>
          </cell>
          <cell r="X1401">
            <v>0.53668132518316369</v>
          </cell>
          <cell r="Y1401">
            <v>0.66533585773504988</v>
          </cell>
          <cell r="Z1401">
            <v>0.82492508202847148</v>
          </cell>
          <cell r="AA1401">
            <v>0.98926461088826301</v>
          </cell>
          <cell r="AB1401">
            <v>1.1768748839128484</v>
          </cell>
          <cell r="AC1401">
            <v>1.3796860145596002</v>
          </cell>
          <cell r="AD1401">
            <v>1.5988679031570197</v>
          </cell>
          <cell r="AE1401">
            <v>1.834719051409972</v>
          </cell>
          <cell r="AF1401">
            <v>2.0426600276109097</v>
          </cell>
          <cell r="AG1401">
            <v>2.2203211020012326</v>
          </cell>
          <cell r="AH1401">
            <v>2.360678707940056</v>
          </cell>
          <cell r="AI1401">
            <v>2.4719996138249156</v>
          </cell>
          <cell r="AJ1401">
            <v>2.5613925281029015</v>
          </cell>
          <cell r="AK1401">
            <v>2.614673649668231</v>
          </cell>
          <cell r="AL1401">
            <v>2.6419159673740866</v>
          </cell>
          <cell r="AM1401">
            <v>2.6413947090352607</v>
          </cell>
          <cell r="AN1401">
            <v>2.6186756680252277</v>
          </cell>
          <cell r="AO1401">
            <v>2.5803748084914702</v>
          </cell>
        </row>
        <row r="1402">
          <cell r="C1402" t="str">
            <v>Emploi en %</v>
          </cell>
          <cell r="E1402" t="str">
            <v>((F_L_2/F_L_0)-1)*100</v>
          </cell>
          <cell r="F1402">
            <v>0</v>
          </cell>
          <cell r="G1402">
            <v>0</v>
          </cell>
          <cell r="H1402">
            <v>0</v>
          </cell>
          <cell r="I1402">
            <v>0</v>
          </cell>
          <cell r="J1402">
            <v>3.5424130295780287E-8</v>
          </cell>
          <cell r="K1402">
            <v>0</v>
          </cell>
          <cell r="L1402">
            <v>0</v>
          </cell>
          <cell r="M1402">
            <v>-0.13595132631846196</v>
          </cell>
          <cell r="N1402">
            <v>-0.33765995601240384</v>
          </cell>
          <cell r="O1402">
            <v>-0.35202562315443942</v>
          </cell>
          <cell r="P1402">
            <v>-0.2105948155356252</v>
          </cell>
          <cell r="Q1402">
            <v>-1.7894723535216706E-2</v>
          </cell>
          <cell r="R1402">
            <v>0.16382926679034959</v>
          </cell>
          <cell r="S1402">
            <v>0.31228239402394387</v>
          </cell>
          <cell r="T1402">
            <v>0.43214635705286497</v>
          </cell>
          <cell r="U1402">
            <v>0.52970430106695776</v>
          </cell>
          <cell r="V1402">
            <v>0.59511496572530742</v>
          </cell>
          <cell r="W1402">
            <v>0.6295351729591836</v>
          </cell>
          <cell r="X1402">
            <v>0.63708632970258527</v>
          </cell>
          <cell r="Y1402">
            <v>0.62372806629971134</v>
          </cell>
          <cell r="Z1402">
            <v>0.59356938183250385</v>
          </cell>
          <cell r="AA1402">
            <v>0.54811211221763578</v>
          </cell>
          <cell r="AB1402">
            <v>0.49279641079873482</v>
          </cell>
          <cell r="AC1402">
            <v>0.43344117253416581</v>
          </cell>
          <cell r="AD1402">
            <v>0.37582263110624847</v>
          </cell>
          <cell r="AE1402">
            <v>0.32500271982469631</v>
          </cell>
          <cell r="AF1402">
            <v>0.28273385667363371</v>
          </cell>
          <cell r="AG1402">
            <v>0.25401654607200008</v>
          </cell>
          <cell r="AH1402">
            <v>0.24241523233827778</v>
          </cell>
          <cell r="AI1402">
            <v>0.2503278949916421</v>
          </cell>
          <cell r="AJ1402">
            <v>0.27903609687651709</v>
          </cell>
          <cell r="AK1402">
            <v>0.32804607536351948</v>
          </cell>
          <cell r="AL1402">
            <v>0.39725096891114475</v>
          </cell>
          <cell r="AM1402">
            <v>0.48526741485301894</v>
          </cell>
          <cell r="AN1402">
            <v>0.58970020726802908</v>
          </cell>
          <cell r="AO1402">
            <v>0.70750622699780052</v>
          </cell>
        </row>
        <row r="1403">
          <cell r="C1403" t="str">
            <v>Emploi en millier</v>
          </cell>
          <cell r="E1403" t="str">
            <v>F_L_2-F_L_0</v>
          </cell>
          <cell r="F1403">
            <v>0</v>
          </cell>
          <cell r="G1403">
            <v>0</v>
          </cell>
          <cell r="H1403">
            <v>0</v>
          </cell>
          <cell r="I1403">
            <v>0</v>
          </cell>
          <cell r="J1403">
            <v>9.9999997473787516E-6</v>
          </cell>
          <cell r="K1403">
            <v>0</v>
          </cell>
          <cell r="L1403">
            <v>0</v>
          </cell>
          <cell r="M1403">
            <v>-39.787000000000262</v>
          </cell>
          <cell r="N1403">
            <v>-100.07372000000032</v>
          </cell>
          <cell r="O1403">
            <v>-105.65684999999939</v>
          </cell>
          <cell r="P1403">
            <v>-63.987340000003314</v>
          </cell>
          <cell r="Q1403">
            <v>-5.4938899999979185</v>
          </cell>
          <cell r="R1403">
            <v>50.702919999999722</v>
          </cell>
          <cell r="S1403">
            <v>97.202760000000126</v>
          </cell>
          <cell r="T1403">
            <v>135.02640999999858</v>
          </cell>
          <cell r="U1403">
            <v>165.90965000000142</v>
          </cell>
          <cell r="V1403">
            <v>186.69469000000026</v>
          </cell>
          <cell r="W1403">
            <v>197.75432999999975</v>
          </cell>
          <cell r="X1403">
            <v>200.43431000000055</v>
          </cell>
          <cell r="Y1403">
            <v>196.64891999999963</v>
          </cell>
          <cell r="Z1403">
            <v>187.68922999999995</v>
          </cell>
          <cell r="AA1403">
            <v>174.00701999999728</v>
          </cell>
          <cell r="AB1403">
            <v>157.26440000000002</v>
          </cell>
          <cell r="AC1403">
            <v>139.23183000000063</v>
          </cell>
          <cell r="AD1403">
            <v>121.67973999999958</v>
          </cell>
          <cell r="AE1403">
            <v>106.17878000000201</v>
          </cell>
          <cell r="AF1403">
            <v>93.264049999997951</v>
          </cell>
          <cell r="AG1403">
            <v>84.647419999993872</v>
          </cell>
          <cell r="AH1403">
            <v>81.652869999998074</v>
          </cell>
          <cell r="AI1403">
            <v>85.270320000003267</v>
          </cell>
          <cell r="AJ1403">
            <v>96.152350000003935</v>
          </cell>
          <cell r="AK1403">
            <v>114.35891999999876</v>
          </cell>
          <cell r="AL1403">
            <v>140.07220000000234</v>
          </cell>
          <cell r="AM1403">
            <v>172.99573999999848</v>
          </cell>
          <cell r="AN1403">
            <v>212.41135999999824</v>
          </cell>
          <cell r="AO1403">
            <v>257.28447000000597</v>
          </cell>
        </row>
        <row r="1404">
          <cell r="C1404" t="str">
            <v>Taux de chômage (en point)</v>
          </cell>
          <cell r="E1404" t="str">
            <v>100*(UnR_2-UnR_0)</v>
          </cell>
          <cell r="F1404">
            <v>0</v>
          </cell>
          <cell r="G1404">
            <v>0</v>
          </cell>
          <cell r="H1404">
            <v>-9.9999980518461484E-9</v>
          </cell>
          <cell r="I1404">
            <v>0</v>
          </cell>
          <cell r="J1404">
            <v>-9.9999980518461484E-9</v>
          </cell>
          <cell r="K1404">
            <v>-1.000000082740371E-8</v>
          </cell>
          <cell r="L1404">
            <v>-9.9999994396249292E-9</v>
          </cell>
          <cell r="M1404">
            <v>0.10201767</v>
          </cell>
          <cell r="N1404">
            <v>0.24728038000000063</v>
          </cell>
          <cell r="O1404">
            <v>0.24479983999999982</v>
          </cell>
          <cell r="P1404">
            <v>0.13065812999999982</v>
          </cell>
          <cell r="Q1404">
            <v>-1.1408489999999161E-2</v>
          </cell>
          <cell r="R1404">
            <v>-0.13764245999999952</v>
          </cell>
          <cell r="S1404">
            <v>-0.23556699999999903</v>
          </cell>
          <cell r="T1404">
            <v>-0.31198673000000093</v>
          </cell>
          <cell r="U1404">
            <v>-0.37289075999999977</v>
          </cell>
          <cell r="V1404">
            <v>-0.41098154999999886</v>
          </cell>
          <cell r="W1404">
            <v>-0.42801466000000066</v>
          </cell>
          <cell r="X1404">
            <v>-0.42757427999999958</v>
          </cell>
          <cell r="Y1404">
            <v>-0.41421134000000082</v>
          </cell>
          <cell r="Z1404">
            <v>-0.39099613000000005</v>
          </cell>
          <cell r="AA1404">
            <v>-0.35801411999999977</v>
          </cell>
          <cell r="AB1404">
            <v>-0.31947969999999992</v>
          </cell>
          <cell r="AC1404">
            <v>-0.27930010000000033</v>
          </cell>
          <cell r="AD1404">
            <v>-0.24126743000000006</v>
          </cell>
          <cell r="AE1404">
            <v>-0.20904780000000067</v>
          </cell>
          <cell r="AF1404">
            <v>-0.18259957999999937</v>
          </cell>
          <cell r="AG1404">
            <v>-0.16590428999999907</v>
          </cell>
          <cell r="AH1404">
            <v>-0.16147128999999955</v>
          </cell>
          <cell r="AI1404">
            <v>-0.17098508000000026</v>
          </cell>
          <cell r="AJ1404">
            <v>-0.19536641999999965</v>
          </cell>
          <cell r="AK1404">
            <v>-0.23422983000000036</v>
          </cell>
          <cell r="AL1404">
            <v>-0.28762257999999996</v>
          </cell>
          <cell r="AM1404">
            <v>-0.35455456999999996</v>
          </cell>
          <cell r="AN1404">
            <v>-0.43323186000000025</v>
          </cell>
          <cell r="AO1404">
            <v>-0.52134142999999999</v>
          </cell>
        </row>
        <row r="1405">
          <cell r="C1405" t="str">
            <v>Balance commerciale</v>
          </cell>
          <cell r="E1405" t="str">
            <v>100*(Bal_Trade_VAL_2/(GDP_2*PGDP_2)-Bal_Trade_VAL_0/(GDP_0*PGDP_0))</v>
          </cell>
          <cell r="F1405">
            <v>-9.0936546487396797E-10</v>
          </cell>
          <cell r="G1405">
            <v>1.1814007237764823E-9</v>
          </cell>
          <cell r="H1405">
            <v>2.9402725480048852E-9</v>
          </cell>
          <cell r="I1405">
            <v>5.6381755167422831E-9</v>
          </cell>
          <cell r="J1405">
            <v>5.0185926595003316E-9</v>
          </cell>
          <cell r="K1405">
            <v>4.7639982236891143E-9</v>
          </cell>
          <cell r="L1405">
            <v>4.5246043023361437E-9</v>
          </cell>
          <cell r="M1405">
            <v>-0.24881646778941691</v>
          </cell>
          <cell r="N1405">
            <v>-0.3675447690557353</v>
          </cell>
          <cell r="O1405">
            <v>-0.15800142988224852</v>
          </cell>
          <cell r="P1405">
            <v>4.1906777093815573E-2</v>
          </cell>
          <cell r="Q1405">
            <v>0.13246490639900049</v>
          </cell>
          <cell r="R1405">
            <v>0.16600950708948597</v>
          </cell>
          <cell r="S1405">
            <v>0.16907675362606983</v>
          </cell>
          <cell r="T1405">
            <v>0.17330154886439214</v>
          </cell>
          <cell r="U1405">
            <v>0.18341817080984868</v>
          </cell>
          <cell r="V1405">
            <v>0.17438733653893299</v>
          </cell>
          <cell r="W1405">
            <v>0.15512351129448182</v>
          </cell>
          <cell r="X1405">
            <v>0.14080936933795474</v>
          </cell>
          <cell r="Y1405">
            <v>0.13179944462405821</v>
          </cell>
          <cell r="Z1405">
            <v>0.12425707100660599</v>
          </cell>
          <cell r="AA1405">
            <v>0.10678182944933098</v>
          </cell>
          <cell r="AB1405">
            <v>8.4597604290387318E-2</v>
          </cell>
          <cell r="AC1405">
            <v>6.4456291885018474E-2</v>
          </cell>
          <cell r="AD1405">
            <v>4.7066638788740428E-2</v>
          </cell>
          <cell r="AE1405">
            <v>3.0682564508809768E-2</v>
          </cell>
          <cell r="AF1405">
            <v>-5.2337500774643497E-3</v>
          </cell>
          <cell r="AG1405">
            <v>-5.225990204710193E-2</v>
          </cell>
          <cell r="AH1405">
            <v>-9.0956844072458132E-2</v>
          </cell>
          <cell r="AI1405">
            <v>-0.11903883625932615</v>
          </cell>
          <cell r="AJ1405">
            <v>-0.13813505754627503</v>
          </cell>
          <cell r="AK1405">
            <v>-0.15569385786897011</v>
          </cell>
          <cell r="AL1405">
            <v>-0.17189959173691677</v>
          </cell>
          <cell r="AM1405">
            <v>-0.18088808248860749</v>
          </cell>
          <cell r="AN1405">
            <v>-0.1829505827411107</v>
          </cell>
          <cell r="AO1405">
            <v>-0.18014501969316615</v>
          </cell>
        </row>
        <row r="1406">
          <cell r="C1406" t="str">
            <v>Facture énergétique</v>
          </cell>
          <cell r="E1406" t="str">
            <v>100*(ENER_BILL_2/(GDP_2*PGDP_2)-ENER_BILL_0/(GDP_0*PGDP_0))</v>
          </cell>
          <cell r="F1406">
            <v>1.8187307562755883E-9</v>
          </cell>
          <cell r="G1406">
            <v>4.3755589429483877E-10</v>
          </cell>
          <cell r="H1406">
            <v>-2.8549201197547447E-9</v>
          </cell>
          <cell r="I1406">
            <v>-3.624541465574449E-9</v>
          </cell>
          <cell r="J1406">
            <v>-5.6804548911881803E-9</v>
          </cell>
          <cell r="K1406">
            <v>-6.1686728641818789E-9</v>
          </cell>
          <cell r="L1406">
            <v>-6.6065073550669595E-9</v>
          </cell>
          <cell r="M1406">
            <v>-2.1439130404933039E-2</v>
          </cell>
          <cell r="N1406">
            <v>-5.0410214128879249E-2</v>
          </cell>
          <cell r="O1406">
            <v>-0.10463527145276631</v>
          </cell>
          <cell r="P1406">
            <v>-0.17687754438813869</v>
          </cell>
          <cell r="Q1406">
            <v>-0.23747473802690888</v>
          </cell>
          <cell r="R1406">
            <v>-0.295691265387517</v>
          </cell>
          <cell r="S1406">
            <v>-0.35052911804833686</v>
          </cell>
          <cell r="T1406">
            <v>-0.40252993463846698</v>
          </cell>
          <cell r="U1406">
            <v>-0.45293965595013341</v>
          </cell>
          <cell r="V1406">
            <v>-0.50193443862413589</v>
          </cell>
          <cell r="W1406">
            <v>-0.55021294491785044</v>
          </cell>
          <cell r="X1406">
            <v>-0.60191689754669231</v>
          </cell>
          <cell r="Y1406">
            <v>-0.66108769168153314</v>
          </cell>
          <cell r="Z1406">
            <v>-0.7228844132880814</v>
          </cell>
          <cell r="AA1406">
            <v>-0.7845080516680788</v>
          </cell>
          <cell r="AB1406">
            <v>-0.84444631312431195</v>
          </cell>
          <cell r="AC1406">
            <v>-0.90337760446906157</v>
          </cell>
          <cell r="AD1406">
            <v>-0.9619827019482986</v>
          </cell>
          <cell r="AE1406">
            <v>-1.0203192451233603</v>
          </cell>
          <cell r="AF1406">
            <v>-1.0660266763547432</v>
          </cell>
          <cell r="AG1406">
            <v>-1.1009452153045143</v>
          </cell>
          <cell r="AH1406">
            <v>-1.1297480815055339</v>
          </cell>
          <cell r="AI1406">
            <v>-1.1547123864038278</v>
          </cell>
          <cell r="AJ1406">
            <v>-1.1763923151564564</v>
          </cell>
          <cell r="AK1406">
            <v>-1.1936755192658006</v>
          </cell>
          <cell r="AL1406">
            <v>-1.2055996372566149</v>
          </cell>
          <cell r="AM1406">
            <v>-1.2133715297698404</v>
          </cell>
          <cell r="AN1406">
            <v>-1.2180462029241759</v>
          </cell>
          <cell r="AO1406">
            <v>-1.2202624017796129</v>
          </cell>
        </row>
        <row r="1407">
          <cell r="C1407" t="str">
            <v>Solde public primaire</v>
          </cell>
          <cell r="E1407" t="str">
            <v>100*((-Bal_G_prim_VAL_2)/(GDP_2*PGDP_2)-(-Bal_G_prim_VAL_0)/(GDP_0*PGDP_0))</v>
          </cell>
          <cell r="F1407">
            <v>1.3640481105747781E-9</v>
          </cell>
          <cell r="G1407">
            <v>8.7511161511732993E-10</v>
          </cell>
          <cell r="H1407">
            <v>-1.0985979487232456E-9</v>
          </cell>
          <cell r="I1407">
            <v>-2.6579969995832453E-9</v>
          </cell>
          <cell r="J1407">
            <v>-5.5540422087829722E-9</v>
          </cell>
          <cell r="K1407">
            <v>-8.0766263468867727E-9</v>
          </cell>
          <cell r="L1407">
            <v>-1.0289594176704497E-8</v>
          </cell>
          <cell r="M1407">
            <v>0.14033970595763273</v>
          </cell>
          <cell r="N1407">
            <v>0.301618652955846</v>
          </cell>
          <cell r="O1407">
            <v>0.33166225515584224</v>
          </cell>
          <cell r="P1407">
            <v>0.2639484608254819</v>
          </cell>
          <cell r="Q1407">
            <v>6.4723608293245499E-2</v>
          </cell>
          <cell r="R1407">
            <v>-0.13340705291257499</v>
          </cell>
          <cell r="S1407">
            <v>-0.30753763247728449</v>
          </cell>
          <cell r="T1407">
            <v>-0.45931754416789417</v>
          </cell>
          <cell r="U1407">
            <v>-0.59320651265462665</v>
          </cell>
          <cell r="V1407">
            <v>-0.69641718876886427</v>
          </cell>
          <cell r="W1407">
            <v>-0.77412565121767196</v>
          </cell>
          <cell r="X1407">
            <v>-0.83352139291083671</v>
          </cell>
          <cell r="Y1407">
            <v>-0.88280187130826138</v>
          </cell>
          <cell r="Z1407">
            <v>-0.91599906200498304</v>
          </cell>
          <cell r="AA1407">
            <v>-0.93646182991636717</v>
          </cell>
          <cell r="AB1407">
            <v>-0.93588827142486453</v>
          </cell>
          <cell r="AC1407">
            <v>-0.91890177577126642</v>
          </cell>
          <cell r="AD1407">
            <v>-0.89074043753388166</v>
          </cell>
          <cell r="AE1407">
            <v>-0.8543339860211524</v>
          </cell>
          <cell r="AF1407">
            <v>-0.8114951657538616</v>
          </cell>
          <cell r="AG1407">
            <v>-0.75837616277831676</v>
          </cell>
          <cell r="AH1407">
            <v>-0.70241146615515482</v>
          </cell>
          <cell r="AI1407">
            <v>-0.64930984956933369</v>
          </cell>
          <cell r="AJ1407">
            <v>-0.60195737609997768</v>
          </cell>
          <cell r="AK1407">
            <v>-0.56084318064016503</v>
          </cell>
          <cell r="AL1407">
            <v>-0.52409034916470887</v>
          </cell>
          <cell r="AM1407">
            <v>-0.4939457723067836</v>
          </cell>
          <cell r="AN1407">
            <v>-0.47219600294744479</v>
          </cell>
          <cell r="AO1407">
            <v>-0.45963583865419599</v>
          </cell>
        </row>
        <row r="1408">
          <cell r="C1408" t="str">
            <v xml:space="preserve">Solde public </v>
          </cell>
          <cell r="E1408" t="str">
            <v>100*((-Bal_G_tot_VAL_2)/(GDP_2*PGDP_2)-(-Bal_G_tot_VAL_0)/(GDP_0*PGDP_0))</v>
          </cell>
          <cell r="F1408">
            <v>1.8187309297479359E-9</v>
          </cell>
          <cell r="G1408">
            <v>7.4384488152334782E-9</v>
          </cell>
          <cell r="H1408">
            <v>4.4926760228714002E-9</v>
          </cell>
          <cell r="I1408">
            <v>6.0409025004481975E-9</v>
          </cell>
          <cell r="J1408">
            <v>3.895524354480262E-9</v>
          </cell>
          <cell r="K1408">
            <v>-4.7235201861006715E-10</v>
          </cell>
          <cell r="L1408">
            <v>-4.127105948659171E-9</v>
          </cell>
          <cell r="M1408">
            <v>0.14151179689437832</v>
          </cell>
          <cell r="N1408">
            <v>0.4617145833110804</v>
          </cell>
          <cell r="O1408">
            <v>0.61340325233720205</v>
          </cell>
          <cell r="P1408">
            <v>0.67208099242555519</v>
          </cell>
          <cell r="Q1408">
            <v>0.61292464873931374</v>
          </cell>
          <cell r="R1408">
            <v>0.33531459801840885</v>
          </cell>
          <cell r="S1408">
            <v>8.2385290153214746E-2</v>
          </cell>
          <cell r="T1408">
            <v>-0.14556289472943476</v>
          </cell>
          <cell r="U1408">
            <v>-0.35343586595189758</v>
          </cell>
          <cell r="V1408">
            <v>-0.52816328035332338</v>
          </cell>
          <cell r="W1408">
            <v>-0.66723053574501701</v>
          </cell>
          <cell r="X1408">
            <v>-0.78349891559408369</v>
          </cell>
          <cell r="Y1408">
            <v>-0.8868965437856674</v>
          </cell>
          <cell r="Z1408">
            <v>-0.96959101864284447</v>
          </cell>
          <cell r="AA1408">
            <v>-1.0322668452097457</v>
          </cell>
          <cell r="AB1408">
            <v>-1.0622680232958732</v>
          </cell>
          <cell r="AC1408">
            <v>-1.0654081882935915</v>
          </cell>
          <cell r="AD1408">
            <v>-1.0468876109656744</v>
          </cell>
          <cell r="AE1408">
            <v>-1.0094290160315198</v>
          </cell>
          <cell r="AF1408">
            <v>-0.95582223250853948</v>
          </cell>
          <cell r="AG1408">
            <v>-0.8808842568653219</v>
          </cell>
          <cell r="AH1408">
            <v>-0.80800949408134226</v>
          </cell>
          <cell r="AI1408">
            <v>-0.74014489068234823</v>
          </cell>
          <cell r="AJ1408">
            <v>-0.67844199067733091</v>
          </cell>
          <cell r="AK1408">
            <v>-0.62321502296145281</v>
          </cell>
          <cell r="AL1408">
            <v>-0.57236901229322656</v>
          </cell>
          <cell r="AM1408">
            <v>-0.53993032694362042</v>
          </cell>
          <cell r="AN1408">
            <v>-0.5251977127123747</v>
          </cell>
          <cell r="AO1408">
            <v>-0.52770082204424973</v>
          </cell>
        </row>
        <row r="1409">
          <cell r="C1409" t="str">
            <v>Dette publique</v>
          </cell>
          <cell r="E1409" t="str">
            <v>(DEBT_G_VAL_2/(PGDP_2*GDP_2)-DEBT_G_VAL_0/(PGDP_0*GDP_0))*100</v>
          </cell>
          <cell r="F1409">
            <v>0</v>
          </cell>
          <cell r="G1409">
            <v>0</v>
          </cell>
          <cell r="H1409">
            <v>-4.7570736239066491E-8</v>
          </cell>
          <cell r="I1409">
            <v>4.0272662982232532E-8</v>
          </cell>
          <cell r="J1409">
            <v>-8.1394113671251489E-8</v>
          </cell>
          <cell r="K1409">
            <v>-3.9730607692689546E-8</v>
          </cell>
          <cell r="L1409">
            <v>-7.1370531706804741E-8</v>
          </cell>
          <cell r="M1409">
            <v>0.19603676293062922</v>
          </cell>
          <cell r="N1409">
            <v>0.5475508963799447</v>
          </cell>
          <cell r="O1409">
            <v>0.56139493087604686</v>
          </cell>
          <cell r="P1409">
            <v>0.4012066244648782</v>
          </cell>
          <cell r="Q1409">
            <v>0.37327674893130602</v>
          </cell>
          <cell r="R1409">
            <v>0.12719643878583153</v>
          </cell>
          <cell r="S1409">
            <v>-0.28988709470315621</v>
          </cell>
          <cell r="T1409">
            <v>-0.84623993541354525</v>
          </cell>
          <cell r="U1409">
            <v>-1.5129448221457287</v>
          </cell>
          <cell r="V1409">
            <v>-2.2549145284211676</v>
          </cell>
          <cell r="W1409">
            <v>-3.0423129839081047</v>
          </cell>
          <cell r="X1409">
            <v>-3.8600700603454845</v>
          </cell>
          <cell r="Y1409">
            <v>-4.7024656669477602</v>
          </cell>
          <cell r="Z1409">
            <v>-5.5585299962850083</v>
          </cell>
          <cell r="AA1409">
            <v>-6.4196626957053002</v>
          </cell>
          <cell r="AB1409">
            <v>-7.2638841538544785</v>
          </cell>
          <cell r="AC1409">
            <v>-8.0738423894233744</v>
          </cell>
          <cell r="AD1409">
            <v>-8.8376436837757009</v>
          </cell>
          <cell r="AE1409">
            <v>-9.54657466749339</v>
          </cell>
          <cell r="AF1409">
            <v>-10.201934994279272</v>
          </cell>
          <cell r="AG1409">
            <v>-10.772058262019451</v>
          </cell>
          <cell r="AH1409">
            <v>-11.252996368696088</v>
          </cell>
          <cell r="AI1409">
            <v>-11.649645951321775</v>
          </cell>
          <cell r="AJ1409">
            <v>-11.970064984881013</v>
          </cell>
          <cell r="AK1409">
            <v>-12.227180072540644</v>
          </cell>
          <cell r="AL1409">
            <v>-12.412962858976561</v>
          </cell>
          <cell r="AM1409">
            <v>-12.537730956743099</v>
          </cell>
          <cell r="AN1409">
            <v>-12.614381362785432</v>
          </cell>
          <cell r="AO1409">
            <v>-12.656589115838379</v>
          </cell>
        </row>
        <row r="1410">
          <cell r="C1410" t="str">
            <v>PIB</v>
          </cell>
          <cell r="E1410" t="str">
            <v>GDP_2</v>
          </cell>
          <cell r="F1410">
            <v>2196797.8470000001</v>
          </cell>
          <cell r="G1410">
            <v>2236387.8280000002</v>
          </cell>
          <cell r="H1410">
            <v>2280184.338</v>
          </cell>
          <cell r="I1410">
            <v>2328048.0819999999</v>
          </cell>
          <cell r="J1410">
            <v>2379303.1609999998</v>
          </cell>
          <cell r="K1410">
            <v>2433444.1860000002</v>
          </cell>
          <cell r="L1410">
            <v>2489564.199</v>
          </cell>
          <cell r="M1410">
            <v>2540112.3470000001</v>
          </cell>
          <cell r="N1410">
            <v>2592404.7409999999</v>
          </cell>
          <cell r="O1410">
            <v>2656306.7209999999</v>
          </cell>
          <cell r="P1410">
            <v>2721838.531</v>
          </cell>
          <cell r="Q1410">
            <v>2781650.3769999999</v>
          </cell>
          <cell r="R1410">
            <v>2836663.2769999998</v>
          </cell>
          <cell r="S1410">
            <v>2887702.3289999999</v>
          </cell>
          <cell r="T1410">
            <v>2936293.6540000001</v>
          </cell>
          <cell r="U1410">
            <v>2983475.8969999999</v>
          </cell>
          <cell r="V1410">
            <v>3029377.9389999998</v>
          </cell>
          <cell r="W1410">
            <v>3075559.449</v>
          </cell>
          <cell r="X1410">
            <v>3123285.3769999999</v>
          </cell>
          <cell r="Y1410">
            <v>3173594.6719999998</v>
          </cell>
          <cell r="Z1410">
            <v>3226756.0389999999</v>
          </cell>
          <cell r="AA1410">
            <v>3284044.52</v>
          </cell>
          <cell r="AB1410">
            <v>3346111.0929999999</v>
          </cell>
          <cell r="AC1410">
            <v>3413447.0989999999</v>
          </cell>
          <cell r="AD1410">
            <v>3486266.1609999998</v>
          </cell>
          <cell r="AE1410">
            <v>3563561.534</v>
          </cell>
          <cell r="AF1410">
            <v>3646493.46</v>
          </cell>
          <cell r="AG1410">
            <v>3734776.9219999998</v>
          </cell>
          <cell r="AH1410">
            <v>3828497.16</v>
          </cell>
          <cell r="AI1410">
            <v>3927309.7080000001</v>
          </cell>
          <cell r="AJ1410">
            <v>4030533.4410000001</v>
          </cell>
          <cell r="AK1410">
            <v>4137446.358</v>
          </cell>
          <cell r="AL1410">
            <v>4247357.9670000002</v>
          </cell>
          <cell r="AM1410">
            <v>4359548.4419999998</v>
          </cell>
          <cell r="AN1410">
            <v>4473278.7889999999</v>
          </cell>
          <cell r="AO1410">
            <v>4587762.3909999998</v>
          </cell>
        </row>
        <row r="1411">
          <cell r="C1411" t="str">
            <v>Ecart PIB</v>
          </cell>
          <cell r="E1411" t="str">
            <v>(GDPter_2/GDPbis_2-1)*100</v>
          </cell>
          <cell r="F1411">
            <v>0</v>
          </cell>
          <cell r="G1411">
            <v>-4.4714976166204679E-8</v>
          </cell>
          <cell r="H1411">
            <v>0</v>
          </cell>
          <cell r="I1411">
            <v>-4.2954451107135583E-8</v>
          </cell>
          <cell r="J1411">
            <v>0</v>
          </cell>
          <cell r="K1411">
            <v>0</v>
          </cell>
          <cell r="L1411">
            <v>4.0167669190793731E-8</v>
          </cell>
          <cell r="M1411">
            <v>0</v>
          </cell>
          <cell r="N1411">
            <v>0</v>
          </cell>
          <cell r="O1411">
            <v>0</v>
          </cell>
          <cell r="P1411">
            <v>3.6739877806724053E-8</v>
          </cell>
          <cell r="Q1411">
            <v>3.5949887511321776E-8</v>
          </cell>
          <cell r="R1411">
            <v>-3.5252678554087424E-8</v>
          </cell>
          <cell r="S1411">
            <v>0</v>
          </cell>
          <cell r="T1411">
            <v>-3.4056546471816773E-8</v>
          </cell>
          <cell r="U1411">
            <v>0</v>
          </cell>
          <cell r="V1411">
            <v>0</v>
          </cell>
          <cell r="W1411">
            <v>0</v>
          </cell>
          <cell r="X1411">
            <v>0</v>
          </cell>
          <cell r="Y1411">
            <v>0</v>
          </cell>
          <cell r="Z1411">
            <v>0</v>
          </cell>
          <cell r="AA1411">
            <v>0</v>
          </cell>
          <cell r="AB1411">
            <v>0</v>
          </cell>
          <cell r="AC1411">
            <v>-2.9295887937763609E-8</v>
          </cell>
          <cell r="AD1411">
            <v>-2.8683977415511208E-8</v>
          </cell>
          <cell r="AE1411">
            <v>0</v>
          </cell>
          <cell r="AF1411">
            <v>0</v>
          </cell>
          <cell r="AG1411">
            <v>0</v>
          </cell>
          <cell r="AH1411">
            <v>-2.6119917340139409E-8</v>
          </cell>
          <cell r="AI1411">
            <v>-2.5462731922942794E-8</v>
          </cell>
          <cell r="AJ1411">
            <v>-2.4810620224968716E-8</v>
          </cell>
          <cell r="AK1411">
            <v>-2.4169499734938427E-8</v>
          </cell>
          <cell r="AL1411">
            <v>-2.3544055594015845E-8</v>
          </cell>
          <cell r="AM1411">
            <v>-4.5876291654423085E-8</v>
          </cell>
          <cell r="AN1411">
            <v>-2.2354973427951563E-8</v>
          </cell>
          <cell r="AO1411">
            <v>0</v>
          </cell>
        </row>
        <row r="1412">
          <cell r="C1412" t="str">
            <v>Dépenses publiques</v>
          </cell>
          <cell r="E1412" t="str">
            <v>SPEND_G_VAL_2</v>
          </cell>
          <cell r="F1412">
            <v>1177848.439</v>
          </cell>
          <cell r="G1412">
            <v>1216154.73</v>
          </cell>
          <cell r="H1412">
            <v>1251955.9480000001</v>
          </cell>
          <cell r="I1412">
            <v>1289668.838</v>
          </cell>
          <cell r="J1412">
            <v>1328807.2609999999</v>
          </cell>
          <cell r="K1412">
            <v>1366774.8389999999</v>
          </cell>
          <cell r="L1412">
            <v>1405142.841</v>
          </cell>
          <cell r="M1412">
            <v>1448096.3870000001</v>
          </cell>
          <cell r="N1412">
            <v>1498916.534</v>
          </cell>
          <cell r="O1412">
            <v>1552694.3259999999</v>
          </cell>
          <cell r="P1412">
            <v>1613149.7560000001</v>
          </cell>
          <cell r="Q1412">
            <v>1671445.4550000001</v>
          </cell>
          <cell r="R1412">
            <v>1721250.2749999999</v>
          </cell>
          <cell r="S1412">
            <v>1769018.814</v>
          </cell>
          <cell r="T1412">
            <v>1814298.2350000001</v>
          </cell>
          <cell r="U1412">
            <v>1856819.2050000001</v>
          </cell>
          <cell r="V1412">
            <v>1897040.6850000001</v>
          </cell>
          <cell r="W1412">
            <v>1935318.7779999999</v>
          </cell>
          <cell r="X1412">
            <v>1971259.6310000001</v>
          </cell>
          <cell r="Y1412">
            <v>2004616.1839999999</v>
          </cell>
          <cell r="Z1412">
            <v>2034117.0530000001</v>
          </cell>
          <cell r="AA1412">
            <v>2062560.3689999999</v>
          </cell>
          <cell r="AB1412">
            <v>2088987.8589999999</v>
          </cell>
          <cell r="AC1412">
            <v>2113348.0129999998</v>
          </cell>
          <cell r="AD1412">
            <v>2135710.6519999998</v>
          </cell>
          <cell r="AE1412">
            <v>2151657.19</v>
          </cell>
          <cell r="AF1412">
            <v>2168523.6549999998</v>
          </cell>
          <cell r="AG1412">
            <v>2184646.9249999998</v>
          </cell>
          <cell r="AH1412">
            <v>2198801.5419999999</v>
          </cell>
          <cell r="AI1412">
            <v>2210661.0619999999</v>
          </cell>
          <cell r="AJ1412">
            <v>2219957.801</v>
          </cell>
          <cell r="AK1412">
            <v>2226337.59</v>
          </cell>
          <cell r="AL1412">
            <v>2229748.1860000002</v>
          </cell>
          <cell r="AM1412">
            <v>2228747.3829999999</v>
          </cell>
          <cell r="AN1412">
            <v>2222942.0249999999</v>
          </cell>
          <cell r="AO1412">
            <v>2211932.1519999998</v>
          </cell>
        </row>
        <row r="1413">
          <cell r="C1413" t="str">
            <v>Recettes publiques</v>
          </cell>
          <cell r="E1413" t="str">
            <v>INC_G_VAL_2</v>
          </cell>
          <cell r="F1413">
            <v>1010641.04</v>
          </cell>
          <cell r="G1413">
            <v>1047012.963</v>
          </cell>
          <cell r="H1413">
            <v>1088101.075</v>
          </cell>
          <cell r="I1413">
            <v>1133936.969</v>
          </cell>
          <cell r="J1413">
            <v>1183785.1880000001</v>
          </cell>
          <cell r="K1413">
            <v>1237494.2390000001</v>
          </cell>
          <cell r="L1413">
            <v>1294974.834</v>
          </cell>
          <cell r="M1413">
            <v>1355743.378</v>
          </cell>
          <cell r="N1413">
            <v>1421543.3629999999</v>
          </cell>
          <cell r="O1413">
            <v>1498419.04</v>
          </cell>
          <cell r="P1413">
            <v>1587061.3359999999</v>
          </cell>
          <cell r="Q1413">
            <v>1679440.702</v>
          </cell>
          <cell r="R1413">
            <v>1771687.993</v>
          </cell>
          <cell r="S1413">
            <v>1861020.933</v>
          </cell>
          <cell r="T1413">
            <v>1946165.9750000001</v>
          </cell>
          <cell r="U1413">
            <v>2026629.44</v>
          </cell>
          <cell r="V1413">
            <v>2102441.2409999999</v>
          </cell>
          <cell r="W1413">
            <v>2174433.034</v>
          </cell>
          <cell r="X1413">
            <v>2243638.5109999999</v>
          </cell>
          <cell r="Y1413">
            <v>2311186.8790000002</v>
          </cell>
          <cell r="Z1413">
            <v>2377586.4300000002</v>
          </cell>
          <cell r="AA1413">
            <v>2444258.1039999998</v>
          </cell>
          <cell r="AB1413">
            <v>2512267.1460000002</v>
          </cell>
          <cell r="AC1413">
            <v>2583109.81</v>
          </cell>
          <cell r="AD1413">
            <v>2658238.5380000002</v>
          </cell>
          <cell r="AE1413">
            <v>2738028.4870000002</v>
          </cell>
          <cell r="AF1413">
            <v>2823540.66</v>
          </cell>
          <cell r="AG1413">
            <v>2916629.59</v>
          </cell>
          <cell r="AH1413">
            <v>3019617.6320000002</v>
          </cell>
          <cell r="AI1413">
            <v>3134092.1809999999</v>
          </cell>
          <cell r="AJ1413">
            <v>3260875.44</v>
          </cell>
          <cell r="AK1413">
            <v>3400231.9270000001</v>
          </cell>
          <cell r="AL1413">
            <v>3552475.2220000001</v>
          </cell>
          <cell r="AM1413">
            <v>3717578.6540000001</v>
          </cell>
          <cell r="AN1413">
            <v>3895167.8960000002</v>
          </cell>
          <cell r="AO1413">
            <v>4084462.6260000002</v>
          </cell>
        </row>
        <row r="1414">
          <cell r="C1414" t="str">
            <v>Solde public</v>
          </cell>
          <cell r="E1414" t="str">
            <v>Bal_G_tot_VAL_2</v>
          </cell>
          <cell r="F1414">
            <v>-65230.331310000001</v>
          </cell>
          <cell r="G1414">
            <v>-63903.182500000003</v>
          </cell>
          <cell r="H1414">
            <v>-55421.129459999996</v>
          </cell>
          <cell r="I1414">
            <v>-44527.06985</v>
          </cell>
          <cell r="J1414">
            <v>-31590.919839999999</v>
          </cell>
          <cell r="K1414">
            <v>-14269.900149999999</v>
          </cell>
          <cell r="L1414">
            <v>5556.1871680000004</v>
          </cell>
          <cell r="M1414">
            <v>23093.375749999999</v>
          </cell>
          <cell r="N1414">
            <v>36918.544739999998</v>
          </cell>
          <cell r="O1414">
            <v>58170.503539999998</v>
          </cell>
          <cell r="P1414">
            <v>83448.843789999999</v>
          </cell>
          <cell r="Q1414">
            <v>113360.06879999999</v>
          </cell>
          <cell r="R1414">
            <v>150134.53649999999</v>
          </cell>
          <cell r="S1414">
            <v>184192.2096</v>
          </cell>
          <cell r="T1414">
            <v>214848.2213</v>
          </cell>
          <cell r="U1414">
            <v>242048.30530000001</v>
          </cell>
          <cell r="V1414">
            <v>265536.21090000001</v>
          </cell>
          <cell r="W1414">
            <v>285973.10009999998</v>
          </cell>
          <cell r="X1414">
            <v>304939.06939999998</v>
          </cell>
          <cell r="Y1414">
            <v>323883.9302</v>
          </cell>
          <cell r="Z1414">
            <v>344588.41570000001</v>
          </cell>
          <cell r="AA1414">
            <v>365587.35259999998</v>
          </cell>
          <cell r="AB1414">
            <v>388889.538</v>
          </cell>
          <cell r="AC1414">
            <v>415927.57079999999</v>
          </cell>
          <cell r="AD1414">
            <v>447897.28129999997</v>
          </cell>
          <cell r="AE1414">
            <v>489345.82760000002</v>
          </cell>
          <cell r="AF1414">
            <v>533524.24549999996</v>
          </cell>
          <cell r="AG1414">
            <v>583813.69180000003</v>
          </cell>
          <cell r="AH1414">
            <v>643456.43359999999</v>
          </cell>
          <cell r="AI1414">
            <v>713898.64</v>
          </cell>
          <cell r="AJ1414">
            <v>795690.22849999997</v>
          </cell>
          <cell r="AK1414">
            <v>888882.41449999996</v>
          </cell>
          <cell r="AL1414">
            <v>993270.99280000001</v>
          </cell>
          <cell r="AM1414">
            <v>1109711.679</v>
          </cell>
          <cell r="AN1414">
            <v>1237620.6939999999</v>
          </cell>
          <cell r="AO1414">
            <v>1376044.2620000001</v>
          </cell>
        </row>
        <row r="1415">
          <cell r="C1415" t="str">
            <v>Dette publique</v>
          </cell>
          <cell r="E1415" t="str">
            <v>DEBT_G_VAL_2</v>
          </cell>
          <cell r="F1415">
            <v>2104771.6850000001</v>
          </cell>
          <cell r="G1415">
            <v>2168674.8670000001</v>
          </cell>
          <cell r="H1415">
            <v>2224095.997</v>
          </cell>
          <cell r="I1415">
            <v>2268623.0669999998</v>
          </cell>
          <cell r="J1415">
            <v>2300213.986</v>
          </cell>
          <cell r="K1415">
            <v>2314483.8870000001</v>
          </cell>
          <cell r="L1415">
            <v>2308927.699</v>
          </cell>
          <cell r="M1415">
            <v>2285834.324</v>
          </cell>
          <cell r="N1415">
            <v>2248915.7790000001</v>
          </cell>
          <cell r="O1415">
            <v>2190745.2749999999</v>
          </cell>
          <cell r="P1415">
            <v>2107296.432</v>
          </cell>
          <cell r="Q1415">
            <v>1993936.3629999999</v>
          </cell>
          <cell r="R1415">
            <v>1843801.8259999999</v>
          </cell>
          <cell r="S1415">
            <v>1659609.6170000001</v>
          </cell>
          <cell r="T1415">
            <v>1444761.395</v>
          </cell>
          <cell r="U1415">
            <v>1202713.0900000001</v>
          </cell>
          <cell r="V1415">
            <v>937176.87910000002</v>
          </cell>
          <cell r="W1415">
            <v>651203.77910000004</v>
          </cell>
          <cell r="X1415">
            <v>346264.70970000001</v>
          </cell>
          <cell r="Y1415">
            <v>22380.77951</v>
          </cell>
          <cell r="Z1415">
            <v>-322207.63620000001</v>
          </cell>
          <cell r="AA1415">
            <v>-687794.98880000005</v>
          </cell>
          <cell r="AB1415">
            <v>-1076684.527</v>
          </cell>
          <cell r="AC1415">
            <v>-1492612.0970000001</v>
          </cell>
          <cell r="AD1415">
            <v>-1940509.379</v>
          </cell>
          <cell r="AE1415">
            <v>-2429855.2059999998</v>
          </cell>
          <cell r="AF1415">
            <v>-2963379.452</v>
          </cell>
          <cell r="AG1415">
            <v>-3547193.1439999999</v>
          </cell>
          <cell r="AH1415">
            <v>-4190649.577</v>
          </cell>
          <cell r="AI1415">
            <v>-4904548.2170000002</v>
          </cell>
          <cell r="AJ1415">
            <v>-5700238.4460000005</v>
          </cell>
          <cell r="AK1415">
            <v>-6589120.8600000003</v>
          </cell>
          <cell r="AL1415">
            <v>-7582391.8530000001</v>
          </cell>
          <cell r="AM1415">
            <v>-8692103.5319999997</v>
          </cell>
          <cell r="AN1415">
            <v>-9929724.2259999998</v>
          </cell>
          <cell r="AO1415">
            <v>-11305768.49</v>
          </cell>
        </row>
        <row r="1512">
          <cell r="F1512">
            <v>1965878.7479999999</v>
          </cell>
          <cell r="G1512">
            <v>2001863.0060000001</v>
          </cell>
          <cell r="H1512">
            <v>2041300.514</v>
          </cell>
          <cell r="I1512">
            <v>2084237.594</v>
          </cell>
          <cell r="J1512">
            <v>2130036.9210000001</v>
          </cell>
          <cell r="K1512">
            <v>2178308.1290000002</v>
          </cell>
          <cell r="L1512">
            <v>2228162.6910000001</v>
          </cell>
          <cell r="M1512">
            <v>2272876.2680000002</v>
          </cell>
          <cell r="N1512">
            <v>2319417.2570000002</v>
          </cell>
          <cell r="O1512">
            <v>2376886.531</v>
          </cell>
          <cell r="P1512">
            <v>2435506.12</v>
          </cell>
          <cell r="Q1512">
            <v>2488248.4739999999</v>
          </cell>
          <cell r="R1512">
            <v>2536239.463</v>
          </cell>
          <cell r="S1512">
            <v>2580514.5279999999</v>
          </cell>
          <cell r="T1512">
            <v>2622672.5520000001</v>
          </cell>
          <cell r="U1512">
            <v>2663743.588</v>
          </cell>
          <cell r="V1512">
            <v>2703915.2340000002</v>
          </cell>
          <cell r="W1512">
            <v>2744600.5010000002</v>
          </cell>
          <cell r="X1512">
            <v>2786860.2230000002</v>
          </cell>
          <cell r="Y1512">
            <v>2831492.6740000001</v>
          </cell>
          <cell r="Z1512">
            <v>2878811.58</v>
          </cell>
          <cell r="AA1512">
            <v>2929869.8640000001</v>
          </cell>
          <cell r="AB1512">
            <v>2985256.6540000001</v>
          </cell>
          <cell r="AC1512">
            <v>3045374.6490000002</v>
          </cell>
          <cell r="AD1512">
            <v>3110363.4670000002</v>
          </cell>
          <cell r="AE1512">
            <v>3179365.7110000001</v>
          </cell>
          <cell r="AF1512">
            <v>3253894.0079999999</v>
          </cell>
          <cell r="AG1512">
            <v>3333406.4849999999</v>
          </cell>
          <cell r="AH1512">
            <v>3417819.04</v>
          </cell>
          <cell r="AI1512">
            <v>3506704.5279999999</v>
          </cell>
          <cell r="AJ1512">
            <v>3599377.7689999999</v>
          </cell>
          <cell r="AK1512">
            <v>3695169.5440000002</v>
          </cell>
          <cell r="AL1512">
            <v>3793482.2439999999</v>
          </cell>
          <cell r="AM1512">
            <v>3893678.6359999999</v>
          </cell>
          <cell r="AN1512">
            <v>3995105.1340000001</v>
          </cell>
          <cell r="AO1512">
            <v>4097072.7689999999</v>
          </cell>
        </row>
        <row r="1513">
          <cell r="F1513">
            <v>36088.250630000002</v>
          </cell>
          <cell r="G1513">
            <v>36599.156560000003</v>
          </cell>
          <cell r="H1513">
            <v>37198.539519999998</v>
          </cell>
          <cell r="I1513">
            <v>37885.033380000001</v>
          </cell>
          <cell r="J1513">
            <v>38662.866829999999</v>
          </cell>
          <cell r="K1513">
            <v>39512.052949999998</v>
          </cell>
          <cell r="L1513">
            <v>40439.276680000003</v>
          </cell>
          <cell r="M1513">
            <v>41186.546249999999</v>
          </cell>
          <cell r="N1513">
            <v>41974.917079999999</v>
          </cell>
          <cell r="O1513">
            <v>42988.187290000002</v>
          </cell>
          <cell r="P1513">
            <v>44001.858569999997</v>
          </cell>
          <cell r="Q1513">
            <v>44902.225460000001</v>
          </cell>
          <cell r="R1513">
            <v>45714.223100000003</v>
          </cell>
          <cell r="S1513">
            <v>46458.16805</v>
          </cell>
          <cell r="T1513">
            <v>47164.023209999999</v>
          </cell>
          <cell r="U1513">
            <v>47850.044730000001</v>
          </cell>
          <cell r="V1513">
            <v>48570.275710000002</v>
          </cell>
          <cell r="W1513">
            <v>49304.543299999998</v>
          </cell>
          <cell r="X1513">
            <v>50074.73676</v>
          </cell>
          <cell r="Y1513">
            <v>50897.446640000002</v>
          </cell>
          <cell r="Z1513">
            <v>51779.146220000002</v>
          </cell>
          <cell r="AA1513">
            <v>52748.024069999999</v>
          </cell>
          <cell r="AB1513">
            <v>53817.750059999998</v>
          </cell>
          <cell r="AC1513">
            <v>54998.917950000003</v>
          </cell>
          <cell r="AD1513">
            <v>56296.529170000002</v>
          </cell>
          <cell r="AE1513">
            <v>57690.057860000001</v>
          </cell>
          <cell r="AF1513">
            <v>59034.037600000003</v>
          </cell>
          <cell r="AG1513">
            <v>60452.277300000002</v>
          </cell>
          <cell r="AH1513">
            <v>61978.247649999998</v>
          </cell>
          <cell r="AI1513">
            <v>63609.061950000003</v>
          </cell>
          <cell r="AJ1513">
            <v>65327.847520000003</v>
          </cell>
          <cell r="AK1513">
            <v>67116.391390000004</v>
          </cell>
          <cell r="AL1513">
            <v>68958.526119999995</v>
          </cell>
          <cell r="AM1513">
            <v>70837.512669999996</v>
          </cell>
          <cell r="AN1513">
            <v>72736.32415</v>
          </cell>
          <cell r="AO1513">
            <v>74637.533110000004</v>
          </cell>
        </row>
        <row r="1516">
          <cell r="F1516">
            <v>331623.40149999998</v>
          </cell>
          <cell r="G1516">
            <v>339640.93079999997</v>
          </cell>
          <cell r="H1516">
            <v>347958.80180000002</v>
          </cell>
          <cell r="I1516">
            <v>356835.26309999998</v>
          </cell>
          <cell r="J1516">
            <v>366240.96850000002</v>
          </cell>
          <cell r="K1516">
            <v>376106.3088</v>
          </cell>
          <cell r="L1516">
            <v>386439.08169999998</v>
          </cell>
          <cell r="M1516">
            <v>395170.79629999999</v>
          </cell>
          <cell r="N1516">
            <v>404671.80719999998</v>
          </cell>
          <cell r="O1516">
            <v>417255.33179999999</v>
          </cell>
          <cell r="P1516">
            <v>429520.90870000003</v>
          </cell>
          <cell r="Q1516">
            <v>440136.21789999999</v>
          </cell>
          <cell r="R1516">
            <v>449722.6802</v>
          </cell>
          <cell r="S1516">
            <v>458713.57329999999</v>
          </cell>
          <cell r="T1516">
            <v>467616.60499999998</v>
          </cell>
          <cell r="U1516">
            <v>476680.71659999999</v>
          </cell>
          <cell r="V1516">
            <v>485887.38770000002</v>
          </cell>
          <cell r="W1516">
            <v>495590.44900000002</v>
          </cell>
          <cell r="X1516">
            <v>505986.19520000002</v>
          </cell>
          <cell r="Y1516">
            <v>517214.15100000001</v>
          </cell>
          <cell r="Z1516">
            <v>529346.34909999999</v>
          </cell>
          <cell r="AA1516">
            <v>542592.71640000003</v>
          </cell>
          <cell r="AB1516">
            <v>557075.90969999996</v>
          </cell>
          <cell r="AC1516">
            <v>572875.73710000003</v>
          </cell>
          <cell r="AD1516">
            <v>590014.90989999997</v>
          </cell>
          <cell r="AE1516">
            <v>608392.89379999996</v>
          </cell>
          <cell r="AF1516">
            <v>627613.87690000003</v>
          </cell>
          <cell r="AG1516">
            <v>647809.2524</v>
          </cell>
          <cell r="AH1516">
            <v>669057.23160000006</v>
          </cell>
          <cell r="AI1516">
            <v>691242.2585</v>
          </cell>
          <cell r="AJ1516">
            <v>714179.9399</v>
          </cell>
          <cell r="AK1516">
            <v>737730.25549999997</v>
          </cell>
          <cell r="AL1516">
            <v>761761.49069999997</v>
          </cell>
          <cell r="AM1516">
            <v>786126.51780000003</v>
          </cell>
          <cell r="AN1516">
            <v>810678.12060000002</v>
          </cell>
          <cell r="AO1516">
            <v>835265.18319999997</v>
          </cell>
        </row>
        <row r="1528">
          <cell r="F1528">
            <v>48463.943890000002</v>
          </cell>
          <cell r="G1528">
            <v>49472.66603</v>
          </cell>
          <cell r="H1528">
            <v>50490.311000000002</v>
          </cell>
          <cell r="I1528">
            <v>51558.177109999997</v>
          </cell>
          <cell r="J1528">
            <v>52703.044929999996</v>
          </cell>
          <cell r="K1528">
            <v>53920.507890000001</v>
          </cell>
          <cell r="L1528">
            <v>55199.831879999998</v>
          </cell>
          <cell r="M1528">
            <v>56215.778189999997</v>
          </cell>
          <cell r="N1528">
            <v>57261.8145</v>
          </cell>
          <cell r="O1528">
            <v>58612.283739999999</v>
          </cell>
          <cell r="P1528">
            <v>59804.77577</v>
          </cell>
          <cell r="Q1528">
            <v>60772.775350000004</v>
          </cell>
          <cell r="R1528">
            <v>61618.038890000003</v>
          </cell>
          <cell r="S1528">
            <v>62385.284169999999</v>
          </cell>
          <cell r="T1528">
            <v>63124.395709999997</v>
          </cell>
          <cell r="U1528">
            <v>63856.236969999998</v>
          </cell>
          <cell r="V1528">
            <v>64574.936699999998</v>
          </cell>
          <cell r="W1528">
            <v>65307.63076</v>
          </cell>
          <cell r="X1528">
            <v>66087.549459999995</v>
          </cell>
          <cell r="Y1528">
            <v>66946.79363</v>
          </cell>
          <cell r="Z1528">
            <v>67895.977660000004</v>
          </cell>
          <cell r="AA1528">
            <v>68979.214749999999</v>
          </cell>
          <cell r="AB1528">
            <v>70214.866290000005</v>
          </cell>
          <cell r="AC1528">
            <v>71611.460690000007</v>
          </cell>
          <cell r="AD1528">
            <v>73169.566219999993</v>
          </cell>
          <cell r="AE1528">
            <v>74869.842579999997</v>
          </cell>
          <cell r="AF1528">
            <v>76721.408899999995</v>
          </cell>
          <cell r="AG1528">
            <v>78747.585770000005</v>
          </cell>
          <cell r="AH1528">
            <v>80953.100890000002</v>
          </cell>
          <cell r="AI1528">
            <v>83317.892609999995</v>
          </cell>
          <cell r="AJ1528">
            <v>85813.142030000003</v>
          </cell>
          <cell r="AK1528">
            <v>88420.698550000001</v>
          </cell>
          <cell r="AL1528">
            <v>91119.979139999996</v>
          </cell>
          <cell r="AM1528">
            <v>93886.210009999995</v>
          </cell>
          <cell r="AN1528">
            <v>96693.595920000007</v>
          </cell>
          <cell r="AO1528">
            <v>99515.585560000007</v>
          </cell>
        </row>
        <row r="1533">
          <cell r="F1533">
            <v>1511094.946</v>
          </cell>
          <cell r="G1533">
            <v>1536960.925</v>
          </cell>
          <cell r="H1533">
            <v>1565918.358</v>
          </cell>
          <cell r="I1533">
            <v>1597629.7309999999</v>
          </cell>
          <cell r="J1533">
            <v>1631557.84</v>
          </cell>
          <cell r="K1533">
            <v>1667345.64</v>
          </cell>
          <cell r="L1533">
            <v>1704708.882</v>
          </cell>
          <cell r="M1533">
            <v>1739101.6159999999</v>
          </cell>
          <cell r="N1533">
            <v>1774482.206</v>
          </cell>
          <cell r="O1533">
            <v>1817003.1029999999</v>
          </cell>
          <cell r="P1533">
            <v>1861176.058</v>
          </cell>
          <cell r="Q1533">
            <v>1901703.291</v>
          </cell>
          <cell r="R1533">
            <v>1938918.9210000001</v>
          </cell>
          <cell r="S1533">
            <v>1973332.7760000001</v>
          </cell>
          <cell r="T1533">
            <v>2005914.469</v>
          </cell>
          <cell r="U1533">
            <v>2037386.743</v>
          </cell>
          <cell r="V1533">
            <v>2067902.175</v>
          </cell>
          <cell r="W1533">
            <v>2098493.3280000002</v>
          </cell>
          <cell r="X1533">
            <v>2129985.2930000001</v>
          </cell>
          <cell r="Y1533">
            <v>2163035.1359999999</v>
          </cell>
          <cell r="Z1533">
            <v>2197881.46</v>
          </cell>
          <cell r="AA1533">
            <v>2235290.9789999998</v>
          </cell>
          <cell r="AB1533">
            <v>2275704.0830000001</v>
          </cell>
          <cell r="AC1533">
            <v>2319469.02</v>
          </cell>
          <cell r="AD1533">
            <v>2366758.9670000002</v>
          </cell>
          <cell r="AE1533">
            <v>2416945.6189999999</v>
          </cell>
          <cell r="AF1533">
            <v>2469611.2259999998</v>
          </cell>
          <cell r="AG1533">
            <v>2525283.3119999999</v>
          </cell>
          <cell r="AH1533">
            <v>2584364.0249999999</v>
          </cell>
          <cell r="AI1533">
            <v>2646763.372</v>
          </cell>
          <cell r="AJ1533">
            <v>2712076.827</v>
          </cell>
          <cell r="AK1533">
            <v>2779812.9649999999</v>
          </cell>
          <cell r="AL1533">
            <v>2849519.1919999998</v>
          </cell>
          <cell r="AM1533">
            <v>2920732.7609999999</v>
          </cell>
          <cell r="AN1533">
            <v>2992978.1359999999</v>
          </cell>
          <cell r="AO1533">
            <v>3065750.4849999999</v>
          </cell>
        </row>
        <row r="1537">
          <cell r="F1537">
            <v>-2125.2634870000002</v>
          </cell>
          <cell r="G1537">
            <v>-2143.537613</v>
          </cell>
          <cell r="H1537">
            <v>-2160.632333</v>
          </cell>
          <cell r="I1537">
            <v>-2178.1475</v>
          </cell>
          <cell r="J1537">
            <v>-2195.5805970000001</v>
          </cell>
          <cell r="K1537">
            <v>-2222.2135410000001</v>
          </cell>
          <cell r="L1537">
            <v>-2256.7403210000002</v>
          </cell>
          <cell r="M1537">
            <v>-2304.8921890000001</v>
          </cell>
          <cell r="N1537">
            <v>-2343.4513969999998</v>
          </cell>
          <cell r="O1537">
            <v>-2371.5849899999998</v>
          </cell>
          <cell r="P1537">
            <v>-2410.6563230000002</v>
          </cell>
          <cell r="Q1537">
            <v>-2435.7024179999999</v>
          </cell>
          <cell r="R1537">
            <v>-2457.8526569999999</v>
          </cell>
          <cell r="S1537">
            <v>-2478.485983</v>
          </cell>
          <cell r="T1537">
            <v>-2498.6678040000002</v>
          </cell>
          <cell r="U1537">
            <v>-2520.1724060000001</v>
          </cell>
          <cell r="V1537">
            <v>-2547.0583980000001</v>
          </cell>
          <cell r="W1537">
            <v>-2562.0578390000001</v>
          </cell>
          <cell r="X1537">
            <v>-2579.1759950000001</v>
          </cell>
          <cell r="Y1537">
            <v>-2593.164499</v>
          </cell>
          <cell r="Z1537">
            <v>-2576.1239489999998</v>
          </cell>
          <cell r="AA1537">
            <v>-2557.959194</v>
          </cell>
          <cell r="AB1537">
            <v>-2541.2012810000001</v>
          </cell>
          <cell r="AC1537">
            <v>-2525.5845530000001</v>
          </cell>
          <cell r="AD1537">
            <v>-2510.7488469999998</v>
          </cell>
          <cell r="AE1537">
            <v>-2496.4137839999999</v>
          </cell>
          <cell r="AF1537">
            <v>-2483.123568</v>
          </cell>
          <cell r="AG1537">
            <v>-2464.4833549999998</v>
          </cell>
          <cell r="AH1537">
            <v>-2444.0985900000001</v>
          </cell>
          <cell r="AI1537">
            <v>-2424.8372530000001</v>
          </cell>
          <cell r="AJ1537">
            <v>-2407.2355149999999</v>
          </cell>
          <cell r="AK1537">
            <v>-2390.7711180000001</v>
          </cell>
          <cell r="AL1537">
            <v>-2375.6040969999999</v>
          </cell>
          <cell r="AM1537">
            <v>-2362.1107910000001</v>
          </cell>
          <cell r="AN1537">
            <v>-2350.789327</v>
          </cell>
          <cell r="AO1537">
            <v>-2342.1825640000002</v>
          </cell>
        </row>
        <row r="1541">
          <cell r="F1541">
            <v>40643.929499999998</v>
          </cell>
          <cell r="G1541">
            <v>41243.105239999997</v>
          </cell>
          <cell r="H1541">
            <v>41801.897830000002</v>
          </cell>
          <cell r="I1541">
            <v>42411.399749999997</v>
          </cell>
          <cell r="J1541">
            <v>42966.810969999999</v>
          </cell>
          <cell r="K1541">
            <v>43540.080329999997</v>
          </cell>
          <cell r="L1541">
            <v>43506.442640000001</v>
          </cell>
          <cell r="M1541">
            <v>43361.779920000001</v>
          </cell>
          <cell r="N1541">
            <v>43205.548620000001</v>
          </cell>
          <cell r="O1541">
            <v>43210.885609999998</v>
          </cell>
          <cell r="P1541">
            <v>43169.17209</v>
          </cell>
          <cell r="Q1541">
            <v>42876.965389999998</v>
          </cell>
          <cell r="R1541">
            <v>42381.058440000001</v>
          </cell>
          <cell r="S1541">
            <v>41708.37689</v>
          </cell>
          <cell r="T1541">
            <v>40900.967239999998</v>
          </cell>
          <cell r="U1541">
            <v>39979.55848</v>
          </cell>
          <cell r="V1541">
            <v>38880.315979999999</v>
          </cell>
          <cell r="W1541">
            <v>37665.942260000003</v>
          </cell>
          <cell r="X1541">
            <v>36348.58397</v>
          </cell>
          <cell r="Y1541">
            <v>34923.436099999999</v>
          </cell>
          <cell r="Z1541">
            <v>33378.926339999998</v>
          </cell>
          <cell r="AA1541">
            <v>31695.222419999998</v>
          </cell>
          <cell r="AB1541">
            <v>29867.885119999999</v>
          </cell>
          <cell r="AC1541">
            <v>27858.814600000002</v>
          </cell>
          <cell r="AD1541">
            <v>25613.57847</v>
          </cell>
          <cell r="AE1541">
            <v>23051.49855</v>
          </cell>
          <cell r="AF1541">
            <v>22686.060710000002</v>
          </cell>
          <cell r="AG1541">
            <v>23146.579040000001</v>
          </cell>
          <cell r="AH1541">
            <v>23824.85426</v>
          </cell>
          <cell r="AI1541">
            <v>24521.671060000001</v>
          </cell>
          <cell r="AJ1541">
            <v>25183.24999</v>
          </cell>
          <cell r="AK1541">
            <v>25800.456600000001</v>
          </cell>
          <cell r="AL1541">
            <v>26388.467089999998</v>
          </cell>
          <cell r="AM1541">
            <v>26951.50504</v>
          </cell>
          <cell r="AN1541">
            <v>27490.88881</v>
          </cell>
          <cell r="AO1541">
            <v>28006.95003</v>
          </cell>
        </row>
        <row r="1551">
          <cell r="F1551">
            <v>1965878.7479999999</v>
          </cell>
          <cell r="G1551">
            <v>2001863.0060000001</v>
          </cell>
          <cell r="H1551">
            <v>2041300.514</v>
          </cell>
          <cell r="I1551">
            <v>2084237.594</v>
          </cell>
          <cell r="J1551">
            <v>2130036.9210000001</v>
          </cell>
          <cell r="K1551">
            <v>2178308.128</v>
          </cell>
          <cell r="L1551">
            <v>2228162.6910000001</v>
          </cell>
          <cell r="M1551">
            <v>2279672.534</v>
          </cell>
          <cell r="N1551">
            <v>2332751.057</v>
          </cell>
          <cell r="O1551">
            <v>2387313.2439999999</v>
          </cell>
          <cell r="P1551">
            <v>2441966.6430000002</v>
          </cell>
          <cell r="Q1551">
            <v>2490955.1379999998</v>
          </cell>
          <cell r="R1551">
            <v>2535855.281</v>
          </cell>
          <cell r="S1551">
            <v>2577454.639</v>
          </cell>
          <cell r="T1551">
            <v>2616849.986</v>
          </cell>
          <cell r="U1551">
            <v>2655146.0389999999</v>
          </cell>
          <cell r="V1551">
            <v>2693447.0120000001</v>
          </cell>
          <cell r="W1551">
            <v>2732886.497</v>
          </cell>
          <cell r="X1551">
            <v>2774427.5759999999</v>
          </cell>
          <cell r="Y1551">
            <v>2818719.872</v>
          </cell>
          <cell r="Z1551">
            <v>2866010.716</v>
          </cell>
          <cell r="AA1551">
            <v>2917233.6359999999</v>
          </cell>
          <cell r="AB1551">
            <v>2972868.14</v>
          </cell>
          <cell r="AC1551">
            <v>3033216.398</v>
          </cell>
          <cell r="AD1551">
            <v>3098281.45</v>
          </cell>
          <cell r="AE1551">
            <v>3167093.4840000002</v>
          </cell>
          <cell r="AF1551">
            <v>3241099.0410000002</v>
          </cell>
          <cell r="AG1551">
            <v>3319815.642</v>
          </cell>
          <cell r="AH1551">
            <v>3403142.173</v>
          </cell>
          <cell r="AI1551">
            <v>3490560.6269999999</v>
          </cell>
          <cell r="AJ1551">
            <v>3581300.787</v>
          </cell>
          <cell r="AK1551">
            <v>3674673.5440000002</v>
          </cell>
          <cell r="AL1551">
            <v>3770091.0959999999</v>
          </cell>
          <cell r="AM1551">
            <v>3866959.12</v>
          </cell>
          <cell r="AN1551">
            <v>3964659.5440000002</v>
          </cell>
          <cell r="AO1551">
            <v>4062547.145</v>
          </cell>
        </row>
        <row r="1552">
          <cell r="F1552">
            <v>36088.250619999999</v>
          </cell>
          <cell r="G1552">
            <v>36599.156560000003</v>
          </cell>
          <cell r="H1552">
            <v>37198.539510000002</v>
          </cell>
          <cell r="I1552">
            <v>37885.033380000001</v>
          </cell>
          <cell r="J1552">
            <v>38662.866829999999</v>
          </cell>
          <cell r="K1552">
            <v>39512.052949999998</v>
          </cell>
          <cell r="L1552">
            <v>40439.276669999999</v>
          </cell>
          <cell r="M1552">
            <v>41415.990080000003</v>
          </cell>
          <cell r="N1552">
            <v>42432.98878</v>
          </cell>
          <cell r="O1552">
            <v>43485.352039999998</v>
          </cell>
          <cell r="P1552">
            <v>44539.767200000002</v>
          </cell>
          <cell r="Q1552">
            <v>45448.296970000003</v>
          </cell>
          <cell r="R1552">
            <v>46262.513270000003</v>
          </cell>
          <cell r="S1552">
            <v>47003.275560000002</v>
          </cell>
          <cell r="T1552">
            <v>47695.769260000001</v>
          </cell>
          <cell r="U1552">
            <v>48364.945650000001</v>
          </cell>
          <cell r="V1552">
            <v>49053.552029999999</v>
          </cell>
          <cell r="W1552">
            <v>49772.825109999998</v>
          </cell>
          <cell r="X1552">
            <v>50542.454510000003</v>
          </cell>
          <cell r="Y1552">
            <v>51376.677559999996</v>
          </cell>
          <cell r="Z1552">
            <v>52279.850579999998</v>
          </cell>
          <cell r="AA1552">
            <v>53277.041989999998</v>
          </cell>
          <cell r="AB1552">
            <v>54379.324159999996</v>
          </cell>
          <cell r="AC1552">
            <v>55594.444130000003</v>
          </cell>
          <cell r="AD1552">
            <v>56923.861490000003</v>
          </cell>
          <cell r="AE1552">
            <v>58343.548239999996</v>
          </cell>
          <cell r="AF1552">
            <v>59740.719680000002</v>
          </cell>
          <cell r="AG1552">
            <v>61208.130570000001</v>
          </cell>
          <cell r="AH1552">
            <v>62775.345529999999</v>
          </cell>
          <cell r="AI1552">
            <v>64436.31263</v>
          </cell>
          <cell r="AJ1552">
            <v>66172.428740000003</v>
          </cell>
          <cell r="AK1552">
            <v>67966.166870000001</v>
          </cell>
          <cell r="AL1552">
            <v>69802.540869999997</v>
          </cell>
          <cell r="AM1552">
            <v>71666.641839999997</v>
          </cell>
          <cell r="AN1552">
            <v>73543.360690000001</v>
          </cell>
          <cell r="AO1552">
            <v>75417.328899999993</v>
          </cell>
        </row>
        <row r="1555">
          <cell r="F1555">
            <v>331623.40149999998</v>
          </cell>
          <cell r="G1555">
            <v>339640.93070000003</v>
          </cell>
          <cell r="H1555">
            <v>347958.80180000002</v>
          </cell>
          <cell r="I1555">
            <v>356835.26309999998</v>
          </cell>
          <cell r="J1555">
            <v>366240.96850000002</v>
          </cell>
          <cell r="K1555">
            <v>376106.3088</v>
          </cell>
          <cell r="L1555">
            <v>386439.08159999998</v>
          </cell>
          <cell r="M1555">
            <v>397209.09269999998</v>
          </cell>
          <cell r="N1555">
            <v>408404.4559</v>
          </cell>
          <cell r="O1555">
            <v>420028.57510000002</v>
          </cell>
          <cell r="P1555">
            <v>431644.08149999997</v>
          </cell>
          <cell r="Q1555">
            <v>441724.19880000001</v>
          </cell>
          <cell r="R1555">
            <v>451067.4031</v>
          </cell>
          <cell r="S1555">
            <v>459948.23430000001</v>
          </cell>
          <cell r="T1555">
            <v>468674.2206</v>
          </cell>
          <cell r="U1555">
            <v>477503.91239999997</v>
          </cell>
          <cell r="V1555">
            <v>486676.53639999998</v>
          </cell>
          <cell r="W1555">
            <v>496412.7709</v>
          </cell>
          <cell r="X1555">
            <v>506884.20150000002</v>
          </cell>
          <cell r="Y1555">
            <v>518186.3652</v>
          </cell>
          <cell r="Z1555">
            <v>530371.61549999996</v>
          </cell>
          <cell r="AA1555">
            <v>543580.57239999995</v>
          </cell>
          <cell r="AB1555">
            <v>557924.23</v>
          </cell>
          <cell r="AC1555">
            <v>573460.61659999995</v>
          </cell>
          <cell r="AD1555">
            <v>590176.62699999998</v>
          </cell>
          <cell r="AE1555">
            <v>607937.99010000005</v>
          </cell>
          <cell r="AF1555">
            <v>626315.19590000005</v>
          </cell>
          <cell r="AG1555">
            <v>645467.70200000005</v>
          </cell>
          <cell r="AH1555">
            <v>665501.22710000002</v>
          </cell>
          <cell r="AI1555">
            <v>686304.83369999996</v>
          </cell>
          <cell r="AJ1555">
            <v>707696.62109999999</v>
          </cell>
          <cell r="AK1555">
            <v>729538.52590000001</v>
          </cell>
          <cell r="AL1555">
            <v>751729.68649999995</v>
          </cell>
          <cell r="AM1555">
            <v>774168.45550000004</v>
          </cell>
          <cell r="AN1555">
            <v>796748.37849999999</v>
          </cell>
          <cell r="AO1555">
            <v>819356.42440000002</v>
          </cell>
        </row>
        <row r="1567">
          <cell r="F1567">
            <v>48463.943890000002</v>
          </cell>
          <cell r="G1567">
            <v>49472.66603</v>
          </cell>
          <cell r="H1567">
            <v>50490.311000000002</v>
          </cell>
          <cell r="I1567">
            <v>51558.177109999997</v>
          </cell>
          <cell r="J1567">
            <v>52703.044929999996</v>
          </cell>
          <cell r="K1567">
            <v>53920.507890000001</v>
          </cell>
          <cell r="L1567">
            <v>55199.831870000002</v>
          </cell>
          <cell r="M1567">
            <v>56530.709239999996</v>
          </cell>
          <cell r="N1567">
            <v>57905.955739999998</v>
          </cell>
          <cell r="O1567">
            <v>59320.625399999997</v>
          </cell>
          <cell r="P1567">
            <v>60714.258249999999</v>
          </cell>
          <cell r="Q1567">
            <v>61877.69586</v>
          </cell>
          <cell r="R1567">
            <v>62909.335480000002</v>
          </cell>
          <cell r="S1567">
            <v>63841.893759999999</v>
          </cell>
          <cell r="T1567">
            <v>64715.317089999997</v>
          </cell>
          <cell r="U1567">
            <v>65566.153659999996</v>
          </cell>
          <cell r="V1567">
            <v>66429.422909999994</v>
          </cell>
          <cell r="W1567">
            <v>67338.838770000002</v>
          </cell>
          <cell r="X1567">
            <v>68321.762969999996</v>
          </cell>
          <cell r="Y1567">
            <v>69395.104670000001</v>
          </cell>
          <cell r="Z1567">
            <v>70567.666249999995</v>
          </cell>
          <cell r="AA1567">
            <v>71863.922330000001</v>
          </cell>
          <cell r="AB1567">
            <v>73298.944029999999</v>
          </cell>
          <cell r="AC1567">
            <v>74880.316430000006</v>
          </cell>
          <cell r="AD1567">
            <v>76605.788149999993</v>
          </cell>
          <cell r="AE1567">
            <v>78451.793260000006</v>
          </cell>
          <cell r="AF1567">
            <v>80413.368950000004</v>
          </cell>
          <cell r="AG1567">
            <v>82510.051990000007</v>
          </cell>
          <cell r="AH1567">
            <v>84746.896770000007</v>
          </cell>
          <cell r="AI1567">
            <v>87101.772870000001</v>
          </cell>
          <cell r="AJ1567">
            <v>89544.376749999996</v>
          </cell>
          <cell r="AK1567">
            <v>92050.752609999996</v>
          </cell>
          <cell r="AL1567">
            <v>94602.267540000001</v>
          </cell>
          <cell r="AM1567">
            <v>97180.64529</v>
          </cell>
          <cell r="AN1567">
            <v>99767.481629999995</v>
          </cell>
          <cell r="AO1567">
            <v>102344.1443</v>
          </cell>
        </row>
        <row r="1572">
          <cell r="F1572">
            <v>1511094.946</v>
          </cell>
          <cell r="G1572">
            <v>1536960.925</v>
          </cell>
          <cell r="H1572">
            <v>1565918.358</v>
          </cell>
          <cell r="I1572">
            <v>1597629.7309999999</v>
          </cell>
          <cell r="J1572">
            <v>1631557.84</v>
          </cell>
          <cell r="K1572">
            <v>1667345.64</v>
          </cell>
          <cell r="L1572">
            <v>1704708.882</v>
          </cell>
          <cell r="M1572">
            <v>1743388.08</v>
          </cell>
          <cell r="N1572">
            <v>1783224.047</v>
          </cell>
          <cell r="O1572">
            <v>1824118.93</v>
          </cell>
          <cell r="P1572">
            <v>1865235.4720000001</v>
          </cell>
          <cell r="Q1572">
            <v>1902527.77</v>
          </cell>
          <cell r="R1572">
            <v>1936766.058</v>
          </cell>
          <cell r="S1572">
            <v>1968466.7679999999</v>
          </cell>
          <cell r="T1572">
            <v>1998353.054</v>
          </cell>
          <cell r="U1572">
            <v>2027197.453</v>
          </cell>
          <cell r="V1572">
            <v>2055830.52</v>
          </cell>
          <cell r="W1572">
            <v>2085080.8840000001</v>
          </cell>
          <cell r="X1572">
            <v>2115671.6260000002</v>
          </cell>
          <cell r="Y1572">
            <v>2148122.7119999998</v>
          </cell>
          <cell r="Z1572">
            <v>2182629.9070000001</v>
          </cell>
          <cell r="AA1572">
            <v>2219942.1970000002</v>
          </cell>
          <cell r="AB1572">
            <v>2260430.6740000001</v>
          </cell>
          <cell r="AC1572">
            <v>2304362.5240000002</v>
          </cell>
          <cell r="AD1572">
            <v>2351804.48</v>
          </cell>
          <cell r="AE1572">
            <v>2402043.6869999999</v>
          </cell>
          <cell r="AF1572">
            <v>2454684.33</v>
          </cell>
          <cell r="AG1572">
            <v>2510260.7689999999</v>
          </cell>
          <cell r="AH1572">
            <v>2569111.5350000001</v>
          </cell>
          <cell r="AI1572">
            <v>2631044.8739999998</v>
          </cell>
          <cell r="AJ1572">
            <v>2695571</v>
          </cell>
          <cell r="AK1572">
            <v>2762187.2239999999</v>
          </cell>
          <cell r="AL1572">
            <v>2830436.7940000002</v>
          </cell>
          <cell r="AM1572">
            <v>2899856.6880000001</v>
          </cell>
          <cell r="AN1572">
            <v>2969966.952</v>
          </cell>
          <cell r="AO1572">
            <v>3040269.406</v>
          </cell>
        </row>
        <row r="1575">
          <cell r="F1575">
            <v>-2035.722798</v>
          </cell>
          <cell r="G1575">
            <v>-2053.7774789999999</v>
          </cell>
          <cell r="H1575">
            <v>-2067.394229</v>
          </cell>
          <cell r="I1575">
            <v>-2082.0104160000001</v>
          </cell>
          <cell r="J1575">
            <v>-2094.6100329999999</v>
          </cell>
          <cell r="K1575">
            <v>-2116.4612179999999</v>
          </cell>
          <cell r="L1575">
            <v>-2130.8238700000002</v>
          </cell>
          <cell r="M1575">
            <v>-2150.845718</v>
          </cell>
          <cell r="N1575">
            <v>-2174.3065919999999</v>
          </cell>
          <cell r="O1575">
            <v>-2199.082973</v>
          </cell>
          <cell r="P1575">
            <v>-2224.8455359999998</v>
          </cell>
          <cell r="Q1575">
            <v>-2268.0081369999998</v>
          </cell>
          <cell r="R1575">
            <v>-2304.8994939999998</v>
          </cell>
          <cell r="S1575">
            <v>-2334.1573549999998</v>
          </cell>
          <cell r="T1575">
            <v>-2357.4033300000001</v>
          </cell>
          <cell r="U1575">
            <v>-2376.4901260000001</v>
          </cell>
          <cell r="V1575">
            <v>-2393.2733480000002</v>
          </cell>
          <cell r="W1575">
            <v>-2407.5983630000001</v>
          </cell>
          <cell r="X1575">
            <v>-2422.2941700000001</v>
          </cell>
          <cell r="Y1575">
            <v>-2438.4689229999999</v>
          </cell>
          <cell r="Z1575">
            <v>-2456.6053830000001</v>
          </cell>
          <cell r="AA1575">
            <v>-2476.4011780000001</v>
          </cell>
          <cell r="AB1575">
            <v>-2498.3712970000001</v>
          </cell>
          <cell r="AC1575">
            <v>-2522.9898720000001</v>
          </cell>
          <cell r="AD1575">
            <v>-2550.534588</v>
          </cell>
          <cell r="AE1575">
            <v>-2581.297082</v>
          </cell>
          <cell r="AF1575">
            <v>-2635.3934899999999</v>
          </cell>
          <cell r="AG1575">
            <v>-2690.1130859999998</v>
          </cell>
          <cell r="AH1575">
            <v>-2745.6737450000001</v>
          </cell>
          <cell r="AI1575">
            <v>-2805.0012489999999</v>
          </cell>
          <cell r="AJ1575">
            <v>-2868.8229919999999</v>
          </cell>
          <cell r="AK1575">
            <v>-2936.3592589999998</v>
          </cell>
          <cell r="AL1575">
            <v>-3006.6143900000002</v>
          </cell>
          <cell r="AM1575">
            <v>-3078.8441050000001</v>
          </cell>
          <cell r="AN1575">
            <v>-3152.413219</v>
          </cell>
          <cell r="AO1575">
            <v>-3226.703704</v>
          </cell>
        </row>
        <row r="1580">
          <cell r="F1580">
            <v>40643.929499999998</v>
          </cell>
          <cell r="G1580">
            <v>41243.105239999997</v>
          </cell>
          <cell r="H1580">
            <v>41801.897830000002</v>
          </cell>
          <cell r="I1580">
            <v>42411.399740000001</v>
          </cell>
          <cell r="J1580">
            <v>42966.810960000003</v>
          </cell>
          <cell r="K1580">
            <v>43540.080329999997</v>
          </cell>
          <cell r="L1580">
            <v>43506.442649999997</v>
          </cell>
          <cell r="M1580">
            <v>43279.508300000001</v>
          </cell>
          <cell r="N1580">
            <v>42957.916810000002</v>
          </cell>
          <cell r="O1580">
            <v>42558.844779999999</v>
          </cell>
          <cell r="P1580">
            <v>42057.908940000001</v>
          </cell>
          <cell r="Q1580">
            <v>41645.185120000002</v>
          </cell>
          <cell r="R1580">
            <v>41154.87113</v>
          </cell>
          <cell r="S1580">
            <v>40528.625419999997</v>
          </cell>
          <cell r="T1580">
            <v>39769.02809</v>
          </cell>
          <cell r="U1580">
            <v>38890.063979999999</v>
          </cell>
          <cell r="V1580">
            <v>37850.253060000003</v>
          </cell>
          <cell r="W1580">
            <v>36688.776590000001</v>
          </cell>
          <cell r="X1580">
            <v>35429.824589999997</v>
          </cell>
          <cell r="Y1580">
            <v>34077.481699999997</v>
          </cell>
          <cell r="Z1580">
            <v>32618.28155</v>
          </cell>
          <cell r="AA1580">
            <v>31046.30359</v>
          </cell>
          <cell r="AB1580">
            <v>29333.339599999999</v>
          </cell>
          <cell r="AC1580">
            <v>27441.48705</v>
          </cell>
          <cell r="AD1580">
            <v>25321.22885</v>
          </cell>
          <cell r="AE1580">
            <v>22897.762589999998</v>
          </cell>
          <cell r="AF1580">
            <v>22580.820240000001</v>
          </cell>
          <cell r="AG1580">
            <v>23059.10226</v>
          </cell>
          <cell r="AH1580">
            <v>23752.842550000001</v>
          </cell>
          <cell r="AI1580">
            <v>24477.835459999998</v>
          </cell>
          <cell r="AJ1580">
            <v>25185.18417</v>
          </cell>
          <cell r="AK1580">
            <v>25867.233690000001</v>
          </cell>
          <cell r="AL1580">
            <v>26526.42121</v>
          </cell>
          <cell r="AM1580">
            <v>27165.53384</v>
          </cell>
          <cell r="AN1580">
            <v>27785.784370000001</v>
          </cell>
          <cell r="AO1580">
            <v>28386.54448</v>
          </cell>
        </row>
        <row r="1760">
          <cell r="F1760">
            <v>1.001631393</v>
          </cell>
          <cell r="G1760">
            <v>1.0206068930000001</v>
          </cell>
          <cell r="H1760">
            <v>1.0400869129999999</v>
          </cell>
          <cell r="I1760">
            <v>1.0611078780000001</v>
          </cell>
          <cell r="J1760">
            <v>1.081372328</v>
          </cell>
          <cell r="K1760">
            <v>1.1024450910000001</v>
          </cell>
          <cell r="L1760">
            <v>1.1245011680000001</v>
          </cell>
          <cell r="M1760">
            <v>1.1524145020000001</v>
          </cell>
          <cell r="N1760">
            <v>1.1835986860000001</v>
          </cell>
          <cell r="O1760">
            <v>1.219522225</v>
          </cell>
          <cell r="P1760">
            <v>1.2611618469999999</v>
          </cell>
          <cell r="Q1760">
            <v>1.2983930910000001</v>
          </cell>
          <cell r="R1760">
            <v>1.334762201</v>
          </cell>
          <cell r="S1760">
            <v>1.36972611</v>
          </cell>
          <cell r="T1760">
            <v>1.402850232</v>
          </cell>
          <cell r="U1760">
            <v>1.433794263</v>
          </cell>
          <cell r="V1760">
            <v>1.4631108420000001</v>
          </cell>
          <cell r="W1760">
            <v>1.490602899</v>
          </cell>
          <cell r="X1760">
            <v>1.51603708</v>
          </cell>
          <cell r="Y1760">
            <v>1.5392313</v>
          </cell>
          <cell r="Z1760">
            <v>1.560656228</v>
          </cell>
          <cell r="AA1760">
            <v>1.57980839</v>
          </cell>
          <cell r="AB1760">
            <v>1.5977679950000001</v>
          </cell>
          <cell r="AC1760">
            <v>1.614916555</v>
          </cell>
          <cell r="AD1760">
            <v>1.6317403930000001</v>
          </cell>
          <cell r="AE1760">
            <v>1.6489939469999999</v>
          </cell>
          <cell r="AF1760">
            <v>1.6668398980000001</v>
          </cell>
          <cell r="AG1760">
            <v>1.6866412500000001</v>
          </cell>
          <cell r="AH1760">
            <v>1.708720534</v>
          </cell>
          <cell r="AI1760">
            <v>1.733258186</v>
          </cell>
          <cell r="AJ1760">
            <v>1.760409686</v>
          </cell>
          <cell r="AK1760">
            <v>1.7902401050000001</v>
          </cell>
          <cell r="AL1760">
            <v>1.823216776</v>
          </cell>
          <cell r="AM1760">
            <v>1.8592909280000001</v>
          </cell>
          <cell r="AN1760">
            <v>1.8983333520000001</v>
          </cell>
          <cell r="AO1760">
            <v>1.940142933</v>
          </cell>
        </row>
        <row r="1789">
          <cell r="F1789">
            <v>1.001631393</v>
          </cell>
          <cell r="G1789">
            <v>1.0206068930000001</v>
          </cell>
          <cell r="H1789">
            <v>1.0400869129999999</v>
          </cell>
          <cell r="I1789">
            <v>1.0611078780000001</v>
          </cell>
          <cell r="J1789">
            <v>1.081372328</v>
          </cell>
          <cell r="K1789">
            <v>1.10244509</v>
          </cell>
          <cell r="L1789">
            <v>1.124501167</v>
          </cell>
          <cell r="M1789">
            <v>1.1475584809999999</v>
          </cell>
          <cell r="N1789">
            <v>1.171561689</v>
          </cell>
          <cell r="O1789">
            <v>1.1964528560000001</v>
          </cell>
          <cell r="P1789">
            <v>1.2219513470000001</v>
          </cell>
          <cell r="Q1789">
            <v>1.2472836780000001</v>
          </cell>
          <cell r="R1789">
            <v>1.271728111</v>
          </cell>
          <cell r="S1789">
            <v>1.2947383459999999</v>
          </cell>
          <cell r="T1789">
            <v>1.3160308469999999</v>
          </cell>
          <cell r="U1789">
            <v>1.335492195</v>
          </cell>
          <cell r="V1789">
            <v>1.3530612639999999</v>
          </cell>
          <cell r="W1789">
            <v>1.368788994</v>
          </cell>
          <cell r="X1789">
            <v>1.3829125659999999</v>
          </cell>
          <cell r="Y1789">
            <v>1.395777327</v>
          </cell>
          <cell r="Z1789">
            <v>1.4078747439999999</v>
          </cell>
          <cell r="AA1789">
            <v>1.419596506</v>
          </cell>
          <cell r="AB1789">
            <v>1.431409087</v>
          </cell>
          <cell r="AC1789">
            <v>1.4438214009999999</v>
          </cell>
          <cell r="AD1789">
            <v>1.45739839</v>
          </cell>
          <cell r="AE1789">
            <v>1.4728744469999999</v>
          </cell>
          <cell r="AF1789">
            <v>1.4904219540000001</v>
          </cell>
          <cell r="AG1789">
            <v>1.5103327879999999</v>
          </cell>
          <cell r="AH1789">
            <v>1.532888467</v>
          </cell>
          <cell r="AI1789">
            <v>1.5582123889999999</v>
          </cell>
          <cell r="AJ1789">
            <v>1.586369691</v>
          </cell>
          <cell r="AK1789">
            <v>1.6173420489999999</v>
          </cell>
          <cell r="AL1789">
            <v>1.6510394230000001</v>
          </cell>
          <cell r="AM1789">
            <v>1.687307001</v>
          </cell>
          <cell r="AN1789">
            <v>1.72592477</v>
          </cell>
          <cell r="AO1789">
            <v>1.766609908</v>
          </cell>
        </row>
      </sheetData>
      <sheetData sheetId="5"/>
      <sheetData sheetId="6">
        <row r="820">
          <cell r="B820">
            <v>347.93402889999999</v>
          </cell>
          <cell r="C820">
            <v>348.1185562</v>
          </cell>
          <cell r="D820">
            <v>348.4012262</v>
          </cell>
          <cell r="E820">
            <v>348.46053569999998</v>
          </cell>
          <cell r="F820">
            <v>350.55850340000001</v>
          </cell>
          <cell r="G820">
            <v>354.22566640000002</v>
          </cell>
          <cell r="H820">
            <v>359.2672523</v>
          </cell>
          <cell r="I820">
            <v>365.38696390000001</v>
          </cell>
          <cell r="J820">
            <v>372.27858609999998</v>
          </cell>
          <cell r="K820">
            <v>379.7610621</v>
          </cell>
          <cell r="L820">
            <v>387.56007249999999</v>
          </cell>
          <cell r="M820">
            <v>395.77780089999999</v>
          </cell>
          <cell r="N820">
            <v>403.40393130000001</v>
          </cell>
          <cell r="O820">
            <v>410.54680990000003</v>
          </cell>
          <cell r="P820">
            <v>417.35888</v>
          </cell>
          <cell r="Q820">
            <v>424.01012059999999</v>
          </cell>
          <cell r="R820">
            <v>430.71143949999998</v>
          </cell>
          <cell r="S820">
            <v>437.73040650000002</v>
          </cell>
          <cell r="T820">
            <v>445.20018800000003</v>
          </cell>
          <cell r="U820">
            <v>453.24204689999999</v>
          </cell>
          <cell r="V820">
            <v>461.93873409999998</v>
          </cell>
          <cell r="W820">
            <v>471.50871009999997</v>
          </cell>
          <cell r="X820">
            <v>482.10802960000001</v>
          </cell>
          <cell r="Y820">
            <v>493.88295010000002</v>
          </cell>
          <cell r="Z820">
            <v>506.95837699999998</v>
          </cell>
          <cell r="AA820">
            <v>521.31538620000003</v>
          </cell>
          <cell r="AB820">
            <v>533.14167620000001</v>
          </cell>
          <cell r="AC820">
            <v>544.70908989999998</v>
          </cell>
          <cell r="AD820">
            <v>557.02873390000002</v>
          </cell>
          <cell r="AE820">
            <v>570.31030410000005</v>
          </cell>
          <cell r="AF820">
            <v>584.45929379999995</v>
          </cell>
          <cell r="AG820">
            <v>599.31063029999996</v>
          </cell>
          <cell r="AH820">
            <v>614.69996800000001</v>
          </cell>
          <cell r="AI820">
            <v>630.46632069999998</v>
          </cell>
          <cell r="AJ820">
            <v>646.44886740000004</v>
          </cell>
          <cell r="AK820">
            <v>662.48383439999998</v>
          </cell>
        </row>
        <row r="825">
          <cell r="B825">
            <v>347.93405150000001</v>
          </cell>
          <cell r="C825">
            <v>348.11857830000002</v>
          </cell>
          <cell r="D825">
            <v>348.4012477</v>
          </cell>
          <cell r="E825">
            <v>348.46055669999998</v>
          </cell>
          <cell r="F825">
            <v>350.5585241</v>
          </cell>
          <cell r="G825">
            <v>354.22568710000002</v>
          </cell>
          <cell r="H825">
            <v>359.26727349999999</v>
          </cell>
          <cell r="I825">
            <v>362.08665200000002</v>
          </cell>
          <cell r="J825">
            <v>362.52394659999999</v>
          </cell>
          <cell r="K825">
            <v>362.0522474</v>
          </cell>
          <cell r="L825">
            <v>358.54333259999999</v>
          </cell>
          <cell r="M825">
            <v>358.0148858</v>
          </cell>
          <cell r="N825">
            <v>358.59566510000002</v>
          </cell>
          <cell r="O825">
            <v>359.87306260000003</v>
          </cell>
          <cell r="P825">
            <v>361.67022589999999</v>
          </cell>
          <cell r="Q825">
            <v>363.86001479999999</v>
          </cell>
          <cell r="R825">
            <v>363.68957690000002</v>
          </cell>
          <cell r="S825">
            <v>363.33984249999997</v>
          </cell>
          <cell r="T825">
            <v>362.00625489999999</v>
          </cell>
          <cell r="U825">
            <v>357.94438020000001</v>
          </cell>
          <cell r="V825">
            <v>353.51968099999999</v>
          </cell>
          <cell r="W825">
            <v>349.1585086</v>
          </cell>
          <cell r="X825">
            <v>344.97069520000002</v>
          </cell>
          <cell r="Y825">
            <v>341.12120540000001</v>
          </cell>
          <cell r="Z825">
            <v>337.8173122</v>
          </cell>
          <cell r="AA825">
            <v>335.2037843</v>
          </cell>
          <cell r="AB825">
            <v>330.95139019999999</v>
          </cell>
          <cell r="AC825">
            <v>326.91266619999999</v>
          </cell>
          <cell r="AD825">
            <v>323.78650920000001</v>
          </cell>
          <cell r="AE825">
            <v>321.6804424</v>
          </cell>
          <cell r="AF825">
            <v>320.48731479999998</v>
          </cell>
          <cell r="AG825">
            <v>320.1617286</v>
          </cell>
          <cell r="AH825">
            <v>320.55651549999999</v>
          </cell>
          <cell r="AI825">
            <v>321.53348080000001</v>
          </cell>
          <cell r="AJ825">
            <v>322.97440810000001</v>
          </cell>
          <cell r="AK825">
            <v>324.7823065</v>
          </cell>
        </row>
        <row r="826">
          <cell r="B826">
            <v>213.19625719999999</v>
          </cell>
          <cell r="C826">
            <v>214.2200924</v>
          </cell>
          <cell r="D826">
            <v>215.42242429999999</v>
          </cell>
          <cell r="E826">
            <v>216.339001</v>
          </cell>
          <cell r="F826">
            <v>218.6254557</v>
          </cell>
          <cell r="G826">
            <v>222.05713449999999</v>
          </cell>
          <cell r="H826">
            <v>226.61267910000001</v>
          </cell>
          <cell r="I826">
            <v>229.42028669999999</v>
          </cell>
          <cell r="J826">
            <v>230.4384866</v>
          </cell>
          <cell r="K826">
            <v>230.8493105</v>
          </cell>
          <cell r="L826">
            <v>228.77439759999999</v>
          </cell>
          <cell r="M826">
            <v>228.71632410000001</v>
          </cell>
          <cell r="N826">
            <v>229.31982970000001</v>
          </cell>
          <cell r="O826">
            <v>230.4337166</v>
          </cell>
          <cell r="P826">
            <v>232.0154354</v>
          </cell>
          <cell r="Q826">
            <v>234.0060431</v>
          </cell>
          <cell r="R826">
            <v>234.26993580000001</v>
          </cell>
          <cell r="S826">
            <v>234.5163335</v>
          </cell>
          <cell r="T826">
            <v>234.33503959999999</v>
          </cell>
          <cell r="U826">
            <v>232.84247619999999</v>
          </cell>
          <cell r="V826">
            <v>231.306432</v>
          </cell>
          <cell r="W826">
            <v>230.01748449999999</v>
          </cell>
          <cell r="X826">
            <v>229.0692675</v>
          </cell>
          <cell r="Y826">
            <v>228.58399170000001</v>
          </cell>
          <cell r="Z826">
            <v>228.70989019999999</v>
          </cell>
          <cell r="AA826">
            <v>229.57722899999999</v>
          </cell>
          <cell r="AB826">
            <v>228.7417504</v>
          </cell>
          <cell r="AC826">
            <v>228.00904629999999</v>
          </cell>
          <cell r="AD826">
            <v>228.04966719999999</v>
          </cell>
          <cell r="AE826">
            <v>228.93671359999999</v>
          </cell>
          <cell r="AF826">
            <v>230.53479960000001</v>
          </cell>
          <cell r="AG826">
            <v>232.75287560000001</v>
          </cell>
          <cell r="AH826">
            <v>235.44055520000001</v>
          </cell>
          <cell r="AI826">
            <v>238.45650749999999</v>
          </cell>
          <cell r="AJ826">
            <v>241.68160040000001</v>
          </cell>
          <cell r="AK826">
            <v>245.02226099999999</v>
          </cell>
        </row>
        <row r="827">
          <cell r="B827">
            <v>2.75269904E-2</v>
          </cell>
          <cell r="C827">
            <v>2.7983157000000002E-2</v>
          </cell>
          <cell r="D827">
            <v>2.8522094599999999E-2</v>
          </cell>
          <cell r="E827">
            <v>2.9138687E-2</v>
          </cell>
          <cell r="F827">
            <v>2.9822178899999999E-2</v>
          </cell>
          <cell r="G827">
            <v>3.05646418E-2</v>
          </cell>
          <cell r="H827">
            <v>3.1352993599999997E-2</v>
          </cell>
          <cell r="I827">
            <v>3.2039007199999997E-2</v>
          </cell>
          <cell r="J827">
            <v>3.2740006799999999E-2</v>
          </cell>
          <cell r="K827">
            <v>3.3611558600000001E-2</v>
          </cell>
          <cell r="L827">
            <v>3.4496304499999998E-2</v>
          </cell>
          <cell r="M827">
            <v>3.5263065900000001E-2</v>
          </cell>
          <cell r="N827">
            <v>3.5933543399999997E-2</v>
          </cell>
          <cell r="O827">
            <v>3.6531643799999999E-2</v>
          </cell>
          <cell r="P827">
            <v>3.7086717200000001E-2</v>
          </cell>
          <cell r="Q827">
            <v>3.7617436999999997E-2</v>
          </cell>
          <cell r="R827">
            <v>3.8137239599999997E-2</v>
          </cell>
          <cell r="S827">
            <v>3.8658980099999997E-2</v>
          </cell>
          <cell r="T827">
            <v>3.9201231400000001E-2</v>
          </cell>
          <cell r="U827">
            <v>3.9779760400000003E-2</v>
          </cell>
          <cell r="V827">
            <v>4.0402506800000001E-2</v>
          </cell>
          <cell r="W827">
            <v>4.1089289899999999E-2</v>
          </cell>
          <cell r="X827">
            <v>4.1854125899999997E-2</v>
          </cell>
          <cell r="Y827">
            <v>4.2705949999999999E-2</v>
          </cell>
          <cell r="Z827">
            <v>4.36480385E-2</v>
          </cell>
          <cell r="AA827">
            <v>4.4665767199999998E-2</v>
          </cell>
          <cell r="AB827">
            <v>4.5759964799999997E-2</v>
          </cell>
          <cell r="AC827">
            <v>4.6947088900000003E-2</v>
          </cell>
          <cell r="AD827">
            <v>4.8231732100000001E-2</v>
          </cell>
          <cell r="AE827">
            <v>4.9607021799999998E-2</v>
          </cell>
          <cell r="AF827">
            <v>5.1059210000000001E-2</v>
          </cell>
          <cell r="AG827">
            <v>5.2574439000000001E-2</v>
          </cell>
          <cell r="AH827">
            <v>5.4140661299999997E-2</v>
          </cell>
          <cell r="AI827">
            <v>5.5744922199999998E-2</v>
          </cell>
          <cell r="AJ827">
            <v>5.7373615000000003E-2</v>
          </cell>
          <cell r="AK827">
            <v>5.9012395099999997E-2</v>
          </cell>
        </row>
        <row r="828">
          <cell r="B828">
            <v>15.21977425</v>
          </cell>
          <cell r="C828">
            <v>15.46440881</v>
          </cell>
          <cell r="D828">
            <v>15.74281218</v>
          </cell>
          <cell r="E828">
            <v>16.042842539999999</v>
          </cell>
          <cell r="F828">
            <v>16.36672428</v>
          </cell>
          <cell r="G828">
            <v>16.714672969999999</v>
          </cell>
          <cell r="H828">
            <v>17.08826011</v>
          </cell>
          <cell r="I828">
            <v>17.42051644</v>
          </cell>
          <cell r="J828">
            <v>17.743990700000001</v>
          </cell>
          <cell r="K828">
            <v>18.108494740000001</v>
          </cell>
          <cell r="L828">
            <v>18.463115089999999</v>
          </cell>
          <cell r="M828">
            <v>18.786671850000001</v>
          </cell>
          <cell r="N828">
            <v>19.089582759999999</v>
          </cell>
          <cell r="O828">
            <v>19.383638860000001</v>
          </cell>
          <cell r="P828">
            <v>19.680545219999999</v>
          </cell>
          <cell r="Q828">
            <v>19.98725907</v>
          </cell>
          <cell r="R828">
            <v>20.30830787</v>
          </cell>
          <cell r="S828">
            <v>20.64393759</v>
          </cell>
          <cell r="T828">
            <v>20.9989423</v>
          </cell>
          <cell r="U828">
            <v>21.378283589999999</v>
          </cell>
          <cell r="V828">
            <v>21.784526920000001</v>
          </cell>
          <cell r="W828">
            <v>22.226741140000001</v>
          </cell>
          <cell r="X828">
            <v>22.71118568</v>
          </cell>
          <cell r="Y828">
            <v>23.241188619999999</v>
          </cell>
          <cell r="Z828">
            <v>23.817903189999999</v>
          </cell>
          <cell r="AA828">
            <v>24.43823094</v>
          </cell>
          <cell r="AB828">
            <v>25.07936432</v>
          </cell>
          <cell r="AC828">
            <v>25.746206910000001</v>
          </cell>
          <cell r="AD828">
            <v>26.443029549999999</v>
          </cell>
          <cell r="AE828">
            <v>27.168865610000001</v>
          </cell>
          <cell r="AF828">
            <v>27.919033639999999</v>
          </cell>
          <cell r="AG828">
            <v>28.690558960000001</v>
          </cell>
          <cell r="AH828">
            <v>29.479527059999999</v>
          </cell>
          <cell r="AI828">
            <v>30.280880410000002</v>
          </cell>
          <cell r="AJ828">
            <v>31.089246859999999</v>
          </cell>
          <cell r="AK828">
            <v>31.899215810000001</v>
          </cell>
        </row>
        <row r="829">
          <cell r="B829">
            <v>119.49049309999999</v>
          </cell>
          <cell r="C829">
            <v>118.4060939</v>
          </cell>
          <cell r="D829">
            <v>117.2074891</v>
          </cell>
          <cell r="E829">
            <v>116.0495744</v>
          </cell>
          <cell r="F829">
            <v>115.53652200000001</v>
          </cell>
          <cell r="G829">
            <v>115.423315</v>
          </cell>
          <cell r="H829">
            <v>115.5349813</v>
          </cell>
          <cell r="I829">
            <v>115.21380980000001</v>
          </cell>
          <cell r="J829">
            <v>114.3087293</v>
          </cell>
          <cell r="K829">
            <v>113.0608306</v>
          </cell>
          <cell r="L829">
            <v>111.2713236</v>
          </cell>
          <cell r="M829">
            <v>110.47662680000001</v>
          </cell>
          <cell r="N829">
            <v>110.1503191</v>
          </cell>
          <cell r="O829">
            <v>110.0191755</v>
          </cell>
          <cell r="P829">
            <v>109.9371585</v>
          </cell>
          <cell r="Q829">
            <v>109.8290952</v>
          </cell>
          <cell r="R829">
            <v>109.073196</v>
          </cell>
          <cell r="S829">
            <v>108.1409124</v>
          </cell>
          <cell r="T829">
            <v>106.6330718</v>
          </cell>
          <cell r="U829">
            <v>103.6838406</v>
          </cell>
          <cell r="V829">
            <v>100.3883196</v>
          </cell>
          <cell r="W829">
            <v>96.873193659999998</v>
          </cell>
          <cell r="X829">
            <v>93.148387929999998</v>
          </cell>
          <cell r="Y829">
            <v>89.253319180000005</v>
          </cell>
          <cell r="Z829">
            <v>85.245870769999996</v>
          </cell>
          <cell r="AA829">
            <v>81.143658610000003</v>
          </cell>
          <cell r="AB829">
            <v>77.084515589999995</v>
          </cell>
          <cell r="AC829">
            <v>73.11046589</v>
          </cell>
          <cell r="AD829">
            <v>69.24558073</v>
          </cell>
          <cell r="AE829">
            <v>65.525256150000004</v>
          </cell>
          <cell r="AF829">
            <v>61.98242235</v>
          </cell>
          <cell r="AG829">
            <v>58.66571965</v>
          </cell>
          <cell r="AH829">
            <v>55.582292619999997</v>
          </cell>
          <cell r="AI829">
            <v>52.740347939999999</v>
          </cell>
          <cell r="AJ829">
            <v>50.146187249999997</v>
          </cell>
          <cell r="AK829">
            <v>47.801817300000003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31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A62" sqref="A62:A63"/>
    </sheetView>
  </sheetViews>
  <sheetFormatPr baseColWidth="10" defaultRowHeight="14.5" x14ac:dyDescent="0.35"/>
  <cols>
    <col min="1" max="1" width="26.90625" customWidth="1"/>
    <col min="2" max="2" width="43.08984375" customWidth="1"/>
    <col min="3" max="26" width="11.1796875" bestFit="1" customWidth="1"/>
    <col min="27" max="36" width="11.81640625" bestFit="1" customWidth="1"/>
    <col min="37" max="38" width="12.81640625" bestFit="1" customWidth="1"/>
  </cols>
  <sheetData>
    <row r="1" spans="1:38" x14ac:dyDescent="0.35">
      <c r="A1" t="s">
        <v>5</v>
      </c>
      <c r="B1" t="s">
        <v>6</v>
      </c>
    </row>
    <row r="3" spans="1:38" x14ac:dyDescent="0.35">
      <c r="B3" t="s">
        <v>0</v>
      </c>
      <c r="C3" s="2">
        <v>42005</v>
      </c>
      <c r="D3" s="2">
        <v>42370</v>
      </c>
      <c r="E3" s="2">
        <v>42736</v>
      </c>
      <c r="F3" s="2">
        <v>43101</v>
      </c>
      <c r="G3" s="2">
        <v>43466</v>
      </c>
      <c r="H3" s="2">
        <v>43831</v>
      </c>
      <c r="I3" s="2">
        <v>44197</v>
      </c>
      <c r="J3" s="2">
        <v>44562</v>
      </c>
      <c r="K3" s="2">
        <v>44927</v>
      </c>
      <c r="L3" s="2">
        <v>45292</v>
      </c>
      <c r="M3" s="2">
        <v>45658</v>
      </c>
      <c r="N3" s="2">
        <v>46023</v>
      </c>
      <c r="O3" s="2">
        <v>46388</v>
      </c>
      <c r="P3" s="2">
        <v>46753</v>
      </c>
      <c r="Q3" s="2">
        <v>47119</v>
      </c>
      <c r="R3" s="2">
        <v>47484</v>
      </c>
      <c r="S3" s="2">
        <v>47849</v>
      </c>
      <c r="T3" s="2">
        <v>48214</v>
      </c>
      <c r="U3" s="2">
        <v>48580</v>
      </c>
      <c r="V3" s="2">
        <v>48945</v>
      </c>
      <c r="W3" s="2">
        <v>49310</v>
      </c>
      <c r="X3" s="2">
        <v>49675</v>
      </c>
      <c r="Y3" s="2">
        <v>50041</v>
      </c>
      <c r="Z3" s="2">
        <v>50406</v>
      </c>
      <c r="AA3" s="2">
        <v>50771</v>
      </c>
      <c r="AB3" s="2">
        <v>51136</v>
      </c>
      <c r="AC3" s="2">
        <v>51502</v>
      </c>
      <c r="AD3" s="2">
        <v>51867</v>
      </c>
      <c r="AE3" s="2">
        <v>52232</v>
      </c>
      <c r="AF3" s="2">
        <v>52597</v>
      </c>
      <c r="AG3" s="2">
        <v>52963</v>
      </c>
      <c r="AH3" s="2">
        <v>53328</v>
      </c>
      <c r="AI3" s="2">
        <v>53693</v>
      </c>
      <c r="AJ3" s="2">
        <v>54058</v>
      </c>
      <c r="AK3" s="2">
        <v>54424</v>
      </c>
      <c r="AL3" s="2">
        <v>54789</v>
      </c>
    </row>
    <row r="4" spans="1:38" x14ac:dyDescent="0.35">
      <c r="A4" s="3" t="str">
        <f>[1]Results!E1365</f>
        <v>100*(GDP_2/GDP_0-1)</v>
      </c>
      <c r="B4" t="s">
        <v>20</v>
      </c>
      <c r="C4" s="1">
        <f>[1]Results!F1365</f>
        <v>0</v>
      </c>
      <c r="D4" s="1">
        <f>[1]Results!G1365</f>
        <v>0</v>
      </c>
      <c r="E4" s="1">
        <f>[1]Results!H1365</f>
        <v>0</v>
      </c>
      <c r="F4" s="1">
        <f>[1]Results!I1365</f>
        <v>0</v>
      </c>
      <c r="G4" s="1">
        <f>[1]Results!J1365</f>
        <v>0</v>
      </c>
      <c r="H4" s="1">
        <f>[1]Results!K1365</f>
        <v>0</v>
      </c>
      <c r="I4" s="1">
        <f>[1]Results!L1365</f>
        <v>0</v>
      </c>
      <c r="J4" s="1">
        <f>[1]Results!M1365</f>
        <v>-0.2950639427813484</v>
      </c>
      <c r="K4" s="1">
        <f>[1]Results!N1365</f>
        <v>-0.57952535091619906</v>
      </c>
      <c r="L4" s="1">
        <f>[1]Results!O1365</f>
        <v>-0.4799761837117833</v>
      </c>
      <c r="M4" s="1">
        <f>[1]Results!P1365</f>
        <v>-0.33578532611262535</v>
      </c>
      <c r="N4" s="1">
        <f>[1]Results!Q1365</f>
        <v>-0.18593624585869772</v>
      </c>
      <c r="O4" s="1">
        <f>[1]Results!R1365</f>
        <v>-5.1263474599583247E-2</v>
      </c>
      <c r="P4" s="1">
        <f>[1]Results!S1365</f>
        <v>7.1919239536022417E-2</v>
      </c>
      <c r="Q4" s="1">
        <f>[1]Results!T1365</f>
        <v>0.19829645049547207</v>
      </c>
      <c r="R4" s="1">
        <f>[1]Results!U1365</f>
        <v>0.32312373761234081</v>
      </c>
      <c r="S4" s="1">
        <f>[1]Results!V1365</f>
        <v>0.40994855902936056</v>
      </c>
      <c r="T4" s="1">
        <f>[1]Results!W1365</f>
        <v>0.46901187098644659</v>
      </c>
      <c r="U4" s="1">
        <f>[1]Results!X1365</f>
        <v>0.5063245811513184</v>
      </c>
      <c r="V4" s="1">
        <f>[1]Results!Y1365</f>
        <v>0.53111749867933433</v>
      </c>
      <c r="W4" s="1">
        <f>[1]Results!Z1365</f>
        <v>0.54341486628575186</v>
      </c>
      <c r="X4" s="1">
        <f>[1]Results!AA1365</f>
        <v>0.54769814573865094</v>
      </c>
      <c r="Y4" s="1">
        <f>[1]Results!AB1365</f>
        <v>0.54701647551562704</v>
      </c>
      <c r="Z4" s="1">
        <f>[1]Results!AC1365</f>
        <v>0.54486233433437281</v>
      </c>
      <c r="AA4" s="1">
        <f>[1]Results!AD1365</f>
        <v>0.54590757021104608</v>
      </c>
      <c r="AB4" s="1">
        <f>[1]Results!AE1365</f>
        <v>0.55370397704730401</v>
      </c>
      <c r="AC4" s="1">
        <f>[1]Results!AF1365</f>
        <v>0.56879770350990455</v>
      </c>
      <c r="AD4" s="1">
        <f>[1]Results!AG1365</f>
        <v>0.58804355008394982</v>
      </c>
      <c r="AE4" s="1">
        <f>[1]Results!AH1365</f>
        <v>0.61200153913956168</v>
      </c>
      <c r="AF4" s="1">
        <f>[1]Results!AI1365</f>
        <v>0.64350864189535173</v>
      </c>
      <c r="AG4" s="1">
        <f>[1]Results!AJ1365</f>
        <v>0.68486787732899845</v>
      </c>
      <c r="AH4" s="1">
        <f>[1]Results!AK1365</f>
        <v>0.73605960257434599</v>
      </c>
      <c r="AI4" s="1">
        <f>[1]Results!AL1365</f>
        <v>0.79582843643033474</v>
      </c>
      <c r="AJ4" s="1">
        <f>[1]Results!AM1365</f>
        <v>0.86285855123886535</v>
      </c>
      <c r="AK4" s="1">
        <f>[1]Results!AN1365</f>
        <v>0.93634535639492977</v>
      </c>
      <c r="AL4" s="1">
        <f>[1]Results!AO1365</f>
        <v>1.0153549224254377</v>
      </c>
    </row>
    <row r="5" spans="1:38" x14ac:dyDescent="0.35">
      <c r="A5" s="3" t="str">
        <f>[1]Results!E1366</f>
        <v>100*((VA_2-VA_spub_2)/(VA_0-VA_spub_0)-1)</v>
      </c>
      <c r="B5" t="str">
        <f>[1]Results!C1366</f>
        <v>VA du secteur marchand</v>
      </c>
      <c r="C5" s="1">
        <f>[1]Results!F1366</f>
        <v>0</v>
      </c>
      <c r="D5" s="1">
        <f>[1]Results!G1366</f>
        <v>0</v>
      </c>
      <c r="E5" s="1">
        <f>[1]Results!H1366</f>
        <v>0</v>
      </c>
      <c r="F5" s="1">
        <f>[1]Results!I1366</f>
        <v>-5.9728444412598947E-9</v>
      </c>
      <c r="G5" s="1">
        <f>[1]Results!J1366</f>
        <v>0</v>
      </c>
      <c r="H5" s="1">
        <f>[1]Results!K1366</f>
        <v>5.6932036862633595E-8</v>
      </c>
      <c r="I5" s="1">
        <f>[1]Results!L1366</f>
        <v>0</v>
      </c>
      <c r="J5" s="1">
        <f>[1]Results!M1366</f>
        <v>-0.35468403305292107</v>
      </c>
      <c r="K5" s="1">
        <f>[1]Results!N1366</f>
        <v>-0.67698624977078348</v>
      </c>
      <c r="L5" s="1">
        <f>[1]Results!O1366</f>
        <v>-0.51547106765853501</v>
      </c>
      <c r="M5" s="1">
        <f>[1]Results!P1366</f>
        <v>-0.31591579647721746</v>
      </c>
      <c r="N5" s="1">
        <f>[1]Results!Q1366</f>
        <v>-0.13729002490328046</v>
      </c>
      <c r="O5" s="1">
        <f>[1]Results!R1366</f>
        <v>2.3206290640676031E-3</v>
      </c>
      <c r="P5" s="1">
        <f>[1]Results!S1366</f>
        <v>0.11786914994877939</v>
      </c>
      <c r="Q5" s="1">
        <f>[1]Results!T1366</f>
        <v>0.23403286836261028</v>
      </c>
      <c r="R5" s="1">
        <f>[1]Results!U1366</f>
        <v>0.34772771375353173</v>
      </c>
      <c r="S5" s="1">
        <f>[1]Results!V1366</f>
        <v>0.41913638180779422</v>
      </c>
      <c r="T5" s="1">
        <f>[1]Results!W1366</f>
        <v>0.46227126180768963</v>
      </c>
      <c r="U5" s="1">
        <f>[1]Results!X1366</f>
        <v>0.48221819210525485</v>
      </c>
      <c r="V5" s="1">
        <f>[1]Results!Y1366</f>
        <v>0.48600764416895093</v>
      </c>
      <c r="W5" s="1">
        <f>[1]Results!Z1366</f>
        <v>0.47700399607899513</v>
      </c>
      <c r="X5" s="1">
        <f>[1]Results!AA1366</f>
        <v>0.46088356131981367</v>
      </c>
      <c r="Y5" s="1">
        <f>[1]Results!AB1366</f>
        <v>0.4422190223152267</v>
      </c>
      <c r="Z5" s="1">
        <f>[1]Results!AC1366</f>
        <v>0.4249213509748051</v>
      </c>
      <c r="AA5" s="1">
        <f>[1]Results!AD1366</f>
        <v>0.41399190364366234</v>
      </c>
      <c r="AB5" s="1">
        <f>[1]Results!AE1366</f>
        <v>0.41322671284811374</v>
      </c>
      <c r="AC5" s="1">
        <f>[1]Results!AF1366</f>
        <v>0.42449638402468626</v>
      </c>
      <c r="AD5" s="1">
        <f>[1]Results!AG1366</f>
        <v>0.44457316841872707</v>
      </c>
      <c r="AE5" s="1">
        <f>[1]Results!AH1366</f>
        <v>0.47299037982651004</v>
      </c>
      <c r="AF5" s="1">
        <f>[1]Results!AI1366</f>
        <v>0.51183356576438577</v>
      </c>
      <c r="AG5" s="1">
        <f>[1]Results!AJ1366</f>
        <v>0.56285325601832525</v>
      </c>
      <c r="AH5" s="1">
        <f>[1]Results!AK1366</f>
        <v>0.62570919491480304</v>
      </c>
      <c r="AI5" s="1">
        <f>[1]Results!AL1366</f>
        <v>0.69908262624480688</v>
      </c>
      <c r="AJ5" s="1">
        <f>[1]Results!AM1366</f>
        <v>0.78077528358753145</v>
      </c>
      <c r="AK5" s="1">
        <f>[1]Results!AN1366</f>
        <v>0.86907597588550267</v>
      </c>
      <c r="AL5" s="1">
        <f>[1]Results!AO1366</f>
        <v>0.96229651882437928</v>
      </c>
    </row>
    <row r="6" spans="1:38" x14ac:dyDescent="0.35">
      <c r="A6" s="3" t="str">
        <f>[1]Results!E1367</f>
        <v>100*((CH_2-CH_0)/GDP_0)</v>
      </c>
      <c r="B6" t="s">
        <v>21</v>
      </c>
      <c r="C6" s="1">
        <f>[1]Results!F1367</f>
        <v>0</v>
      </c>
      <c r="D6" s="1">
        <f>[1]Results!G1367</f>
        <v>0</v>
      </c>
      <c r="E6" s="1">
        <f>[1]Results!H1367</f>
        <v>0</v>
      </c>
      <c r="F6" s="1">
        <f>[1]Results!I1367</f>
        <v>0</v>
      </c>
      <c r="G6" s="1">
        <f>[1]Results!J1367</f>
        <v>0</v>
      </c>
      <c r="H6" s="1">
        <f>[1]Results!K1367</f>
        <v>0</v>
      </c>
      <c r="I6" s="1">
        <f>[1]Results!L1367</f>
        <v>0</v>
      </c>
      <c r="J6" s="1">
        <f>[1]Results!M1367</f>
        <v>-0.10646477512130359</v>
      </c>
      <c r="K6" s="1">
        <f>[1]Results!N1367</f>
        <v>-0.26420359888904299</v>
      </c>
      <c r="L6" s="1">
        <f>[1]Results!O1367</f>
        <v>-0.35862972466403847</v>
      </c>
      <c r="M6" s="1">
        <f>[1]Results!P1367</f>
        <v>-0.35167216583227423</v>
      </c>
      <c r="N6" s="1">
        <f>[1]Results!Q1367</f>
        <v>-0.22206289292544704</v>
      </c>
      <c r="O6" s="1">
        <f>[1]Results!R1367</f>
        <v>-4.9217823361294849E-3</v>
      </c>
      <c r="P6" s="1">
        <f>[1]Results!S1367</f>
        <v>0.25108040574590951</v>
      </c>
      <c r="Q6" s="1">
        <f>[1]Results!T1367</f>
        <v>0.51571027731991703</v>
      </c>
      <c r="R6" s="1">
        <f>[1]Results!U1367</f>
        <v>0.77362137842315759</v>
      </c>
      <c r="S6" s="1">
        <f>[1]Results!V1367</f>
        <v>1.0029897646161066</v>
      </c>
      <c r="T6" s="1">
        <f>[1]Results!W1367</f>
        <v>1.1939368727352895</v>
      </c>
      <c r="U6" s="1">
        <f>[1]Results!X1367</f>
        <v>1.3511016196386434</v>
      </c>
      <c r="V6" s="1">
        <f>[1]Results!Y1367</f>
        <v>1.4810375149952151</v>
      </c>
      <c r="W6" s="1">
        <f>[1]Results!Z1367</f>
        <v>1.5844752219296603</v>
      </c>
      <c r="X6" s="1">
        <f>[1]Results!AA1367</f>
        <v>1.6620644138308118</v>
      </c>
      <c r="Y6" s="1">
        <f>[1]Results!AB1367</f>
        <v>1.7108802864242638</v>
      </c>
      <c r="Z6" s="1">
        <f>[1]Results!AC1367</f>
        <v>1.733997589222912</v>
      </c>
      <c r="AA6" s="1">
        <f>[1]Results!AD1367</f>
        <v>1.7366060411498911</v>
      </c>
      <c r="AB6" s="1">
        <f>[1]Results!AE1367</f>
        <v>1.7228674309949017</v>
      </c>
      <c r="AC6" s="1">
        <f>[1]Results!AF1367</f>
        <v>1.6847928852858831</v>
      </c>
      <c r="AD6" s="1">
        <f>[1]Results!AG1367</f>
        <v>1.6187338394023147</v>
      </c>
      <c r="AE6" s="1">
        <f>[1]Results!AH1367</f>
        <v>1.5320367321269031</v>
      </c>
      <c r="AF6" s="1">
        <f>[1]Results!AI1367</f>
        <v>1.4343257734273864</v>
      </c>
      <c r="AG6" s="1">
        <f>[1]Results!AJ1367</f>
        <v>1.3332726719427626</v>
      </c>
      <c r="AH6" s="1">
        <f>[1]Results!AK1367</f>
        <v>1.2309830956299541</v>
      </c>
      <c r="AI6" s="1">
        <f>[1]Results!AL1367</f>
        <v>1.1270500719094694</v>
      </c>
      <c r="AJ6" s="1">
        <f>[1]Results!AM1367</f>
        <v>1.0256058539359436</v>
      </c>
      <c r="AK6" s="1">
        <f>[1]Results!AN1367</f>
        <v>0.93177678781873829</v>
      </c>
      <c r="AL6" s="1">
        <f>[1]Results!AO1367</f>
        <v>0.84967217671353656</v>
      </c>
    </row>
    <row r="7" spans="1:38" x14ac:dyDescent="0.35">
      <c r="A7" s="3" t="str">
        <f>[1]Results!E1368</f>
        <v>100*((CH_cveh_2-CH_cveh_0)/GDP_0)</v>
      </c>
      <c r="B7" t="str">
        <f>[1]Results!C1368</f>
        <v>Consommation des ménages automobile</v>
      </c>
      <c r="C7" s="1">
        <f>[1]Results!F1368</f>
        <v>0</v>
      </c>
      <c r="D7" s="1">
        <f>[1]Results!G1368</f>
        <v>0</v>
      </c>
      <c r="E7" s="1">
        <f>[1]Results!H1368</f>
        <v>8.7712236407419439E-10</v>
      </c>
      <c r="F7" s="1">
        <f>[1]Results!I1368</f>
        <v>1.2886329898472195E-9</v>
      </c>
      <c r="G7" s="1">
        <f>[1]Results!J1368</f>
        <v>1.6811644537429759E-9</v>
      </c>
      <c r="H7" s="1">
        <f>[1]Results!K1368</f>
        <v>2.0547010144112079E-9</v>
      </c>
      <c r="I7" s="1">
        <f>[1]Results!L1368</f>
        <v>2.0083831476625979E-9</v>
      </c>
      <c r="J7" s="1">
        <f>[1]Results!M1368</f>
        <v>-3.6494366476916888E-2</v>
      </c>
      <c r="K7" s="1">
        <f>[1]Results!N1368</f>
        <v>-8.9054843701575556E-2</v>
      </c>
      <c r="L7" s="1">
        <f>[1]Results!O1368</f>
        <v>-0.14001362729636901</v>
      </c>
      <c r="M7" s="1">
        <f>[1]Results!P1368</f>
        <v>-0.1927409676677071</v>
      </c>
      <c r="N7" s="1">
        <f>[1]Results!Q1368</f>
        <v>-0.16855728755655625</v>
      </c>
      <c r="O7" s="1">
        <f>[1]Results!R1368</f>
        <v>-0.12011334961333432</v>
      </c>
      <c r="P7" s="1">
        <f>[1]Results!S1368</f>
        <v>-7.5890314442191437E-2</v>
      </c>
      <c r="Q7" s="1">
        <f>[1]Results!T1368</f>
        <v>-4.390246832281916E-2</v>
      </c>
      <c r="R7" s="1">
        <f>[1]Results!U1368</f>
        <v>-2.3976421581472226E-2</v>
      </c>
      <c r="S7" s="1">
        <f>[1]Results!V1368</f>
        <v>-2.1564471237931836E-2</v>
      </c>
      <c r="T7" s="1">
        <f>[1]Results!W1368</f>
        <v>-2.9555630298598253E-2</v>
      </c>
      <c r="U7" s="1">
        <f>[1]Results!X1368</f>
        <v>-4.0726247665910612E-2</v>
      </c>
      <c r="V7" s="1">
        <f>[1]Results!Y1368</f>
        <v>-4.8619243124127944E-2</v>
      </c>
      <c r="W7" s="1">
        <f>[1]Results!Z1368</f>
        <v>-5.6263075756857496E-2</v>
      </c>
      <c r="X7" s="1">
        <f>[1]Results!AA1368</f>
        <v>-5.6789670426764229E-2</v>
      </c>
      <c r="Y7" s="1">
        <f>[1]Results!AB1368</f>
        <v>-5.6660074637292487E-2</v>
      </c>
      <c r="Z7" s="1">
        <f>[1]Results!AC1368</f>
        <v>-5.7483604263982011E-2</v>
      </c>
      <c r="AA7" s="1">
        <f>[1]Results!AD1368</f>
        <v>-5.9061328200560717E-2</v>
      </c>
      <c r="AB7" s="1">
        <f>[1]Results!AE1368</f>
        <v>-6.1208885135300047E-2</v>
      </c>
      <c r="AC7" s="1">
        <f>[1]Results!AF1368</f>
        <v>-6.104602443042581E-2</v>
      </c>
      <c r="AD7" s="1">
        <f>[1]Results!AG1368</f>
        <v>-6.2349278885372755E-2</v>
      </c>
      <c r="AE7" s="1">
        <f>[1]Results!AH1368</f>
        <v>-6.5201140223979256E-2</v>
      </c>
      <c r="AF7" s="1">
        <f>[1]Results!AI1368</f>
        <v>-6.8723581012950771E-2</v>
      </c>
      <c r="AG7" s="1">
        <f>[1]Results!AJ1368</f>
        <v>-7.2434216328109813E-2</v>
      </c>
      <c r="AH7" s="1">
        <f>[1]Results!AK1368</f>
        <v>-7.5103371589932633E-2</v>
      </c>
      <c r="AI7" s="1">
        <f>[1]Results!AL1368</f>
        <v>-7.8738906946689446E-2</v>
      </c>
      <c r="AJ7" s="1">
        <f>[1]Results!AM1368</f>
        <v>-8.3530500775060246E-2</v>
      </c>
      <c r="AK7" s="1">
        <f>[1]Results!AN1368</f>
        <v>-8.9041742045036038E-2</v>
      </c>
      <c r="AL7" s="1">
        <f>[1]Results!AO1368</f>
        <v>-9.492405154162907E-2</v>
      </c>
    </row>
    <row r="8" spans="1:38" x14ac:dyDescent="0.35">
      <c r="A8" s="3" t="str">
        <f>[1]Results!E1369</f>
        <v>100*((G_2-G_0)/GDP_0)</v>
      </c>
      <c r="B8" t="str">
        <f>[1]Results!C1369</f>
        <v>Dépenses publiques</v>
      </c>
      <c r="C8" s="1">
        <f>[1]Results!F1369</f>
        <v>0</v>
      </c>
      <c r="D8" s="1">
        <f>[1]Results!G1369</f>
        <v>0</v>
      </c>
      <c r="E8" s="1">
        <f>[1]Results!H1369</f>
        <v>0</v>
      </c>
      <c r="F8" s="1">
        <f>[1]Results!I1369</f>
        <v>0</v>
      </c>
      <c r="G8" s="1">
        <f>[1]Results!J1369</f>
        <v>0</v>
      </c>
      <c r="H8" s="1">
        <f>[1]Results!K1369</f>
        <v>0</v>
      </c>
      <c r="I8" s="1">
        <f>[1]Results!L1369</f>
        <v>0</v>
      </c>
      <c r="J8" s="1">
        <f>[1]Results!M1369</f>
        <v>0</v>
      </c>
      <c r="K8" s="1">
        <f>[1]Results!N1369</f>
        <v>0</v>
      </c>
      <c r="L8" s="1">
        <f>[1]Results!O1369</f>
        <v>0</v>
      </c>
      <c r="M8" s="1">
        <f>[1]Results!P1369</f>
        <v>0</v>
      </c>
      <c r="N8" s="1">
        <f>[1]Results!Q1369</f>
        <v>0</v>
      </c>
      <c r="O8" s="1">
        <f>[1]Results!R1369</f>
        <v>0</v>
      </c>
      <c r="P8" s="1">
        <f>[1]Results!S1369</f>
        <v>0</v>
      </c>
      <c r="Q8" s="1">
        <f>[1]Results!T1369</f>
        <v>0</v>
      </c>
      <c r="R8" s="1">
        <f>[1]Results!U1369</f>
        <v>0</v>
      </c>
      <c r="S8" s="1">
        <f>[1]Results!V1369</f>
        <v>0</v>
      </c>
      <c r="T8" s="1">
        <f>[1]Results!W1369</f>
        <v>0</v>
      </c>
      <c r="U8" s="1">
        <f>[1]Results!X1369</f>
        <v>0</v>
      </c>
      <c r="V8" s="1">
        <f>[1]Results!Y1369</f>
        <v>0</v>
      </c>
      <c r="W8" s="1">
        <f>[1]Results!Z1369</f>
        <v>0</v>
      </c>
      <c r="X8" s="1">
        <f>[1]Results!AA1369</f>
        <v>0</v>
      </c>
      <c r="Y8" s="1">
        <f>[1]Results!AB1369</f>
        <v>0</v>
      </c>
      <c r="Z8" s="1">
        <f>[1]Results!AC1369</f>
        <v>0</v>
      </c>
      <c r="AA8" s="1">
        <f>[1]Results!AD1369</f>
        <v>0</v>
      </c>
      <c r="AB8" s="1">
        <f>[1]Results!AE1369</f>
        <v>0</v>
      </c>
      <c r="AC8" s="1">
        <f>[1]Results!AF1369</f>
        <v>0</v>
      </c>
      <c r="AD8" s="1">
        <f>[1]Results!AG1369</f>
        <v>0</v>
      </c>
      <c r="AE8" s="1">
        <f>[1]Results!AH1369</f>
        <v>0</v>
      </c>
      <c r="AF8" s="1">
        <f>[1]Results!AI1369</f>
        <v>0</v>
      </c>
      <c r="AG8" s="1">
        <f>[1]Results!AJ1369</f>
        <v>0</v>
      </c>
      <c r="AH8" s="1">
        <f>[1]Results!AK1369</f>
        <v>0</v>
      </c>
      <c r="AI8" s="1">
        <f>[1]Results!AL1369</f>
        <v>0</v>
      </c>
      <c r="AJ8" s="1">
        <f>[1]Results!AM1369</f>
        <v>0</v>
      </c>
      <c r="AK8" s="1">
        <f>[1]Results!AN1369</f>
        <v>0</v>
      </c>
      <c r="AL8" s="1">
        <f>[1]Results!AO1369</f>
        <v>0</v>
      </c>
    </row>
    <row r="9" spans="1:38" x14ac:dyDescent="0.35">
      <c r="A9" s="3" t="str">
        <f>[1]Results!E1370</f>
        <v>100*((I_2-I_0)/GDP_0)</v>
      </c>
      <c r="B9" t="s">
        <v>23</v>
      </c>
      <c r="C9" s="1">
        <f>[1]Results!F1370</f>
        <v>0</v>
      </c>
      <c r="D9" s="1">
        <f>[1]Results!G1370</f>
        <v>0</v>
      </c>
      <c r="E9" s="1">
        <f>[1]Results!H1370</f>
        <v>0</v>
      </c>
      <c r="F9" s="1">
        <f>[1]Results!I1370</f>
        <v>4.2954441329165439E-9</v>
      </c>
      <c r="G9" s="1">
        <f>[1]Results!J1370</f>
        <v>4.2029114401594801E-9</v>
      </c>
      <c r="H9" s="1">
        <f>[1]Results!K1370</f>
        <v>4.1093996368357305E-9</v>
      </c>
      <c r="I9" s="1">
        <f>[1]Results!L1370</f>
        <v>4.0167651262920583E-9</v>
      </c>
      <c r="J9" s="1">
        <f>[1]Results!M1370</f>
        <v>-5.616059594016011E-2</v>
      </c>
      <c r="K9" s="1">
        <f>[1]Results!N1370</f>
        <v>-0.13815606344916456</v>
      </c>
      <c r="L9" s="1">
        <f>[1]Results!O1370</f>
        <v>-0.17333286719680141</v>
      </c>
      <c r="M9" s="1">
        <f>[1]Results!P1370</f>
        <v>-0.1837302389298979</v>
      </c>
      <c r="N9" s="1">
        <f>[1]Results!Q1370</f>
        <v>-0.17194988123769647</v>
      </c>
      <c r="O9" s="1">
        <f>[1]Results!R1370</f>
        <v>-0.14969006602630416</v>
      </c>
      <c r="P9" s="1">
        <f>[1]Results!S1370</f>
        <v>-0.1216953227241216</v>
      </c>
      <c r="Q9" s="1">
        <f>[1]Results!T1370</f>
        <v>-8.6843497738126968E-2</v>
      </c>
      <c r="R9" s="1">
        <f>[1]Results!U1370</f>
        <v>-4.4682911717988077E-2</v>
      </c>
      <c r="S9" s="1">
        <f>[1]Results!V1370</f>
        <v>-3.5959744566292991E-3</v>
      </c>
      <c r="T9" s="1">
        <f>[1]Results!W1370</f>
        <v>3.5498124036276182E-2</v>
      </c>
      <c r="U9" s="1">
        <f>[1]Results!X1370</f>
        <v>7.3993232591371583E-2</v>
      </c>
      <c r="V9" s="1">
        <f>[1]Results!Y1370</f>
        <v>0.11451265527450467</v>
      </c>
      <c r="W9" s="1">
        <f>[1]Results!Z1370</f>
        <v>0.15860694244887447</v>
      </c>
      <c r="X9" s="1">
        <f>[1]Results!AA1370</f>
        <v>0.20888418139765599</v>
      </c>
      <c r="Y9" s="1">
        <f>[1]Results!AB1370</f>
        <v>0.26526702161998655</v>
      </c>
      <c r="Z9" s="1">
        <f>[1]Results!AC1370</f>
        <v>0.3282219384920485</v>
      </c>
      <c r="AA9" s="1">
        <f>[1]Results!AD1370</f>
        <v>0.39863029182382265</v>
      </c>
      <c r="AB9" s="1">
        <f>[1]Results!AE1370</f>
        <v>0.47728598278016943</v>
      </c>
      <c r="AC9" s="1">
        <f>[1]Results!AF1370</f>
        <v>0.56334517426937947</v>
      </c>
      <c r="AD9" s="1">
        <f>[1]Results!AG1370</f>
        <v>0.65253558165191827</v>
      </c>
      <c r="AE9" s="1">
        <f>[1]Results!AH1370</f>
        <v>0.7426607673512724</v>
      </c>
      <c r="AF9" s="1">
        <f>[1]Results!AI1370</f>
        <v>0.83283639084744954</v>
      </c>
      <c r="AG9" s="1">
        <f>[1]Results!AJ1370</f>
        <v>0.92275080969297507</v>
      </c>
      <c r="AH9" s="1">
        <f>[1]Results!AK1370</f>
        <v>1.0117084431266199</v>
      </c>
      <c r="AI9" s="1">
        <f>[1]Results!AL1370</f>
        <v>1.0980638768922002</v>
      </c>
      <c r="AJ9" s="1">
        <f>[1]Results!AM1370</f>
        <v>1.1808479281821875</v>
      </c>
      <c r="AK9" s="1">
        <f>[1]Results!AN1370</f>
        <v>1.2595595620366198</v>
      </c>
      <c r="AL9" s="1">
        <f>[1]Results!AO1370</f>
        <v>1.3339494124162123</v>
      </c>
    </row>
    <row r="10" spans="1:38" x14ac:dyDescent="0.35">
      <c r="A10" s="3" t="str">
        <f>[1]Results!E1371</f>
        <v>100*((DS_2-DS_0)/GDP_0)</v>
      </c>
      <c r="B10" t="str">
        <f>[1]Results!C1371</f>
        <v>Variations de stocks</v>
      </c>
      <c r="C10" s="1">
        <f>[1]Results!F1371</f>
        <v>0</v>
      </c>
      <c r="D10" s="1">
        <f>[1]Results!G1371</f>
        <v>0</v>
      </c>
      <c r="E10" s="1">
        <f>[1]Results!H1371</f>
        <v>0</v>
      </c>
      <c r="F10" s="1">
        <f>[1]Results!I1371</f>
        <v>0</v>
      </c>
      <c r="G10" s="1">
        <f>[1]Results!J1371</f>
        <v>0</v>
      </c>
      <c r="H10" s="1">
        <f>[1]Results!K1371</f>
        <v>0</v>
      </c>
      <c r="I10" s="1">
        <f>[1]Results!L1371</f>
        <v>0</v>
      </c>
      <c r="J10" s="1">
        <f>[1]Results!M1371</f>
        <v>0</v>
      </c>
      <c r="K10" s="1">
        <f>[1]Results!N1371</f>
        <v>0</v>
      </c>
      <c r="L10" s="1">
        <f>[1]Results!O1371</f>
        <v>0</v>
      </c>
      <c r="M10" s="1">
        <f>[1]Results!P1371</f>
        <v>0</v>
      </c>
      <c r="N10" s="1">
        <f>[1]Results!Q1371</f>
        <v>0</v>
      </c>
      <c r="O10" s="1">
        <f>[1]Results!R1371</f>
        <v>0</v>
      </c>
      <c r="P10" s="1">
        <f>[1]Results!S1371</f>
        <v>0</v>
      </c>
      <c r="Q10" s="1">
        <f>[1]Results!T1371</f>
        <v>0</v>
      </c>
      <c r="R10" s="1">
        <f>[1]Results!U1371</f>
        <v>0</v>
      </c>
      <c r="S10" s="1">
        <f>[1]Results!V1371</f>
        <v>0</v>
      </c>
      <c r="T10" s="1">
        <f>[1]Results!W1371</f>
        <v>0</v>
      </c>
      <c r="U10" s="1">
        <f>[1]Results!X1371</f>
        <v>0</v>
      </c>
      <c r="V10" s="1">
        <f>[1]Results!Y1371</f>
        <v>0</v>
      </c>
      <c r="W10" s="1">
        <f>[1]Results!Z1371</f>
        <v>0</v>
      </c>
      <c r="X10" s="1">
        <f>[1]Results!AA1371</f>
        <v>0</v>
      </c>
      <c r="Y10" s="1">
        <f>[1]Results!AB1371</f>
        <v>0</v>
      </c>
      <c r="Z10" s="1">
        <f>[1]Results!AC1371</f>
        <v>0</v>
      </c>
      <c r="AA10" s="1">
        <f>[1]Results!AD1371</f>
        <v>0</v>
      </c>
      <c r="AB10" s="1">
        <f>[1]Results!AE1371</f>
        <v>0</v>
      </c>
      <c r="AC10" s="1">
        <f>[1]Results!AF1371</f>
        <v>0</v>
      </c>
      <c r="AD10" s="1">
        <f>[1]Results!AG1371</f>
        <v>0</v>
      </c>
      <c r="AE10" s="1">
        <f>[1]Results!AH1371</f>
        <v>0</v>
      </c>
      <c r="AF10" s="1">
        <f>[1]Results!AI1371</f>
        <v>0</v>
      </c>
      <c r="AG10" s="1">
        <f>[1]Results!AJ1371</f>
        <v>0</v>
      </c>
      <c r="AH10" s="1">
        <f>[1]Results!AK1371</f>
        <v>0</v>
      </c>
      <c r="AI10" s="1">
        <f>[1]Results!AL1371</f>
        <v>0</v>
      </c>
      <c r="AJ10" s="1">
        <f>[1]Results!AM1371</f>
        <v>0</v>
      </c>
      <c r="AK10" s="1">
        <f>[1]Results!AN1371</f>
        <v>0</v>
      </c>
      <c r="AL10" s="1">
        <f>[1]Results!AO1371</f>
        <v>0</v>
      </c>
    </row>
    <row r="11" spans="1:38" x14ac:dyDescent="0.35">
      <c r="A11" s="3" t="str">
        <f>[1]Results!E1372</f>
        <v>100*((X_2-X_0)/GDP_0)-100*((M_2-M_0)/GDP_0)</v>
      </c>
      <c r="B11" t="s">
        <v>22</v>
      </c>
      <c r="C11" s="1">
        <f>[1]Results!F1372</f>
        <v>-4.552083073732457E-9</v>
      </c>
      <c r="D11" s="1">
        <f>[1]Results!G1372</f>
        <v>0</v>
      </c>
      <c r="E11" s="1">
        <f>[1]Results!H1372</f>
        <v>-4.3856079912291818E-9</v>
      </c>
      <c r="F11" s="1">
        <f>[1]Results!I1372</f>
        <v>-4.2954416326391076E-9</v>
      </c>
      <c r="G11" s="1">
        <f>[1]Results!J1372</f>
        <v>-4.2029089937431566E-9</v>
      </c>
      <c r="H11" s="1">
        <f>[1]Results!K1372</f>
        <v>-8.2188040576448316E-9</v>
      </c>
      <c r="I11" s="1">
        <f>[1]Results!L1372</f>
        <v>-1.2050300055008723E-8</v>
      </c>
      <c r="J11" s="1">
        <f>[1]Results!M1372</f>
        <v>-0.13243858742076256</v>
      </c>
      <c r="K11" s="1">
        <f>[1]Results!N1372</f>
        <v>-0.1771656694026546</v>
      </c>
      <c r="L11" s="1">
        <f>[1]Results!O1372</f>
        <v>5.1986415642164552E-2</v>
      </c>
      <c r="M11" s="1">
        <f>[1]Results!P1372</f>
        <v>0.19961713723595556</v>
      </c>
      <c r="N11" s="1">
        <f>[1]Results!Q1372</f>
        <v>0.20807653548105276</v>
      </c>
      <c r="O11" s="1">
        <f>[1]Results!R1372</f>
        <v>0.10334834909861412</v>
      </c>
      <c r="P11" s="1">
        <f>[1]Results!S1372</f>
        <v>-5.7465826158498823E-2</v>
      </c>
      <c r="Q11" s="1">
        <f>[1]Results!T1372</f>
        <v>-0.23057031543669146</v>
      </c>
      <c r="R11" s="1">
        <f>[1]Results!U1372</f>
        <v>-0.40581473918069838</v>
      </c>
      <c r="S11" s="1">
        <f>[1]Results!V1372</f>
        <v>-0.58944520461379246</v>
      </c>
      <c r="T11" s="1">
        <f>[1]Results!W1372</f>
        <v>-0.76042309638491645</v>
      </c>
      <c r="U11" s="1">
        <f>[1]Results!X1372</f>
        <v>-0.91877028073259004</v>
      </c>
      <c r="V11" s="1">
        <f>[1]Results!Y1372</f>
        <v>-1.064432658919432</v>
      </c>
      <c r="W11" s="1">
        <f>[1]Results!Z1372</f>
        <v>-1.1996673541794873</v>
      </c>
      <c r="X11" s="1">
        <f>[1]Results!AA1372</f>
        <v>-1.3232504219344772</v>
      </c>
      <c r="Y11" s="1">
        <f>[1]Results!AB1372</f>
        <v>-1.4291308475530882</v>
      </c>
      <c r="Z11" s="1">
        <f>[1]Results!AC1372</f>
        <v>-1.5173571815983689</v>
      </c>
      <c r="AA11" s="1">
        <f>[1]Results!AD1372</f>
        <v>-1.589328808907575</v>
      </c>
      <c r="AB11" s="1">
        <f>[1]Results!AE1372</f>
        <v>-1.6464493746499322</v>
      </c>
      <c r="AC11" s="1">
        <f>[1]Results!AF1372</f>
        <v>-1.6793403450135131</v>
      </c>
      <c r="AD11" s="1">
        <f>[1]Results!AG1372</f>
        <v>-1.6832258575038925</v>
      </c>
      <c r="AE11" s="1">
        <f>[1]Results!AH1372</f>
        <v>-1.6626959866183924</v>
      </c>
      <c r="AF11" s="1">
        <f>[1]Results!AI1372</f>
        <v>-1.623653573632635</v>
      </c>
      <c r="AG11" s="1">
        <f>[1]Results!AJ1372</f>
        <v>-1.5711556043067165</v>
      </c>
      <c r="AH11" s="1">
        <f>[1]Results!AK1372</f>
        <v>-1.5066319848770289</v>
      </c>
      <c r="AI11" s="1">
        <f>[1]Results!AL1372</f>
        <v>-1.4292855123713495</v>
      </c>
      <c r="AJ11" s="1">
        <f>[1]Results!AM1372</f>
        <v>-1.3435952540153477</v>
      </c>
      <c r="AK11" s="1">
        <f>[1]Results!AN1372</f>
        <v>-1.2549909934604231</v>
      </c>
      <c r="AL11" s="1">
        <f>[1]Results!AO1372</f>
        <v>-1.1682666887227409</v>
      </c>
    </row>
    <row r="12" spans="1:38" x14ac:dyDescent="0.35">
      <c r="A12" s="3" t="str">
        <f>[1]Results!E1373</f>
        <v>100*((CH_2-CH_ccon_2-(CH_0-CH_ccon_0))/GDP_0)</v>
      </c>
      <c r="B12" t="str">
        <f>[1]Results!C1373</f>
        <v>Consommation des ménages</v>
      </c>
      <c r="C12" s="1">
        <f>[1]Results!F1373</f>
        <v>0</v>
      </c>
      <c r="D12" s="1">
        <f>[1]Results!G1373</f>
        <v>0</v>
      </c>
      <c r="E12" s="1">
        <f>[1]Results!H1373</f>
        <v>0</v>
      </c>
      <c r="F12" s="1">
        <f>[1]Results!I1373</f>
        <v>0</v>
      </c>
      <c r="G12" s="1">
        <f>[1]Results!J1373</f>
        <v>0</v>
      </c>
      <c r="H12" s="1">
        <f>[1]Results!K1373</f>
        <v>0</v>
      </c>
      <c r="I12" s="1">
        <f>[1]Results!L1373</f>
        <v>-4.0167043365689272E-10</v>
      </c>
      <c r="J12" s="1">
        <f>[1]Results!M1373</f>
        <v>-0.10449137748497214</v>
      </c>
      <c r="K12" s="1">
        <f>[1]Results!N1373</f>
        <v>-0.25889823269833673</v>
      </c>
      <c r="L12" s="1">
        <f>[1]Results!O1373</f>
        <v>-0.35035215460779801</v>
      </c>
      <c r="M12" s="1">
        <f>[1]Results!P1373</f>
        <v>-0.34139174586301568</v>
      </c>
      <c r="N12" s="1">
        <f>[1]Results!Q1373</f>
        <v>-0.21154884727630913</v>
      </c>
      <c r="O12" s="1">
        <f>[1]Results!R1373</f>
        <v>3.7494347553103913E-3</v>
      </c>
      <c r="P12" s="1">
        <f>[1]Results!S1373</f>
        <v>0.2565202290343972</v>
      </c>
      <c r="Q12" s="1">
        <f>[1]Results!T1373</f>
        <v>0.51723171477301255</v>
      </c>
      <c r="R12" s="1">
        <f>[1]Results!U1373</f>
        <v>0.77100573354966206</v>
      </c>
      <c r="S12" s="1">
        <f>[1]Results!V1373</f>
        <v>0.99651160225898527</v>
      </c>
      <c r="T12" s="1">
        <f>[1]Results!W1373</f>
        <v>1.1842001714223247</v>
      </c>
      <c r="U12" s="1">
        <f>[1]Results!X1373</f>
        <v>1.338688494968405</v>
      </c>
      <c r="V12" s="1">
        <f>[1]Results!Y1373</f>
        <v>1.4663918162122447</v>
      </c>
      <c r="W12" s="1">
        <f>[1]Results!Z1373</f>
        <v>1.5679076989080327</v>
      </c>
      <c r="X12" s="1">
        <f>[1]Results!AA1373</f>
        <v>1.6438277123913572</v>
      </c>
      <c r="Y12" s="1">
        <f>[1]Results!AB1373</f>
        <v>1.6912402294509614</v>
      </c>
      <c r="Z12" s="1">
        <f>[1]Results!AC1373</f>
        <v>1.7132349813628303</v>
      </c>
      <c r="AA12" s="1">
        <f>[1]Results!AD1373</f>
        <v>1.7149821707790409</v>
      </c>
      <c r="AB12" s="1">
        <f>[1]Results!AE1373</f>
        <v>1.7006208359526604</v>
      </c>
      <c r="AC12" s="1">
        <f>[1]Results!AF1373</f>
        <v>1.6623486558885192</v>
      </c>
      <c r="AD12" s="1">
        <f>[1]Results!AG1373</f>
        <v>1.5966785924968259</v>
      </c>
      <c r="AE12" s="1">
        <f>[1]Results!AH1373</f>
        <v>1.5109255967505171</v>
      </c>
      <c r="AF12" s="1">
        <f>[1]Results!AI1373</f>
        <v>1.4145617399953603</v>
      </c>
      <c r="AG12" s="1">
        <f>[1]Results!AJ1373</f>
        <v>1.3150901761117879</v>
      </c>
      <c r="AH12" s="1">
        <f>[1]Results!AK1373</f>
        <v>1.2145274751808086</v>
      </c>
      <c r="AI12" s="1">
        <f>[1]Results!AL1373</f>
        <v>1.1124459768620742</v>
      </c>
      <c r="AJ12" s="1">
        <f>[1]Results!AM1373</f>
        <v>1.0129040226115289</v>
      </c>
      <c r="AK12" s="1">
        <f>[1]Results!AN1373</f>
        <v>0.92092290219065787</v>
      </c>
      <c r="AL12" s="1">
        <f>[1]Results!AO1373</f>
        <v>0.84051201325245217</v>
      </c>
    </row>
    <row r="13" spans="1:38" x14ac:dyDescent="0.35">
      <c r="A13" s="3" t="str">
        <f>[1]Results!E1374</f>
        <v>100*((I_2+CH_ccon_2-(I_0+CH_ccon_0))/GDP_0)</v>
      </c>
      <c r="B13" t="s">
        <v>23</v>
      </c>
      <c r="C13" s="1">
        <f>[1]Results!F1374</f>
        <v>0</v>
      </c>
      <c r="D13" s="1">
        <f>[1]Results!G1374</f>
        <v>0</v>
      </c>
      <c r="E13" s="1">
        <f>[1]Results!H1374</f>
        <v>0</v>
      </c>
      <c r="F13" s="1">
        <f>[1]Results!I1374</f>
        <v>4.2954441329165439E-9</v>
      </c>
      <c r="G13" s="1">
        <f>[1]Results!J1374</f>
        <v>4.2029089937431566E-9</v>
      </c>
      <c r="H13" s="1">
        <f>[1]Results!K1374</f>
        <v>4.1093996368357305E-9</v>
      </c>
      <c r="I13" s="1">
        <f>[1]Results!L1374</f>
        <v>4.4184402360814992E-9</v>
      </c>
      <c r="J13" s="1">
        <f>[1]Results!M1374</f>
        <v>-5.8133993576491551E-2</v>
      </c>
      <c r="K13" s="1">
        <f>[1]Results!N1374</f>
        <v>-0.14346142963987529</v>
      </c>
      <c r="L13" s="1">
        <f>[1]Results!O1374</f>
        <v>-0.18161043725303316</v>
      </c>
      <c r="M13" s="1">
        <f>[1]Results!P1374</f>
        <v>-0.19401065889915217</v>
      </c>
      <c r="N13" s="1">
        <f>[1]Results!Q1374</f>
        <v>-0.18246392688683855</v>
      </c>
      <c r="O13" s="1">
        <f>[1]Results!R1374</f>
        <v>-0.15836128311773995</v>
      </c>
      <c r="P13" s="1">
        <f>[1]Results!S1374</f>
        <v>-0.12713514601260528</v>
      </c>
      <c r="Q13" s="1">
        <f>[1]Results!T1374</f>
        <v>-8.8364935191214564E-2</v>
      </c>
      <c r="R13" s="1">
        <f>[1]Results!U1374</f>
        <v>-4.2067266844488582E-2</v>
      </c>
      <c r="S13" s="1">
        <f>[1]Results!V1374</f>
        <v>2.8821879004919029E-3</v>
      </c>
      <c r="T13" s="1">
        <f>[1]Results!W1374</f>
        <v>4.5234825349237104E-2</v>
      </c>
      <c r="U13" s="1">
        <f>[1]Results!X1374</f>
        <v>8.6406357261609834E-2</v>
      </c>
      <c r="V13" s="1">
        <f>[1]Results!Y1374</f>
        <v>0.12915835405747134</v>
      </c>
      <c r="W13" s="1">
        <f>[1]Results!Z1374</f>
        <v>0.17517446547050211</v>
      </c>
      <c r="X13" s="1">
        <f>[1]Results!AA1374</f>
        <v>0.22712088283711085</v>
      </c>
      <c r="Y13" s="1">
        <f>[1]Results!AB1374</f>
        <v>0.28490707859328923</v>
      </c>
      <c r="Z13" s="1">
        <f>[1]Results!AC1374</f>
        <v>0.34898454635213028</v>
      </c>
      <c r="AA13" s="1">
        <f>[1]Results!AD1374</f>
        <v>0.42025416219466971</v>
      </c>
      <c r="AB13" s="1">
        <f>[1]Results!AE1374</f>
        <v>0.49953257782241078</v>
      </c>
      <c r="AC13" s="1">
        <f>[1]Results!AF1374</f>
        <v>0.5857894036667467</v>
      </c>
      <c r="AD13" s="1">
        <f>[1]Results!AG1374</f>
        <v>0.67459082855740704</v>
      </c>
      <c r="AE13" s="1">
        <f>[1]Results!AH1374</f>
        <v>0.76377190272765827</v>
      </c>
      <c r="AF13" s="1">
        <f>[1]Results!AI1374</f>
        <v>0.85260042427947547</v>
      </c>
      <c r="AG13" s="1">
        <f>[1]Results!AJ1374</f>
        <v>0.94093330552394383</v>
      </c>
      <c r="AH13" s="1">
        <f>[1]Results!AK1374</f>
        <v>1.0281640635757598</v>
      </c>
      <c r="AI13" s="1">
        <f>[1]Results!AL1374</f>
        <v>1.1126679719396009</v>
      </c>
      <c r="AJ13" s="1">
        <f>[1]Results!AM1374</f>
        <v>1.1935497595066076</v>
      </c>
      <c r="AK13" s="1">
        <f>[1]Results!AN1374</f>
        <v>1.2704134476647002</v>
      </c>
      <c r="AL13" s="1">
        <f>[1]Results!AO1374</f>
        <v>1.3431095758772869</v>
      </c>
    </row>
    <row r="14" spans="1:38" x14ac:dyDescent="0.35">
      <c r="A14" s="3" t="str">
        <f>[1]Results!E1375</f>
        <v>100*((I_2-IA_spub_2-(I_0-IA_spub_0))/GDP_0)</v>
      </c>
      <c r="B14" t="str">
        <f>[1]Results!C1375</f>
        <v>Investissement entreprises</v>
      </c>
      <c r="C14" s="1">
        <f>[1]Results!F1375</f>
        <v>0</v>
      </c>
      <c r="D14" s="1">
        <f>[1]Results!G1375</f>
        <v>0</v>
      </c>
      <c r="E14" s="1">
        <f>[1]Results!H1375</f>
        <v>0</v>
      </c>
      <c r="F14" s="1">
        <f>[1]Results!I1375</f>
        <v>4.2954441329165439E-9</v>
      </c>
      <c r="G14" s="1">
        <f>[1]Results!J1375</f>
        <v>3.7826220086349584E-9</v>
      </c>
      <c r="H14" s="1">
        <f>[1]Results!K1375</f>
        <v>4.1093996368357305E-9</v>
      </c>
      <c r="I14" s="1">
        <f>[1]Results!L1375</f>
        <v>3.2134102305806274E-9</v>
      </c>
      <c r="J14" s="1">
        <f>[1]Results!M1375</f>
        <v>-5.3880681596743529E-2</v>
      </c>
      <c r="K14" s="1">
        <f>[1]Results!N1375</f>
        <v>-0.13247476092051419</v>
      </c>
      <c r="L14" s="1">
        <f>[1]Results!O1375</f>
        <v>-0.16440092738340348</v>
      </c>
      <c r="M14" s="1">
        <f>[1]Results!P1375</f>
        <v>-0.17157801690294075</v>
      </c>
      <c r="N14" s="1">
        <f>[1]Results!Q1375</f>
        <v>-0.15842642143120014</v>
      </c>
      <c r="O14" s="1">
        <f>[1]Results!R1375</f>
        <v>-0.13602871426572294</v>
      </c>
      <c r="P14" s="1">
        <f>[1]Results!S1375</f>
        <v>-0.10870810403781789</v>
      </c>
      <c r="Q14" s="1">
        <f>[1]Results!T1375</f>
        <v>-7.5132616100002034E-2</v>
      </c>
      <c r="R14" s="1">
        <f>[1]Results!U1375</f>
        <v>-3.4741455123518422E-2</v>
      </c>
      <c r="S14" s="1">
        <f>[1]Results!V1375</f>
        <v>4.4737038040847266E-3</v>
      </c>
      <c r="T14" s="1">
        <f>[1]Results!W1375</f>
        <v>4.1714032591688099E-2</v>
      </c>
      <c r="U14" s="1">
        <f>[1]Results!X1375</f>
        <v>7.829070209311606E-2</v>
      </c>
      <c r="V14" s="1">
        <f>[1]Results!Y1375</f>
        <v>0.11666174973243508</v>
      </c>
      <c r="W14" s="1">
        <f>[1]Results!Z1375</f>
        <v>0.15833604330319193</v>
      </c>
      <c r="X14" s="1">
        <f>[1]Results!AA1375</f>
        <v>0.20576689566997394</v>
      </c>
      <c r="Y14" s="1">
        <f>[1]Results!AB1375</f>
        <v>0.259023311485712</v>
      </c>
      <c r="Z14" s="1">
        <f>[1]Results!AC1375</f>
        <v>0.31861912822045013</v>
      </c>
      <c r="AA14" s="1">
        <f>[1]Results!AD1375</f>
        <v>0.38545047782023034</v>
      </c>
      <c r="AB14" s="1">
        <f>[1]Results!AE1375</f>
        <v>0.46033628734378285</v>
      </c>
      <c r="AC14" s="1">
        <f>[1]Results!AF1375</f>
        <v>0.54257910643773521</v>
      </c>
      <c r="AD14" s="1">
        <f>[1]Results!AG1375</f>
        <v>0.62826714360410074</v>
      </c>
      <c r="AE14" s="1">
        <f>[1]Results!AH1375</f>
        <v>0.71529922743241559</v>
      </c>
      <c r="AF14" s="1">
        <f>[1]Results!AI1375</f>
        <v>0.80277400875024119</v>
      </c>
      <c r="AG14" s="1">
        <f>[1]Results!AJ1375</f>
        <v>0.89033160590493088</v>
      </c>
      <c r="AH14" s="1">
        <f>[1]Results!AK1375</f>
        <v>0.97726287512516596</v>
      </c>
      <c r="AI14" s="1">
        <f>[1]Results!AL1375</f>
        <v>1.0619963310828651</v>
      </c>
      <c r="AJ14" s="1">
        <f>[1]Results!AM1375</f>
        <v>1.1435437705936593</v>
      </c>
      <c r="AK14" s="1">
        <f>[1]Results!AN1375</f>
        <v>1.2213466743433261</v>
      </c>
      <c r="AL14" s="1">
        <f>[1]Results!AO1375</f>
        <v>1.2950889210143721</v>
      </c>
    </row>
    <row r="15" spans="1:38" x14ac:dyDescent="0.35">
      <c r="A15" s="3" t="str">
        <f>[1]Results!E1376</f>
        <v>100*((CH_ccon_2-CH_ccon_0)/GDP_0)</v>
      </c>
      <c r="B15" t="str">
        <f>[1]Results!C1376</f>
        <v>Investissement ménages</v>
      </c>
      <c r="C15" s="1">
        <f>[1]Results!F1376</f>
        <v>0</v>
      </c>
      <c r="D15" s="1">
        <f>[1]Results!G1376</f>
        <v>0</v>
      </c>
      <c r="E15" s="1">
        <f>[1]Results!H1376</f>
        <v>0</v>
      </c>
      <c r="F15" s="1">
        <f>[1]Results!I1376</f>
        <v>0</v>
      </c>
      <c r="G15" s="1">
        <f>[1]Results!J1376</f>
        <v>0</v>
      </c>
      <c r="H15" s="1">
        <f>[1]Results!K1376</f>
        <v>0</v>
      </c>
      <c r="I15" s="1">
        <f>[1]Results!L1376</f>
        <v>4.0167671721000476E-10</v>
      </c>
      <c r="J15" s="1">
        <f>[1]Results!M1376</f>
        <v>-1.9733976363313015E-3</v>
      </c>
      <c r="K15" s="1">
        <f>[1]Results!N1376</f>
        <v>-5.3053661907082319E-3</v>
      </c>
      <c r="L15" s="1">
        <f>[1]Results!O1376</f>
        <v>-8.2775700562350112E-3</v>
      </c>
      <c r="M15" s="1">
        <f>[1]Results!P1376</f>
        <v>-1.0280419969256552E-2</v>
      </c>
      <c r="N15" s="1">
        <f>[1]Results!Q1376</f>
        <v>-1.0514045649139608E-2</v>
      </c>
      <c r="O15" s="1">
        <f>[1]Results!R1376</f>
        <v>-8.6712170914361592E-3</v>
      </c>
      <c r="P15" s="1">
        <f>[1]Results!S1376</f>
        <v>-5.4398232884851601E-3</v>
      </c>
      <c r="Q15" s="1">
        <f>[1]Results!T1376</f>
        <v>-1.521437453088578E-3</v>
      </c>
      <c r="R15" s="1">
        <f>[1]Results!U1376</f>
        <v>2.6156448734997446E-3</v>
      </c>
      <c r="S15" s="1">
        <f>[1]Results!V1376</f>
        <v>6.4781623571225286E-3</v>
      </c>
      <c r="T15" s="1">
        <f>[1]Results!W1376</f>
        <v>9.7367013129607966E-3</v>
      </c>
      <c r="U15" s="1">
        <f>[1]Results!X1376</f>
        <v>1.2413124670238366E-2</v>
      </c>
      <c r="V15" s="1">
        <f>[1]Results!Y1376</f>
        <v>1.4645698782965625E-2</v>
      </c>
      <c r="W15" s="1">
        <f>[1]Results!Z1376</f>
        <v>1.6567523021628866E-2</v>
      </c>
      <c r="X15" s="1">
        <f>[1]Results!AA1376</f>
        <v>1.8236701439456285E-2</v>
      </c>
      <c r="Y15" s="1">
        <f>[1]Results!AB1376</f>
        <v>1.9640056973300547E-2</v>
      </c>
      <c r="Z15" s="1">
        <f>[1]Results!AC1376</f>
        <v>2.0762607860082716E-2</v>
      </c>
      <c r="AA15" s="1">
        <f>[1]Results!AD1376</f>
        <v>2.1623870370847426E-2</v>
      </c>
      <c r="AB15" s="1">
        <f>[1]Results!AE1376</f>
        <v>2.2246595042241149E-2</v>
      </c>
      <c r="AC15" s="1">
        <f>[1]Results!AF1376</f>
        <v>2.2444229397365196E-2</v>
      </c>
      <c r="AD15" s="1">
        <f>[1]Results!AG1376</f>
        <v>2.205524690548866E-2</v>
      </c>
      <c r="AE15" s="1">
        <f>[1]Results!AH1376</f>
        <v>2.1111135376385131E-2</v>
      </c>
      <c r="AF15" s="1">
        <f>[1]Results!AI1376</f>
        <v>1.9764033432021606E-2</v>
      </c>
      <c r="AG15" s="1">
        <f>[1]Results!AJ1376</f>
        <v>1.8182495830969106E-2</v>
      </c>
      <c r="AH15" s="1">
        <f>[1]Results!AK1376</f>
        <v>1.6455620449142169E-2</v>
      </c>
      <c r="AI15" s="1">
        <f>[1]Results!AL1376</f>
        <v>1.4604095047401833E-2</v>
      </c>
      <c r="AJ15" s="1">
        <f>[1]Results!AM1376</f>
        <v>1.2701831324420302E-2</v>
      </c>
      <c r="AK15" s="1">
        <f>[1]Results!AN1376</f>
        <v>1.085388562808021E-2</v>
      </c>
      <c r="AL15" s="1">
        <f>[1]Results!AO1376</f>
        <v>9.1601634610767608E-3</v>
      </c>
    </row>
    <row r="16" spans="1:38" x14ac:dyDescent="0.35">
      <c r="A16" s="3" t="str">
        <f>[1]Results!E1377</f>
        <v>100*((IA_spub_2-IA_spub_0)/GDP_0)</v>
      </c>
      <c r="B16" t="str">
        <f>[1]Results!C1377</f>
        <v>Investissement public</v>
      </c>
      <c r="C16" s="1">
        <f>[1]Results!F1377</f>
        <v>0</v>
      </c>
      <c r="D16" s="1">
        <f>[1]Results!G1377</f>
        <v>0</v>
      </c>
      <c r="E16" s="1">
        <f>[1]Results!H1377</f>
        <v>0</v>
      </c>
      <c r="F16" s="1">
        <f>[1]Results!I1377</f>
        <v>0</v>
      </c>
      <c r="G16" s="1">
        <f>[1]Results!J1377</f>
        <v>4.202912663367642E-10</v>
      </c>
      <c r="H16" s="1">
        <f>[1]Results!K1377</f>
        <v>0</v>
      </c>
      <c r="I16" s="1">
        <f>[1]Results!L1377</f>
        <v>8.0335372667829391E-10</v>
      </c>
      <c r="J16" s="1">
        <f>[1]Results!M1377</f>
        <v>-2.2799143434154337E-3</v>
      </c>
      <c r="K16" s="1">
        <f>[1]Results!N1377</f>
        <v>-5.6813025286503709E-3</v>
      </c>
      <c r="L16" s="1">
        <f>[1]Results!O1377</f>
        <v>-8.9319398133987562E-3</v>
      </c>
      <c r="M16" s="1">
        <f>[1]Results!P1377</f>
        <v>-1.2152222026956079E-2</v>
      </c>
      <c r="N16" s="1">
        <f>[1]Results!Q1377</f>
        <v>-1.3523459806499431E-2</v>
      </c>
      <c r="O16" s="1">
        <f>[1]Results!R1377</f>
        <v>-1.3661351760580726E-2</v>
      </c>
      <c r="P16" s="1">
        <f>[1]Results!S1377</f>
        <v>-1.2987218686303476E-2</v>
      </c>
      <c r="Q16" s="1">
        <f>[1]Results!T1377</f>
        <v>-1.1710881638123454E-2</v>
      </c>
      <c r="R16" s="1">
        <f>[1]Results!U1377</f>
        <v>-9.941456594468186E-3</v>
      </c>
      <c r="S16" s="1">
        <f>[1]Results!V1377</f>
        <v>-8.069678260711614E-3</v>
      </c>
      <c r="T16" s="1">
        <f>[1]Results!W1377</f>
        <v>-6.2159085554093036E-3</v>
      </c>
      <c r="U16" s="1">
        <f>[1]Results!X1377</f>
        <v>-4.2974695017419049E-3</v>
      </c>
      <c r="V16" s="1">
        <f>[1]Results!Y1377</f>
        <v>-2.1490944579292516E-3</v>
      </c>
      <c r="W16" s="1">
        <f>[1]Results!Z1377</f>
        <v>2.7089914567959128E-4</v>
      </c>
      <c r="X16" s="1">
        <f>[1]Results!AA1377</f>
        <v>3.1172857276807503E-3</v>
      </c>
      <c r="Y16" s="1">
        <f>[1]Results!AB1377</f>
        <v>6.2437101342775652E-3</v>
      </c>
      <c r="Z16" s="1">
        <f>[1]Results!AC1377</f>
        <v>9.6028102716003375E-3</v>
      </c>
      <c r="AA16" s="1">
        <f>[1]Results!AD1377</f>
        <v>1.3179814003591469E-2</v>
      </c>
      <c r="AB16" s="1">
        <f>[1]Results!AE1377</f>
        <v>1.6949695436385696E-2</v>
      </c>
      <c r="AC16" s="1">
        <f>[1]Results!AF1377</f>
        <v>2.0766067831644579E-2</v>
      </c>
      <c r="AD16" s="1">
        <f>[1]Results!AG1377</f>
        <v>2.4268438047818246E-2</v>
      </c>
      <c r="AE16" s="1">
        <f>[1]Results!AH1377</f>
        <v>2.7361539918858539E-2</v>
      </c>
      <c r="AF16" s="1">
        <f>[1]Results!AI1377</f>
        <v>3.0062382097207907E-2</v>
      </c>
      <c r="AG16" s="1">
        <f>[1]Results!AJ1377</f>
        <v>3.2419203788043027E-2</v>
      </c>
      <c r="AH16" s="1">
        <f>[1]Results!AK1377</f>
        <v>3.4445568001456733E-2</v>
      </c>
      <c r="AI16" s="1">
        <f>[1]Results!AL1377</f>
        <v>3.6067545809333343E-2</v>
      </c>
      <c r="AJ16" s="1">
        <f>[1]Results!AM1377</f>
        <v>3.7304157588528127E-2</v>
      </c>
      <c r="AK16" s="1">
        <f>[1]Results!AN1377</f>
        <v>3.8212887693290773E-2</v>
      </c>
      <c r="AL16" s="1">
        <f>[1]Results!AO1377</f>
        <v>3.8860491401842501E-2</v>
      </c>
    </row>
    <row r="17" spans="1:38" x14ac:dyDescent="0.35">
      <c r="A17" s="3" t="str">
        <f>[1]Results!E1378</f>
        <v>100*(CH_2/CH_0-1)</v>
      </c>
      <c r="B17" t="str">
        <f>[1]Results!C1378</f>
        <v>Consommation des ménages</v>
      </c>
      <c r="C17" s="1">
        <f>[1]Results!F1378</f>
        <v>0</v>
      </c>
      <c r="D17" s="1">
        <f>[1]Results!G1378</f>
        <v>0</v>
      </c>
      <c r="E17" s="1">
        <f>[1]Results!H1378</f>
        <v>0</v>
      </c>
      <c r="F17" s="1">
        <f>[1]Results!I1378</f>
        <v>0</v>
      </c>
      <c r="G17" s="1">
        <f>[1]Results!J1378</f>
        <v>0</v>
      </c>
      <c r="H17" s="1">
        <f>[1]Results!K1378</f>
        <v>0</v>
      </c>
      <c r="I17" s="1">
        <f>[1]Results!L1378</f>
        <v>0</v>
      </c>
      <c r="J17" s="1">
        <f>[1]Results!M1378</f>
        <v>-0.1944644245064131</v>
      </c>
      <c r="K17" s="1">
        <f>[1]Results!N1378</f>
        <v>-0.48213331582790397</v>
      </c>
      <c r="L17" s="1">
        <f>[1]Results!O1378</f>
        <v>-0.6539038020091259</v>
      </c>
      <c r="M17" s="1">
        <f>[1]Results!P1378</f>
        <v>-0.64032694307663007</v>
      </c>
      <c r="N17" s="1">
        <f>[1]Results!Q1378</f>
        <v>-0.40325861833147014</v>
      </c>
      <c r="O17" s="1">
        <f>[1]Results!R1378</f>
        <v>-8.9132779139466933E-3</v>
      </c>
      <c r="P17" s="1">
        <f>[1]Results!S1378</f>
        <v>0.45369894725550974</v>
      </c>
      <c r="Q17" s="1">
        <f>[1]Results!T1378</f>
        <v>0.93074734324298802</v>
      </c>
      <c r="R17" s="1">
        <f>[1]Results!U1378</f>
        <v>1.3962064535124163</v>
      </c>
      <c r="S17" s="1">
        <f>[1]Results!V1378</f>
        <v>1.8123288856670472</v>
      </c>
      <c r="T17" s="1">
        <f>[1]Results!W1378</f>
        <v>2.16233801380048</v>
      </c>
      <c r="U17" s="1">
        <f>[1]Results!X1378</f>
        <v>2.4549802672521048</v>
      </c>
      <c r="V17" s="1">
        <f>[1]Results!Y1378</f>
        <v>2.701915627245155</v>
      </c>
      <c r="W17" s="1">
        <f>[1]Results!Z1378</f>
        <v>2.9043971625505316</v>
      </c>
      <c r="X17" s="1">
        <f>[1]Results!AA1378</f>
        <v>3.062138809871473</v>
      </c>
      <c r="Y17" s="1">
        <f>[1]Results!AB1378</f>
        <v>3.1689633020109964</v>
      </c>
      <c r="Z17" s="1">
        <f>[1]Results!AC1378</f>
        <v>3.2294127784504578</v>
      </c>
      <c r="AA17" s="1">
        <f>[1]Results!AD1378</f>
        <v>3.2519439392154847</v>
      </c>
      <c r="AB17" s="1">
        <f>[1]Results!AE1378</f>
        <v>3.2446743189671334</v>
      </c>
      <c r="AC17" s="1">
        <f>[1]Results!AF1378</f>
        <v>3.190512310152549</v>
      </c>
      <c r="AD17" s="1">
        <f>[1]Results!AG1378</f>
        <v>3.0814943570480979</v>
      </c>
      <c r="AE17" s="1">
        <f>[1]Results!AH1378</f>
        <v>2.9305674817836191</v>
      </c>
      <c r="AF17" s="1">
        <f>[1]Results!AI1378</f>
        <v>2.7551792822062326</v>
      </c>
      <c r="AG17" s="1">
        <f>[1]Results!AJ1378</f>
        <v>2.5697302280403678</v>
      </c>
      <c r="AH17" s="1">
        <f>[1]Results!AK1378</f>
        <v>2.3785935724183416</v>
      </c>
      <c r="AI17" s="1">
        <f>[1]Results!AL1378</f>
        <v>2.1816035243477971</v>
      </c>
      <c r="AJ17" s="1">
        <f>[1]Results!AM1378</f>
        <v>1.9874387193278942</v>
      </c>
      <c r="AK17" s="1">
        <f>[1]Results!AN1378</f>
        <v>1.8066821215543927</v>
      </c>
      <c r="AL17" s="1">
        <f>[1]Results!AO1378</f>
        <v>1.6478442631691292</v>
      </c>
    </row>
    <row r="18" spans="1:38" x14ac:dyDescent="0.35">
      <c r="A18" s="3" t="str">
        <f>[1]Results!E1379</f>
        <v>100*(CH_cveh_2/CH_cveh_0-1)</v>
      </c>
      <c r="B18" t="str">
        <f>[1]Results!C1379</f>
        <v>Consommation des ménages automobile</v>
      </c>
      <c r="C18" s="1">
        <f>[1]Results!F1379</f>
        <v>0</v>
      </c>
      <c r="D18" s="1">
        <f>[1]Results!G1379</f>
        <v>0</v>
      </c>
      <c r="E18" s="1">
        <f>[1]Results!H1379</f>
        <v>2.8212632230406598E-8</v>
      </c>
      <c r="F18" s="1">
        <f>[1]Results!I1379</f>
        <v>3.9862535494705753E-8</v>
      </c>
      <c r="G18" s="1">
        <f>[1]Results!J1379</f>
        <v>5.0523141226221924E-8</v>
      </c>
      <c r="H18" s="1">
        <f>[1]Results!K1379</f>
        <v>6.0683502667302491E-8</v>
      </c>
      <c r="I18" s="1">
        <f>[1]Results!L1379</f>
        <v>5.886873211125021E-8</v>
      </c>
      <c r="J18" s="1">
        <f>[1]Results!M1379</f>
        <v>-1.0688081550857986</v>
      </c>
      <c r="K18" s="1">
        <f>[1]Results!N1379</f>
        <v>-2.6170701146649877</v>
      </c>
      <c r="L18" s="1">
        <f>[1]Results!O1379</f>
        <v>-4.1394732895288939</v>
      </c>
      <c r="M18" s="1">
        <f>[1]Results!P1379</f>
        <v>-5.7375441268674994</v>
      </c>
      <c r="N18" s="1">
        <f>[1]Results!Q1379</f>
        <v>-5.0561460018990196</v>
      </c>
      <c r="O18" s="1">
        <f>[1]Results!R1379</f>
        <v>-3.635379528917404</v>
      </c>
      <c r="P18" s="1">
        <f>[1]Results!S1379</f>
        <v>-2.3207378117167554</v>
      </c>
      <c r="Q18" s="1">
        <f>[1]Results!T1379</f>
        <v>-1.3582953039885104</v>
      </c>
      <c r="R18" s="1">
        <f>[1]Results!U1379</f>
        <v>-0.75133868046445285</v>
      </c>
      <c r="S18" s="1">
        <f>[1]Results!V1379</f>
        <v>-0.68487924824378599</v>
      </c>
      <c r="T18" s="1">
        <f>[1]Results!W1379</f>
        <v>-0.95155179190974382</v>
      </c>
      <c r="U18" s="1">
        <f>[1]Results!X1379</f>
        <v>-1.3291096990671325</v>
      </c>
      <c r="V18" s="1">
        <f>[1]Results!Y1379</f>
        <v>-1.6080396093431926</v>
      </c>
      <c r="W18" s="1">
        <f>[1]Results!Z1379</f>
        <v>-1.886004482738568</v>
      </c>
      <c r="X18" s="1">
        <f>[1]Results!AA1379</f>
        <v>-1.9279936124245944</v>
      </c>
      <c r="Y18" s="1">
        <f>[1]Results!AB1379</f>
        <v>-1.9472820810201852</v>
      </c>
      <c r="Z18" s="1">
        <f>[1]Results!AC1379</f>
        <v>-1.9990869075680484</v>
      </c>
      <c r="AA18" s="1">
        <f>[1]Results!AD1379</f>
        <v>-2.0776208774015981</v>
      </c>
      <c r="AB18" s="1">
        <f>[1]Results!AE1379</f>
        <v>-2.1792399537909457</v>
      </c>
      <c r="AC18" s="1">
        <f>[1]Results!AF1379</f>
        <v>-2.1983800984693658</v>
      </c>
      <c r="AD18" s="1">
        <f>[1]Results!AG1379</f>
        <v>-2.2700374519803668</v>
      </c>
      <c r="AE18" s="1">
        <f>[1]Results!AH1379</f>
        <v>-2.3988225046998268</v>
      </c>
      <c r="AF18" s="1">
        <f>[1]Results!AI1379</f>
        <v>-2.5533567204116037</v>
      </c>
      <c r="AG18" s="1">
        <f>[1]Results!AJ1379</f>
        <v>-2.7161209994759905</v>
      </c>
      <c r="AH18" s="1">
        <f>[1]Results!AK1379</f>
        <v>-2.8411698062431934</v>
      </c>
      <c r="AI18" s="1">
        <f>[1]Results!AL1379</f>
        <v>-3.004783876811512</v>
      </c>
      <c r="AJ18" s="1">
        <f>[1]Results!AM1379</f>
        <v>-3.2159971236315643</v>
      </c>
      <c r="AK18" s="1">
        <f>[1]Results!AN1379</f>
        <v>-3.4598205968221052</v>
      </c>
      <c r="AL18" s="1">
        <f>[1]Results!AO1379</f>
        <v>-3.7241392123855799</v>
      </c>
    </row>
    <row r="19" spans="1:38" x14ac:dyDescent="0.35">
      <c r="A19" s="3" t="str">
        <f>[1]Results!E1380</f>
        <v>100*(G_2/G_0-1)</v>
      </c>
      <c r="B19" t="str">
        <f>[1]Results!C1380</f>
        <v>Dépenses publiques</v>
      </c>
      <c r="C19" s="1">
        <f>[1]Results!F1380</f>
        <v>0</v>
      </c>
      <c r="D19" s="1">
        <f>[1]Results!G1380</f>
        <v>0</v>
      </c>
      <c r="E19" s="1">
        <f>[1]Results!H1380</f>
        <v>0</v>
      </c>
      <c r="F19" s="1">
        <f>[1]Results!I1380</f>
        <v>0</v>
      </c>
      <c r="G19" s="1">
        <f>[1]Results!J1380</f>
        <v>0</v>
      </c>
      <c r="H19" s="1">
        <f>[1]Results!K1380</f>
        <v>0</v>
      </c>
      <c r="I19" s="1">
        <f>[1]Results!L1380</f>
        <v>0</v>
      </c>
      <c r="J19" s="1">
        <f>[1]Results!M1380</f>
        <v>0</v>
      </c>
      <c r="K19" s="1">
        <f>[1]Results!N1380</f>
        <v>0</v>
      </c>
      <c r="L19" s="1">
        <f>[1]Results!O1380</f>
        <v>0</v>
      </c>
      <c r="M19" s="1">
        <f>[1]Results!P1380</f>
        <v>0</v>
      </c>
      <c r="N19" s="1">
        <f>[1]Results!Q1380</f>
        <v>0</v>
      </c>
      <c r="O19" s="1">
        <f>[1]Results!R1380</f>
        <v>0</v>
      </c>
      <c r="P19" s="1">
        <f>[1]Results!S1380</f>
        <v>0</v>
      </c>
      <c r="Q19" s="1">
        <f>[1]Results!T1380</f>
        <v>0</v>
      </c>
      <c r="R19" s="1">
        <f>[1]Results!U1380</f>
        <v>0</v>
      </c>
      <c r="S19" s="1">
        <f>[1]Results!V1380</f>
        <v>0</v>
      </c>
      <c r="T19" s="1">
        <f>[1]Results!W1380</f>
        <v>0</v>
      </c>
      <c r="U19" s="1">
        <f>[1]Results!X1380</f>
        <v>0</v>
      </c>
      <c r="V19" s="1">
        <f>[1]Results!Y1380</f>
        <v>0</v>
      </c>
      <c r="W19" s="1">
        <f>[1]Results!Z1380</f>
        <v>0</v>
      </c>
      <c r="X19" s="1">
        <f>[1]Results!AA1380</f>
        <v>0</v>
      </c>
      <c r="Y19" s="1">
        <f>[1]Results!AB1380</f>
        <v>0</v>
      </c>
      <c r="Z19" s="1">
        <f>[1]Results!AC1380</f>
        <v>0</v>
      </c>
      <c r="AA19" s="1">
        <f>[1]Results!AD1380</f>
        <v>0</v>
      </c>
      <c r="AB19" s="1">
        <f>[1]Results!AE1380</f>
        <v>0</v>
      </c>
      <c r="AC19" s="1">
        <f>[1]Results!AF1380</f>
        <v>0</v>
      </c>
      <c r="AD19" s="1">
        <f>[1]Results!AG1380</f>
        <v>0</v>
      </c>
      <c r="AE19" s="1">
        <f>[1]Results!AH1380</f>
        <v>0</v>
      </c>
      <c r="AF19" s="1">
        <f>[1]Results!AI1380</f>
        <v>0</v>
      </c>
      <c r="AG19" s="1">
        <f>[1]Results!AJ1380</f>
        <v>0</v>
      </c>
      <c r="AH19" s="1">
        <f>[1]Results!AK1380</f>
        <v>0</v>
      </c>
      <c r="AI19" s="1">
        <f>[1]Results!AL1380</f>
        <v>0</v>
      </c>
      <c r="AJ19" s="1">
        <f>[1]Results!AM1380</f>
        <v>0</v>
      </c>
      <c r="AK19" s="1">
        <f>[1]Results!AN1380</f>
        <v>0</v>
      </c>
      <c r="AL19" s="1">
        <f>[1]Results!AO1380</f>
        <v>0</v>
      </c>
    </row>
    <row r="20" spans="1:38" x14ac:dyDescent="0.35">
      <c r="A20" s="3" t="str">
        <f>[1]Results!E1381</f>
        <v>100*(I_2/I_0-1)</v>
      </c>
      <c r="B20" t="str">
        <f>[1]Results!C1381</f>
        <v>Investissement</v>
      </c>
      <c r="C20" s="1">
        <f>[1]Results!F1381</f>
        <v>0</v>
      </c>
      <c r="D20" s="1">
        <f>[1]Results!G1381</f>
        <v>0</v>
      </c>
      <c r="E20" s="1">
        <f>[1]Results!H1381</f>
        <v>0</v>
      </c>
      <c r="F20" s="1">
        <f>[1]Results!I1381</f>
        <v>1.9924750738198327E-8</v>
      </c>
      <c r="G20" s="1">
        <f>[1]Results!J1381</f>
        <v>1.9439982956725999E-8</v>
      </c>
      <c r="H20" s="1">
        <f>[1]Results!K1381</f>
        <v>1.8941448409748318E-8</v>
      </c>
      <c r="I20" s="1">
        <f>[1]Results!L1381</f>
        <v>1.8433010673390982E-8</v>
      </c>
      <c r="J20" s="1">
        <f>[1]Results!M1381</f>
        <v>-0.25640340811622364</v>
      </c>
      <c r="K20" s="1">
        <f>[1]Results!N1381</f>
        <v>-0.62713648420643642</v>
      </c>
      <c r="L20" s="1">
        <f>[1]Results!O1381</f>
        <v>-0.78183701344138878</v>
      </c>
      <c r="M20" s="1">
        <f>[1]Results!P1381</f>
        <v>-0.82290922921121057</v>
      </c>
      <c r="N20" s="1">
        <f>[1]Results!Q1381</f>
        <v>-0.76383873837161387</v>
      </c>
      <c r="O20" s="1">
        <f>[1]Results!R1381</f>
        <v>-0.65930940245846337</v>
      </c>
      <c r="P20" s="1">
        <f>[1]Results!S1381</f>
        <v>-0.53133810909873347</v>
      </c>
      <c r="Q20" s="1">
        <f>[1]Results!T1381</f>
        <v>-0.37580008988947755</v>
      </c>
      <c r="R20" s="1">
        <f>[1]Results!U1381</f>
        <v>-0.19160989761852765</v>
      </c>
      <c r="S20" s="1">
        <f>[1]Results!V1381</f>
        <v>-1.5278809258623127E-2</v>
      </c>
      <c r="T20" s="1">
        <f>[1]Results!W1381</f>
        <v>0.14943098529582866</v>
      </c>
      <c r="U20" s="1">
        <f>[1]Results!X1381</f>
        <v>0.30858687813564156</v>
      </c>
      <c r="V20" s="1">
        <f>[1]Results!Y1381</f>
        <v>0.47314034224870127</v>
      </c>
      <c r="W20" s="1">
        <f>[1]Results!Z1381</f>
        <v>0.64924194866804452</v>
      </c>
      <c r="X20" s="1">
        <f>[1]Results!AA1381</f>
        <v>0.84723514644542419</v>
      </c>
      <c r="Y20" s="1">
        <f>[1]Results!AB1381</f>
        <v>1.0662452509574871</v>
      </c>
      <c r="Z20" s="1">
        <f>[1]Results!AC1381</f>
        <v>1.3075791666376402</v>
      </c>
      <c r="AA20" s="1">
        <f>[1]Results!AD1381</f>
        <v>1.574091810721634</v>
      </c>
      <c r="AB20" s="1">
        <f>[1]Results!AE1381</f>
        <v>1.8679004926984266</v>
      </c>
      <c r="AC20" s="1">
        <f>[1]Results!AF1381</f>
        <v>2.1880018855701344</v>
      </c>
      <c r="AD20" s="1">
        <f>[1]Results!AG1381</f>
        <v>2.5180315811931031</v>
      </c>
      <c r="AE20" s="1">
        <f>[1]Results!AH1381</f>
        <v>2.8495041085941031</v>
      </c>
      <c r="AF20" s="1">
        <f>[1]Results!AI1381</f>
        <v>3.1788282021494974</v>
      </c>
      <c r="AG20" s="1">
        <f>[1]Results!AJ1381</f>
        <v>3.5046248103150379</v>
      </c>
      <c r="AH20" s="1">
        <f>[1]Results!AK1381</f>
        <v>3.8241880992752941</v>
      </c>
      <c r="AI20" s="1">
        <f>[1]Results!AL1381</f>
        <v>4.1313258005817532</v>
      </c>
      <c r="AJ20" s="1">
        <f>[1]Results!AM1381</f>
        <v>4.4224512469293042</v>
      </c>
      <c r="AK20" s="1">
        <f>[1]Results!AN1381</f>
        <v>4.695759465682614</v>
      </c>
      <c r="AL20" s="1">
        <f>[1]Results!AO1381</f>
        <v>4.950410868666455</v>
      </c>
    </row>
    <row r="21" spans="1:38" x14ac:dyDescent="0.35">
      <c r="A21" s="3" t="str">
        <f>[1]Results!E1382</f>
        <v>100*((I_2-IA_spub_2)/(I_0-IA_spub_0)-1)</v>
      </c>
      <c r="B21" t="str">
        <f>[1]Results!C1382</f>
        <v>Investissement entreprises</v>
      </c>
      <c r="C21" s="1">
        <f>[1]Results!F1382</f>
        <v>0</v>
      </c>
      <c r="D21" s="1">
        <f>[1]Results!G1382</f>
        <v>0</v>
      </c>
      <c r="E21" s="1">
        <f>[1]Results!H1382</f>
        <v>0</v>
      </c>
      <c r="F21" s="1">
        <f>[1]Results!I1382</f>
        <v>2.1703727703936693E-8</v>
      </c>
      <c r="G21" s="1">
        <f>[1]Results!J1382</f>
        <v>1.9041745957792955E-8</v>
      </c>
      <c r="H21" s="1">
        <f>[1]Results!K1382</f>
        <v>2.0595525285216354E-8</v>
      </c>
      <c r="I21" s="1">
        <f>[1]Results!L1382</f>
        <v>1.6017787096700431E-8</v>
      </c>
      <c r="J21" s="1">
        <f>[1]Results!M1382</f>
        <v>-0.2669133088415987</v>
      </c>
      <c r="K21" s="1">
        <f>[1]Results!N1382</f>
        <v>-0.65174588882487283</v>
      </c>
      <c r="L21" s="1">
        <f>[1]Results!O1382</f>
        <v>-0.80275803571641102</v>
      </c>
      <c r="M21" s="1">
        <f>[1]Results!P1382</f>
        <v>-0.83094030472419256</v>
      </c>
      <c r="N21" s="1">
        <f>[1]Results!Q1382</f>
        <v>-0.76016906958802366</v>
      </c>
      <c r="O21" s="1">
        <f>[1]Results!R1382</f>
        <v>-0.64656953551386342</v>
      </c>
      <c r="P21" s="1">
        <f>[1]Results!S1382</f>
        <v>-0.51180481317484317</v>
      </c>
      <c r="Q21" s="1">
        <f>[1]Results!T1382</f>
        <v>-0.35033907135032516</v>
      </c>
      <c r="R21" s="1">
        <f>[1]Results!U1382</f>
        <v>-0.16042957144591918</v>
      </c>
      <c r="S21" s="1">
        <f>[1]Results!V1382</f>
        <v>2.0456458135087452E-2</v>
      </c>
      <c r="T21" s="1">
        <f>[1]Results!W1382</f>
        <v>0.18885892457127795</v>
      </c>
      <c r="U21" s="1">
        <f>[1]Results!X1382</f>
        <v>0.35094175372756276</v>
      </c>
      <c r="V21" s="1">
        <f>[1]Results!Y1382</f>
        <v>0.51773322112895759</v>
      </c>
      <c r="W21" s="1">
        <f>[1]Results!Z1382</f>
        <v>0.69564016055434497</v>
      </c>
      <c r="X21" s="1">
        <f>[1]Results!AA1382</f>
        <v>0.89504876993113935</v>
      </c>
      <c r="Y21" s="1">
        <f>[1]Results!AB1382</f>
        <v>1.1155954787306133</v>
      </c>
      <c r="Z21" s="1">
        <f>[1]Results!AC1382</f>
        <v>1.3587965500794885</v>
      </c>
      <c r="AA21" s="1">
        <f>[1]Results!AD1382</f>
        <v>1.6276685580718597</v>
      </c>
      <c r="AB21" s="1">
        <f>[1]Results!AE1382</f>
        <v>1.9244851646628591</v>
      </c>
      <c r="AC21" s="1">
        <f>[1]Results!AF1382</f>
        <v>2.2487047783474434</v>
      </c>
      <c r="AD21" s="1">
        <f>[1]Results!AG1382</f>
        <v>2.5842484551083178</v>
      </c>
      <c r="AE21" s="1">
        <f>[1]Results!AH1382</f>
        <v>2.9223769853964354</v>
      </c>
      <c r="AF21" s="1">
        <f>[1]Results!AI1382</f>
        <v>3.2591726376542951</v>
      </c>
      <c r="AG21" s="1">
        <f>[1]Results!AJ1382</f>
        <v>3.5929978436454846</v>
      </c>
      <c r="AH21" s="1">
        <f>[1]Results!AK1382</f>
        <v>3.9209748490215857</v>
      </c>
      <c r="AI21" s="1">
        <f>[1]Results!AL1382</f>
        <v>4.2368992023782415</v>
      </c>
      <c r="AJ21" s="1">
        <f>[1]Results!AM1382</f>
        <v>4.5369827832659304</v>
      </c>
      <c r="AK21" s="1">
        <f>[1]Results!AN1382</f>
        <v>4.8191884580634392</v>
      </c>
      <c r="AL21" s="1">
        <f>[1]Results!AO1382</f>
        <v>5.0824725402289328</v>
      </c>
    </row>
    <row r="22" spans="1:38" x14ac:dyDescent="0.35">
      <c r="A22" s="3" t="str">
        <f>[1]Results!E1383</f>
        <v>100*(X_2/X_0-1)</v>
      </c>
      <c r="B22" t="s">
        <v>24</v>
      </c>
      <c r="C22" s="1">
        <f>[1]Results!F1383</f>
        <v>0</v>
      </c>
      <c r="D22" s="1">
        <f>[1]Results!G1383</f>
        <v>0</v>
      </c>
      <c r="E22" s="1">
        <f>[1]Results!H1383</f>
        <v>-1.4733503306274542E-8</v>
      </c>
      <c r="F22" s="1">
        <f>[1]Results!I1383</f>
        <v>-1.4230772116263779E-8</v>
      </c>
      <c r="G22" s="1">
        <f>[1]Results!J1383</f>
        <v>-1.3753909122726782E-8</v>
      </c>
      <c r="H22" s="1">
        <f>[1]Results!K1383</f>
        <v>-2.6598656610588023E-8</v>
      </c>
      <c r="I22" s="1">
        <f>[1]Results!L1383</f>
        <v>-3.8594949458570227E-8</v>
      </c>
      <c r="J22" s="1">
        <f>[1]Results!M1383</f>
        <v>-0.90175410291339908</v>
      </c>
      <c r="K22" s="1">
        <f>[1]Results!N1383</f>
        <v>-1.6219163140213877</v>
      </c>
      <c r="L22" s="1">
        <f>[1]Results!O1383</f>
        <v>-1.0916428675096901</v>
      </c>
      <c r="M22" s="1">
        <f>[1]Results!P1383</f>
        <v>-0.75368880336688093</v>
      </c>
      <c r="N22" s="1">
        <f>[1]Results!Q1383</f>
        <v>-0.66940327492821527</v>
      </c>
      <c r="O22" s="1">
        <f>[1]Results!R1383</f>
        <v>-0.84781525601780316</v>
      </c>
      <c r="P22" s="1">
        <f>[1]Results!S1383</f>
        <v>-1.1570259059755283</v>
      </c>
      <c r="Q22" s="1">
        <f>[1]Results!T1383</f>
        <v>-1.4626216598553676</v>
      </c>
      <c r="R22" s="1">
        <f>[1]Results!U1383</f>
        <v>-1.7437983942854118</v>
      </c>
      <c r="S22" s="1">
        <f>[1]Results!V1383</f>
        <v>-2.0948143671954411</v>
      </c>
      <c r="T22" s="1">
        <f>[1]Results!W1383</f>
        <v>-2.4451130517261999</v>
      </c>
      <c r="U22" s="1">
        <f>[1]Results!X1383</f>
        <v>-2.7861276736856233</v>
      </c>
      <c r="V22" s="1">
        <f>[1]Results!Y1383</f>
        <v>-3.1119515479819837</v>
      </c>
      <c r="W22" s="1">
        <f>[1]Results!Z1383</f>
        <v>-3.4178550333518021</v>
      </c>
      <c r="X22" s="1">
        <f>[1]Results!AA1383</f>
        <v>-3.6894745392572981</v>
      </c>
      <c r="Y22" s="1">
        <f>[1]Results!AB1383</f>
        <v>-3.919783047222436</v>
      </c>
      <c r="Z22" s="1">
        <f>[1]Results!AC1383</f>
        <v>-4.1100545611948425</v>
      </c>
      <c r="AA22" s="1">
        <f>[1]Results!AD1383</f>
        <v>-4.2622547686043344</v>
      </c>
      <c r="AB22" s="1">
        <f>[1]Results!AE1383</f>
        <v>-4.3779865487384111</v>
      </c>
      <c r="AC22" s="1">
        <f>[1]Results!AF1383</f>
        <v>-4.4330640356412427</v>
      </c>
      <c r="AD22" s="1">
        <f>[1]Results!AG1383</f>
        <v>-4.4282069635494086</v>
      </c>
      <c r="AE22" s="1">
        <f>[1]Results!AH1383</f>
        <v>-4.3752690828480878</v>
      </c>
      <c r="AF22" s="1">
        <f>[1]Results!AI1383</f>
        <v>-4.2866908667942845</v>
      </c>
      <c r="AG22" s="1">
        <f>[1]Results!AJ1383</f>
        <v>-4.1726111086295203</v>
      </c>
      <c r="AH22" s="1">
        <f>[1]Results!AK1383</f>
        <v>-4.0341969320676689</v>
      </c>
      <c r="AI22" s="1">
        <f>[1]Results!AL1383</f>
        <v>-3.8721061623522179</v>
      </c>
      <c r="AJ22" s="1">
        <f>[1]Results!AM1383</f>
        <v>-3.694829748321582</v>
      </c>
      <c r="AK22" s="1">
        <f>[1]Results!AN1383</f>
        <v>-3.5115902164053692</v>
      </c>
      <c r="AL22" s="1">
        <f>[1]Results!AO1383</f>
        <v>-3.3303952539819548</v>
      </c>
    </row>
    <row r="23" spans="1:38" x14ac:dyDescent="0.35">
      <c r="A23" s="3" t="str">
        <f>[1]Results!E1384</f>
        <v>100*(M_2/M_0-1)</v>
      </c>
      <c r="B23" t="s">
        <v>25</v>
      </c>
      <c r="C23" s="1">
        <f>[1]Results!F1384</f>
        <v>1.5268852848748793E-8</v>
      </c>
      <c r="D23" s="1">
        <f>[1]Results!G1384</f>
        <v>0</v>
      </c>
      <c r="E23" s="1">
        <f>[1]Results!H1384</f>
        <v>0</v>
      </c>
      <c r="F23" s="1">
        <f>[1]Results!I1384</f>
        <v>0</v>
      </c>
      <c r="G23" s="1">
        <f>[1]Results!J1384</f>
        <v>0</v>
      </c>
      <c r="H23" s="1">
        <f>[1]Results!K1384</f>
        <v>0</v>
      </c>
      <c r="I23" s="1">
        <f>[1]Results!L1384</f>
        <v>0</v>
      </c>
      <c r="J23" s="1">
        <f>[1]Results!M1384</f>
        <v>-0.49596794023940571</v>
      </c>
      <c r="K23" s="1">
        <f>[1]Results!N1384</f>
        <v>-1.1008116543748336</v>
      </c>
      <c r="L23" s="1">
        <f>[1]Results!O1384</f>
        <v>-1.2994995375707363</v>
      </c>
      <c r="M23" s="1">
        <f>[1]Results!P1384</f>
        <v>-1.4228648037349467</v>
      </c>
      <c r="N23" s="1">
        <f>[1]Results!Q1384</f>
        <v>-1.356315789076179</v>
      </c>
      <c r="O23" s="1">
        <f>[1]Results!R1384</f>
        <v>-1.1996593938425004</v>
      </c>
      <c r="P23" s="1">
        <f>[1]Results!S1384</f>
        <v>-0.99934169235385006</v>
      </c>
      <c r="Q23" s="1">
        <f>[1]Results!T1384</f>
        <v>-0.75740845235292564</v>
      </c>
      <c r="R23" s="1">
        <f>[1]Results!U1384</f>
        <v>-0.48654818098015085</v>
      </c>
      <c r="S23" s="1">
        <f>[1]Results!V1384</f>
        <v>-0.26401633352164389</v>
      </c>
      <c r="T23" s="1">
        <f>[1]Results!W1384</f>
        <v>-8.6103075332044643E-2</v>
      </c>
      <c r="U23" s="1">
        <f>[1]Results!X1384</f>
        <v>5.4524041516001986E-2</v>
      </c>
      <c r="V23" s="1">
        <f>[1]Results!Y1384</f>
        <v>0.16294777243150982</v>
      </c>
      <c r="W23" s="1">
        <f>[1]Results!Z1384</f>
        <v>0.2499921927150428</v>
      </c>
      <c r="X23" s="1">
        <f>[1]Results!AA1384</f>
        <v>0.32702868169953714</v>
      </c>
      <c r="Y23" s="1">
        <f>[1]Results!AB1384</f>
        <v>0.38252230804125542</v>
      </c>
      <c r="Z23" s="1">
        <f>[1]Results!AC1384</f>
        <v>0.41644098729367585</v>
      </c>
      <c r="AA23" s="1">
        <f>[1]Results!AD1384</f>
        <v>0.43312949377010135</v>
      </c>
      <c r="AB23" s="1">
        <f>[1]Results!AE1384</f>
        <v>0.43561700948810955</v>
      </c>
      <c r="AC23" s="1">
        <f>[1]Results!AF1384</f>
        <v>0.42425317571390675</v>
      </c>
      <c r="AD23" s="1">
        <f>[1]Results!AG1384</f>
        <v>0.38467904121537444</v>
      </c>
      <c r="AE23" s="1">
        <f>[1]Results!AH1384</f>
        <v>0.3210877674961754</v>
      </c>
      <c r="AF23" s="1">
        <f>[1]Results!AI1384</f>
        <v>0.24247439084492672</v>
      </c>
      <c r="AG23" s="1">
        <f>[1]Results!AJ1384</f>
        <v>0.15686766501905591</v>
      </c>
      <c r="AH23" s="1">
        <f>[1]Results!AK1384</f>
        <v>6.9245599212308662E-2</v>
      </c>
      <c r="AI23" s="1">
        <f>[1]Results!AL1384</f>
        <v>-2.2811268603062373E-2</v>
      </c>
      <c r="AJ23" s="1">
        <f>[1]Results!AM1384</f>
        <v>-0.11520756169892676</v>
      </c>
      <c r="AK23" s="1">
        <f>[1]Results!AN1384</f>
        <v>-0.20243067257583736</v>
      </c>
      <c r="AL23" s="1">
        <f>[1]Results!AO1384</f>
        <v>-0.27993522158710205</v>
      </c>
    </row>
    <row r="24" spans="1:38" x14ac:dyDescent="0.35">
      <c r="A24" s="3" t="str">
        <f>[1]Results!E1385</f>
        <v>100*((CH_2-CH_ccon_2)/(CH_0-CH_ccon_0)-1)</v>
      </c>
      <c r="B24" t="str">
        <f>[1]Results!C1385</f>
        <v>Consommation des ménages</v>
      </c>
      <c r="C24" s="1">
        <f>[1]Results!F1385</f>
        <v>0</v>
      </c>
      <c r="D24" s="1">
        <f>[1]Results!G1385</f>
        <v>0</v>
      </c>
      <c r="E24" s="1">
        <f>[1]Results!H1385</f>
        <v>0</v>
      </c>
      <c r="F24" s="1">
        <f>[1]Results!I1385</f>
        <v>0</v>
      </c>
      <c r="G24" s="1">
        <f>[1]Results!J1385</f>
        <v>0</v>
      </c>
      <c r="H24" s="1">
        <f>[1]Results!K1385</f>
        <v>0</v>
      </c>
      <c r="I24" s="1">
        <f>[1]Results!L1385</f>
        <v>-7.4541484096357635E-10</v>
      </c>
      <c r="J24" s="1">
        <f>[1]Results!M1385</f>
        <v>-0.1937169151562057</v>
      </c>
      <c r="K24" s="1">
        <f>[1]Results!N1385</f>
        <v>-0.47951743584235818</v>
      </c>
      <c r="L24" s="1">
        <f>[1]Results!O1385</f>
        <v>-0.64835486423402422</v>
      </c>
      <c r="M24" s="1">
        <f>[1]Results!P1385</f>
        <v>-0.63088585180628431</v>
      </c>
      <c r="N24" s="1">
        <f>[1]Results!Q1385</f>
        <v>-0.3898951180088206</v>
      </c>
      <c r="O24" s="1">
        <f>[1]Results!R1385</f>
        <v>6.8914281020848733E-3</v>
      </c>
      <c r="P24" s="1">
        <f>[1]Results!S1385</f>
        <v>0.47044452672673209</v>
      </c>
      <c r="Q24" s="1">
        <f>[1]Results!T1385</f>
        <v>0.94743899567351075</v>
      </c>
      <c r="R24" s="1">
        <f>[1]Results!U1385</f>
        <v>1.4123139490425762</v>
      </c>
      <c r="S24" s="1">
        <f>[1]Results!V1385</f>
        <v>1.8276402221094612</v>
      </c>
      <c r="T24" s="1">
        <f>[1]Results!W1385</f>
        <v>2.1769692248097661</v>
      </c>
      <c r="U24" s="1">
        <f>[1]Results!X1385</f>
        <v>2.4691190838343147</v>
      </c>
      <c r="V24" s="1">
        <f>[1]Results!Y1385</f>
        <v>2.7156576786378173</v>
      </c>
      <c r="W24" s="1">
        <f>[1]Results!Z1385</f>
        <v>2.917595844033416</v>
      </c>
      <c r="X24" s="1">
        <f>[1]Results!AA1385</f>
        <v>3.0745337032054731</v>
      </c>
      <c r="Y24" s="1">
        <f>[1]Results!AB1385</f>
        <v>3.1802206869990579</v>
      </c>
      <c r="Z24" s="1">
        <f>[1]Results!AC1385</f>
        <v>3.2392993986170016</v>
      </c>
      <c r="AA24" s="1">
        <f>[1]Results!AD1385</f>
        <v>3.2603278245946665</v>
      </c>
      <c r="AB24" s="1">
        <f>[1]Results!AE1385</f>
        <v>3.2514982271377946</v>
      </c>
      <c r="AC24" s="1">
        <f>[1]Results!AF1385</f>
        <v>3.1958490154836872</v>
      </c>
      <c r="AD24" s="1">
        <f>[1]Results!AG1385</f>
        <v>3.0856392615466355</v>
      </c>
      <c r="AE24" s="1">
        <f>[1]Results!AH1385</f>
        <v>2.9339859385670186</v>
      </c>
      <c r="AF24" s="1">
        <f>[1]Results!AI1385</f>
        <v>2.7583358295310223</v>
      </c>
      <c r="AG24" s="1">
        <f>[1]Results!AJ1385</f>
        <v>2.5729943390432997</v>
      </c>
      <c r="AH24" s="1">
        <f>[1]Results!AK1385</f>
        <v>2.3822272975062564</v>
      </c>
      <c r="AI24" s="1">
        <f>[1]Results!AL1385</f>
        <v>2.1858184494886856</v>
      </c>
      <c r="AJ24" s="1">
        <f>[1]Results!AM1385</f>
        <v>1.9924214555947284</v>
      </c>
      <c r="AK24" s="1">
        <f>[1]Results!AN1385</f>
        <v>1.8125603690404724</v>
      </c>
      <c r="AL24" s="1">
        <f>[1]Results!AO1385</f>
        <v>1.6546666344089633</v>
      </c>
    </row>
    <row r="25" spans="1:38" x14ac:dyDescent="0.35">
      <c r="A25" s="3" t="str">
        <f>[1]Results!E1386</f>
        <v>100*((I_2+CH_ccon_2)/(I_0+CH_ccon_0)-1)</v>
      </c>
      <c r="B25" t="str">
        <f>[1]Results!C1386</f>
        <v>Investissement</v>
      </c>
      <c r="C25" s="1">
        <f>[1]Results!F1386</f>
        <v>0</v>
      </c>
      <c r="D25" s="1">
        <f>[1]Results!G1386</f>
        <v>0</v>
      </c>
      <c r="E25" s="1">
        <f>[1]Results!H1386</f>
        <v>0</v>
      </c>
      <c r="F25" s="1">
        <f>[1]Results!I1386</f>
        <v>1.920554826284615E-8</v>
      </c>
      <c r="G25" s="1">
        <f>[1]Results!J1386</f>
        <v>1.8740564655672642E-8</v>
      </c>
      <c r="H25" s="1">
        <f>[1]Results!K1386</f>
        <v>1.826214734990117E-8</v>
      </c>
      <c r="I25" s="1">
        <f>[1]Results!L1386</f>
        <v>1.9551982255450184E-8</v>
      </c>
      <c r="J25" s="1">
        <f>[1]Results!M1386</f>
        <v>-0.25597667644873257</v>
      </c>
      <c r="K25" s="1">
        <f>[1]Results!N1386</f>
        <v>-0.6281940315545409</v>
      </c>
      <c r="L25" s="1">
        <f>[1]Results!O1386</f>
        <v>-0.79039180235905837</v>
      </c>
      <c r="M25" s="1">
        <f>[1]Results!P1386</f>
        <v>-0.83861842171056855</v>
      </c>
      <c r="N25" s="1">
        <f>[1]Results!Q1386</f>
        <v>-0.78241820812590124</v>
      </c>
      <c r="O25" s="1">
        <f>[1]Results!R1386</f>
        <v>-0.67343677774337474</v>
      </c>
      <c r="P25" s="1">
        <f>[1]Results!S1386</f>
        <v>-0.53604828194462328</v>
      </c>
      <c r="Q25" s="1">
        <f>[1]Results!T1386</f>
        <v>-0.36934853015444524</v>
      </c>
      <c r="R25" s="1">
        <f>[1]Results!U1386</f>
        <v>-0.17428631701104091</v>
      </c>
      <c r="S25" s="1">
        <f>[1]Results!V1386</f>
        <v>1.1834656453513226E-2</v>
      </c>
      <c r="T25" s="1">
        <f>[1]Results!W1386</f>
        <v>0.18407680924517056</v>
      </c>
      <c r="U25" s="1">
        <f>[1]Results!X1386</f>
        <v>0.34846938243842107</v>
      </c>
      <c r="V25" s="1">
        <f>[1]Results!Y1386</f>
        <v>0.51623352904965891</v>
      </c>
      <c r="W25" s="1">
        <f>[1]Results!Z1386</f>
        <v>0.69391962081035707</v>
      </c>
      <c r="X25" s="1">
        <f>[1]Results!AA1386</f>
        <v>0.89183198938924679</v>
      </c>
      <c r="Y25" s="1">
        <f>[1]Results!AB1386</f>
        <v>1.1091363408988419</v>
      </c>
      <c r="Z25" s="1">
        <f>[1]Results!AC1386</f>
        <v>1.3471012028949181</v>
      </c>
      <c r="AA25" s="1">
        <f>[1]Results!AD1386</f>
        <v>1.6086266785954706</v>
      </c>
      <c r="AB25" s="1">
        <f>[1]Results!AE1386</f>
        <v>1.8959294689240513</v>
      </c>
      <c r="AC25" s="1">
        <f>[1]Results!AF1386</f>
        <v>2.2074033004741755</v>
      </c>
      <c r="AD25" s="1">
        <f>[1]Results!AG1386</f>
        <v>2.5265719630847006</v>
      </c>
      <c r="AE25" s="1">
        <f>[1]Results!AH1386</f>
        <v>2.8453028372398936</v>
      </c>
      <c r="AF25" s="1">
        <f>[1]Results!AI1386</f>
        <v>3.1606387995654073</v>
      </c>
      <c r="AG25" s="1">
        <f>[1]Results!AJ1386</f>
        <v>3.4718218301876824</v>
      </c>
      <c r="AH25" s="1">
        <f>[1]Results!AK1386</f>
        <v>3.7765138531733244</v>
      </c>
      <c r="AI25" s="1">
        <f>[1]Results!AL1386</f>
        <v>4.0687438850900204</v>
      </c>
      <c r="AJ25" s="1">
        <f>[1]Results!AM1386</f>
        <v>4.3452735509775575</v>
      </c>
      <c r="AK25" s="1">
        <f>[1]Results!AN1386</f>
        <v>4.6047135253615146</v>
      </c>
      <c r="AL25" s="1">
        <f>[1]Results!AO1386</f>
        <v>4.8465961027749804</v>
      </c>
    </row>
    <row r="26" spans="1:38" x14ac:dyDescent="0.35">
      <c r="A26" s="3" t="str">
        <f>[1]Results!E1387</f>
        <v>100*((CH_ccon_2)/(CH_ccon_0)-1)</v>
      </c>
      <c r="B26" t="str">
        <f>[1]Results!C1387</f>
        <v>Investissement ménages</v>
      </c>
      <c r="C26" s="1">
        <f>[1]Results!F1387</f>
        <v>0</v>
      </c>
      <c r="D26" s="1">
        <f>[1]Results!G1387</f>
        <v>0</v>
      </c>
      <c r="E26" s="1">
        <f>[1]Results!H1387</f>
        <v>0</v>
      </c>
      <c r="F26" s="1">
        <f>[1]Results!I1387</f>
        <v>0</v>
      </c>
      <c r="G26" s="1">
        <f>[1]Results!J1387</f>
        <v>0</v>
      </c>
      <c r="H26" s="1">
        <f>[1]Results!K1387</f>
        <v>0</v>
      </c>
      <c r="I26" s="1">
        <f>[1]Results!L1387</f>
        <v>4.9757287179374998E-8</v>
      </c>
      <c r="J26" s="1">
        <f>[1]Results!M1387</f>
        <v>-0.24440087829409318</v>
      </c>
      <c r="K26" s="1">
        <f>[1]Results!N1387</f>
        <v>-0.65704688007800494</v>
      </c>
      <c r="L26" s="1">
        <f>[1]Results!O1387</f>
        <v>-1.0253167786448691</v>
      </c>
      <c r="M26" s="1">
        <f>[1]Results!P1387</f>
        <v>-1.2728917898018444</v>
      </c>
      <c r="N26" s="1">
        <f>[1]Results!Q1387</f>
        <v>-1.2992641538264404</v>
      </c>
      <c r="O26" s="1">
        <f>[1]Results!R1387</f>
        <v>-1.0687787778437818</v>
      </c>
      <c r="P26" s="1">
        <f>[1]Results!S1387</f>
        <v>-0.66865177907177165</v>
      </c>
      <c r="Q26" s="1">
        <f>[1]Results!T1387</f>
        <v>-0.18654710852432643</v>
      </c>
      <c r="R26" s="1">
        <f>[1]Results!U1387</f>
        <v>0.32009657028413407</v>
      </c>
      <c r="S26" s="1">
        <f>[1]Results!V1387</f>
        <v>0.79185839676580994</v>
      </c>
      <c r="T26" s="1">
        <f>[1]Results!W1387</f>
        <v>1.18978936015115</v>
      </c>
      <c r="U26" s="1">
        <f>[1]Results!X1387</f>
        <v>1.5177188142847076</v>
      </c>
      <c r="V26" s="1">
        <f>[1]Results!Y1387</f>
        <v>1.7933149674827398</v>
      </c>
      <c r="W26" s="1">
        <f>[1]Results!Z1387</f>
        <v>2.0337167250310317</v>
      </c>
      <c r="X26" s="1">
        <f>[1]Results!AA1387</f>
        <v>2.2459734431718559</v>
      </c>
      <c r="Y26" s="1">
        <f>[1]Results!AB1387</f>
        <v>2.4286601943078745</v>
      </c>
      <c r="Z26" s="1">
        <f>[1]Results!AC1387</f>
        <v>2.5797243953120885</v>
      </c>
      <c r="AA26" s="1">
        <f>[1]Results!AD1387</f>
        <v>2.7010764750363903</v>
      </c>
      <c r="AB26" s="1">
        <f>[1]Results!AE1387</f>
        <v>2.7960894151981996</v>
      </c>
      <c r="AC26" s="1">
        <f>[1]Results!AF1387</f>
        <v>2.8393389031803773</v>
      </c>
      <c r="AD26" s="1">
        <f>[1]Results!AG1387</f>
        <v>2.8083878540624108</v>
      </c>
      <c r="AE26" s="1">
        <f>[1]Results!AH1387</f>
        <v>2.7050027172650593</v>
      </c>
      <c r="AF26" s="1">
        <f>[1]Results!AI1387</f>
        <v>2.5465995303777023</v>
      </c>
      <c r="AG26" s="1">
        <f>[1]Results!AJ1387</f>
        <v>2.3537616320838728</v>
      </c>
      <c r="AH26" s="1">
        <f>[1]Results!AK1387</f>
        <v>2.1379075480835397</v>
      </c>
      <c r="AI26" s="1">
        <f>[1]Results!AL1387</f>
        <v>1.9021975571496208</v>
      </c>
      <c r="AJ26" s="1">
        <f>[1]Results!AM1387</f>
        <v>1.6569871706290096</v>
      </c>
      <c r="AK26" s="1">
        <f>[1]Results!AN1387</f>
        <v>1.4168220723498104</v>
      </c>
      <c r="AL26" s="1">
        <f>[1]Results!AO1387</f>
        <v>1.1955407784911776</v>
      </c>
    </row>
    <row r="27" spans="1:38" x14ac:dyDescent="0.35">
      <c r="A27" s="3" t="str">
        <f>[1]Results!E1388</f>
        <v>100*((IA_spub_2)/(IA_spub_0)-1)</v>
      </c>
      <c r="B27" t="str">
        <f>[1]Results!C1388</f>
        <v>Investissement public</v>
      </c>
      <c r="C27" s="1">
        <f>[1]Results!F1388</f>
        <v>0</v>
      </c>
      <c r="D27" s="1">
        <f>[1]Results!G1388</f>
        <v>0</v>
      </c>
      <c r="E27" s="1">
        <f>[1]Results!H1388</f>
        <v>0</v>
      </c>
      <c r="F27" s="1">
        <f>[1]Results!I1388</f>
        <v>0</v>
      </c>
      <c r="G27" s="1">
        <f>[1]Results!J1388</f>
        <v>2.3947732685769552E-8</v>
      </c>
      <c r="H27" s="1">
        <f>[1]Results!K1388</f>
        <v>0</v>
      </c>
      <c r="I27" s="1">
        <f>[1]Results!L1388</f>
        <v>4.6446624324403274E-8</v>
      </c>
      <c r="J27" s="1">
        <f>[1]Results!M1388</f>
        <v>-0.13281318349982474</v>
      </c>
      <c r="K27" s="1">
        <f>[1]Results!N1388</f>
        <v>-0.33350220848868961</v>
      </c>
      <c r="L27" s="1">
        <f>[1]Results!O1388</f>
        <v>-0.52838048404453275</v>
      </c>
      <c r="M27" s="1">
        <f>[1]Results!P1388</f>
        <v>-0.72409782407364398</v>
      </c>
      <c r="N27" s="1">
        <f>[1]Results!Q1388</f>
        <v>-0.80962558054425982</v>
      </c>
      <c r="O27" s="1">
        <f>[1]Results!R1388</f>
        <v>-0.82023488013368562</v>
      </c>
      <c r="P27" s="1">
        <f>[1]Results!S1388</f>
        <v>-0.78075993217922024</v>
      </c>
      <c r="Q27" s="1">
        <f>[1]Results!T1388</f>
        <v>-0.70408541049288287</v>
      </c>
      <c r="R27" s="1">
        <f>[1]Results!U1388</f>
        <v>-0.59727762832464393</v>
      </c>
      <c r="S27" s="1">
        <f>[1]Results!V1388</f>
        <v>-0.4842865125939344</v>
      </c>
      <c r="T27" s="1">
        <f>[1]Results!W1388</f>
        <v>-0.3726278901763358</v>
      </c>
      <c r="U27" s="1">
        <f>[1]Results!X1388</f>
        <v>-0.25743486231520896</v>
      </c>
      <c r="V27" s="1">
        <f>[1]Results!Y1388</f>
        <v>-0.12872649898236777</v>
      </c>
      <c r="W27" s="1">
        <f>[1]Results!Z1388</f>
        <v>1.6237458016199469E-2</v>
      </c>
      <c r="X27" s="1">
        <f>[1]Results!AA1388</f>
        <v>0.18718568375002409</v>
      </c>
      <c r="Y27" s="1">
        <f>[1]Results!AB1388</f>
        <v>0.37607681424522976</v>
      </c>
      <c r="Z27" s="1">
        <f>[1]Results!AC1388</f>
        <v>0.58097796636256138</v>
      </c>
      <c r="AA27" s="1">
        <f>[1]Results!AD1388</f>
        <v>0.80202255521699684</v>
      </c>
      <c r="AB27" s="1">
        <f>[1]Results!AE1388</f>
        <v>1.0385639623086362</v>
      </c>
      <c r="AC27" s="1">
        <f>[1]Results!AF1388</f>
        <v>1.2830453146887022</v>
      </c>
      <c r="AD27" s="1">
        <f>[1]Results!AG1388</f>
        <v>1.5138395390568604</v>
      </c>
      <c r="AE27" s="1">
        <f>[1]Results!AH1388</f>
        <v>1.7249922437061027</v>
      </c>
      <c r="AF27" s="1">
        <f>[1]Results!AI1388</f>
        <v>1.9169295036061795</v>
      </c>
      <c r="AG27" s="1">
        <f>[1]Results!AJ1388</f>
        <v>2.0917143748425904</v>
      </c>
      <c r="AH27" s="1">
        <f>[1]Results!AK1388</f>
        <v>2.2490918628101708</v>
      </c>
      <c r="AI27" s="1">
        <f>[1]Results!AL1388</f>
        <v>2.3829663681629309</v>
      </c>
      <c r="AJ27" s="1">
        <f>[1]Results!AM1388</f>
        <v>2.493145306535216</v>
      </c>
      <c r="AK27" s="1">
        <f>[1]Results!AN1388</f>
        <v>2.5820721444665073</v>
      </c>
      <c r="AL27" s="1">
        <f>[1]Results!AO1388</f>
        <v>2.6530237347371255</v>
      </c>
    </row>
    <row r="28" spans="1:38" x14ac:dyDescent="0.35">
      <c r="A28" s="3" t="str">
        <f>[1]Results!E1389</f>
        <v>100*(DISPINC_AT_VAL_2/DISPINC_AT_VAL_0-1)</v>
      </c>
      <c r="B28" t="str">
        <f>[1]Results!C1389</f>
        <v>Revenu disponible des ménages</v>
      </c>
      <c r="C28" s="1">
        <f>[1]Results!F1389</f>
        <v>0</v>
      </c>
      <c r="D28" s="1">
        <f>[1]Results!G1389</f>
        <v>0</v>
      </c>
      <c r="E28" s="1">
        <f>[1]Results!H1389</f>
        <v>0</v>
      </c>
      <c r="F28" s="1">
        <f>[1]Results!I1389</f>
        <v>6.5587579811676733E-8</v>
      </c>
      <c r="G28" s="1">
        <f>[1]Results!J1389</f>
        <v>6.2930749500367256E-8</v>
      </c>
      <c r="H28" s="1">
        <f>[1]Results!K1389</f>
        <v>1.2062519871847144E-7</v>
      </c>
      <c r="I28" s="1">
        <f>[1]Results!L1389</f>
        <v>1.1553697998323287E-7</v>
      </c>
      <c r="J28" s="1">
        <f>[1]Results!M1389</f>
        <v>0.13703263347266681</v>
      </c>
      <c r="K28" s="1">
        <f>[1]Results!N1389</f>
        <v>0.4290454140929878</v>
      </c>
      <c r="L28" s="1">
        <f>[1]Results!O1389</f>
        <v>1.2322059714643174</v>
      </c>
      <c r="M28" s="1">
        <f>[1]Results!P1389</f>
        <v>2.6117825476658529</v>
      </c>
      <c r="N28" s="1">
        <f>[1]Results!Q1389</f>
        <v>3.8349119463649828</v>
      </c>
      <c r="O28" s="1">
        <f>[1]Results!R1389</f>
        <v>5.1429866809922453</v>
      </c>
      <c r="P28" s="1">
        <f>[1]Results!S1389</f>
        <v>6.4525964790317802</v>
      </c>
      <c r="Q28" s="1">
        <f>[1]Results!T1389</f>
        <v>7.7320155573996407</v>
      </c>
      <c r="R28" s="1">
        <f>[1]Results!U1389</f>
        <v>8.9606846180828157</v>
      </c>
      <c r="S28" s="1">
        <f>[1]Results!V1389</f>
        <v>10.143957407180881</v>
      </c>
      <c r="T28" s="1">
        <f>[1]Results!W1389</f>
        <v>11.258335297945688</v>
      </c>
      <c r="U28" s="1">
        <f>[1]Results!X1389</f>
        <v>12.290675258170513</v>
      </c>
      <c r="V28" s="1">
        <f>[1]Results!Y1389</f>
        <v>13.212518415041608</v>
      </c>
      <c r="W28" s="1">
        <f>[1]Results!Z1389</f>
        <v>14.014395895058485</v>
      </c>
      <c r="X28" s="1">
        <f>[1]Results!AA1389</f>
        <v>14.626831619485525</v>
      </c>
      <c r="Y28" s="1">
        <f>[1]Results!AB1389</f>
        <v>15.082999359176895</v>
      </c>
      <c r="Z28" s="1">
        <f>[1]Results!AC1389</f>
        <v>15.381278533974395</v>
      </c>
      <c r="AA28" s="1">
        <f>[1]Results!AD1389</f>
        <v>15.523507029993123</v>
      </c>
      <c r="AB28" s="1">
        <f>[1]Results!AE1389</f>
        <v>15.515318971253755</v>
      </c>
      <c r="AC28" s="1">
        <f>[1]Results!AF1389</f>
        <v>15.325119464623583</v>
      </c>
      <c r="AD28" s="1">
        <f>[1]Results!AG1389</f>
        <v>15.027508920662026</v>
      </c>
      <c r="AE28" s="1">
        <f>[1]Results!AH1389</f>
        <v>14.651255160511599</v>
      </c>
      <c r="AF28" s="1">
        <f>[1]Results!AI1389</f>
        <v>14.221944981979595</v>
      </c>
      <c r="AG28" s="1">
        <f>[1]Results!AJ1389</f>
        <v>13.760555081940119</v>
      </c>
      <c r="AH28" s="1">
        <f>[1]Results!AK1389</f>
        <v>13.274116614129916</v>
      </c>
      <c r="AI28" s="1">
        <f>[1]Results!AL1389</f>
        <v>12.798276230285467</v>
      </c>
      <c r="AJ28" s="1">
        <f>[1]Results!AM1389</f>
        <v>12.355300299577765</v>
      </c>
      <c r="AK28" s="1">
        <f>[1]Results!AN1389</f>
        <v>11.963119562057599</v>
      </c>
      <c r="AL28" s="1">
        <f>[1]Results!AO1389</f>
        <v>11.634128557967593</v>
      </c>
    </row>
    <row r="29" spans="1:38" x14ac:dyDescent="0.35">
      <c r="A29" s="3" t="str">
        <f>[1]Results!E1390</f>
        <v>100*(DISPINC_AT_VAL_2/DISPINC_AT_VAL_0-1)-100*(PCH_2/PCH_0-1)</v>
      </c>
      <c r="B29" t="str">
        <f>[1]Results!C1390</f>
        <v>Revenu disponible réel des ménages</v>
      </c>
      <c r="C29" s="1">
        <f>[1]Results!F1390</f>
        <v>0</v>
      </c>
      <c r="D29" s="1">
        <f>[1]Results!G1390</f>
        <v>0</v>
      </c>
      <c r="E29" s="1">
        <f>[1]Results!H1390</f>
        <v>0</v>
      </c>
      <c r="F29" s="1">
        <f>[1]Results!I1390</f>
        <v>6.5587579811676733E-8</v>
      </c>
      <c r="G29" s="1">
        <f>[1]Results!J1390</f>
        <v>6.2930749500367256E-8</v>
      </c>
      <c r="H29" s="1">
        <f>[1]Results!K1390</f>
        <v>2.9917734956086406E-8</v>
      </c>
      <c r="I29" s="1">
        <f>[1]Results!L1390</f>
        <v>2.6608648617809649E-8</v>
      </c>
      <c r="J29" s="1">
        <f>[1]Results!M1390</f>
        <v>-0.28612845856759161</v>
      </c>
      <c r="K29" s="1">
        <f>[1]Results!N1390</f>
        <v>-0.59838635608331359</v>
      </c>
      <c r="L29" s="1">
        <f>[1]Results!O1390</f>
        <v>-0.69594095754430541</v>
      </c>
      <c r="M29" s="1">
        <f>[1]Results!P1390</f>
        <v>-0.597060430924512</v>
      </c>
      <c r="N29" s="1">
        <f>[1]Results!Q1390</f>
        <v>-0.26274553937661871</v>
      </c>
      <c r="O29" s="1">
        <f>[1]Results!R1390</f>
        <v>0.18641699799339939</v>
      </c>
      <c r="P29" s="1">
        <f>[1]Results!S1390</f>
        <v>0.66086533646778634</v>
      </c>
      <c r="Q29" s="1">
        <f>[1]Results!T1390</f>
        <v>1.1349524871903105</v>
      </c>
      <c r="R29" s="1">
        <f>[1]Results!U1390</f>
        <v>1.5999476277779099</v>
      </c>
      <c r="S29" s="1">
        <f>[1]Results!V1390</f>
        <v>2.0105800851027098</v>
      </c>
      <c r="T29" s="1">
        <f>[1]Results!W1390</f>
        <v>2.3589428032687394</v>
      </c>
      <c r="U29" s="1">
        <f>[1]Results!X1390</f>
        <v>2.6642883648142934</v>
      </c>
      <c r="V29" s="1">
        <f>[1]Results!Y1390</f>
        <v>2.9348064745323477</v>
      </c>
      <c r="W29" s="1">
        <f>[1]Results!Z1390</f>
        <v>3.162472835062168</v>
      </c>
      <c r="X29" s="1">
        <f>[1]Results!AA1390</f>
        <v>3.3410977279990419</v>
      </c>
      <c r="Y29" s="1">
        <f>[1]Results!AB1390</f>
        <v>3.460961361034709</v>
      </c>
      <c r="Z29" s="1">
        <f>[1]Results!AC1390</f>
        <v>3.5311179890830093</v>
      </c>
      <c r="AA29" s="1">
        <f>[1]Results!AD1390</f>
        <v>3.5609575859800735</v>
      </c>
      <c r="AB29" s="1">
        <f>[1]Results!AE1390</f>
        <v>3.5577824440415249</v>
      </c>
      <c r="AC29" s="1">
        <f>[1]Results!AF1390</f>
        <v>3.4883410592512654</v>
      </c>
      <c r="AD29" s="1">
        <f>[1]Results!AG1390</f>
        <v>3.3540245468327363</v>
      </c>
      <c r="AE29" s="1">
        <f>[1]Results!AH1390</f>
        <v>3.1806184648021532</v>
      </c>
      <c r="AF29" s="1">
        <f>[1]Results!AI1390</f>
        <v>2.9881877460781627</v>
      </c>
      <c r="AG29" s="1">
        <f>[1]Results!AJ1390</f>
        <v>2.7895944044015639</v>
      </c>
      <c r="AH29" s="1">
        <f>[1]Results!AK1390</f>
        <v>2.583857487626485</v>
      </c>
      <c r="AI29" s="1">
        <f>[1]Results!AL1390</f>
        <v>2.369854558370001</v>
      </c>
      <c r="AJ29" s="1">
        <f>[1]Results!AM1390</f>
        <v>2.1624944321172457</v>
      </c>
      <c r="AK29" s="1">
        <f>[1]Results!AN1390</f>
        <v>1.9737744297086302</v>
      </c>
      <c r="AL29" s="1">
        <f>[1]Results!AO1390</f>
        <v>1.8111889144070794</v>
      </c>
    </row>
    <row r="30" spans="1:38" x14ac:dyDescent="0.35">
      <c r="A30" s="3" t="str">
        <f>[1]Results!E1391</f>
        <v>100*(DISPINC_AT_VAL_2/DISPINC_AT_VAL_0-1)-100*((F_L_2/F_L_0)-1)</v>
      </c>
      <c r="B30" t="str">
        <f>[1]Results!C1391</f>
        <v>Revenu disponible par emploi en valeur</v>
      </c>
      <c r="C30" s="1">
        <f>[1]Results!F1391</f>
        <v>0</v>
      </c>
      <c r="D30" s="1">
        <f>[1]Results!G1391</f>
        <v>0</v>
      </c>
      <c r="E30" s="1">
        <f>[1]Results!H1391</f>
        <v>0</v>
      </c>
      <c r="F30" s="1">
        <f>[1]Results!I1391</f>
        <v>6.5587579811676733E-8</v>
      </c>
      <c r="G30" s="1">
        <f>[1]Results!J1391</f>
        <v>2.7506619204586968E-8</v>
      </c>
      <c r="H30" s="1">
        <f>[1]Results!K1391</f>
        <v>1.2062519871847144E-7</v>
      </c>
      <c r="I30" s="1">
        <f>[1]Results!L1391</f>
        <v>1.1553697998323287E-7</v>
      </c>
      <c r="J30" s="1">
        <f>[1]Results!M1391</f>
        <v>0.27298395979112877</v>
      </c>
      <c r="K30" s="1">
        <f>[1]Results!N1391</f>
        <v>0.76670537010539164</v>
      </c>
      <c r="L30" s="1">
        <f>[1]Results!O1391</f>
        <v>1.5842315946187568</v>
      </c>
      <c r="M30" s="1">
        <f>[1]Results!P1391</f>
        <v>2.8223773632014781</v>
      </c>
      <c r="N30" s="1">
        <f>[1]Results!Q1391</f>
        <v>3.8528066699001995</v>
      </c>
      <c r="O30" s="1">
        <f>[1]Results!R1391</f>
        <v>4.9791574142018957</v>
      </c>
      <c r="P30" s="1">
        <f>[1]Results!S1391</f>
        <v>6.1403140850078364</v>
      </c>
      <c r="Q30" s="1">
        <f>[1]Results!T1391</f>
        <v>7.2998692003467758</v>
      </c>
      <c r="R30" s="1">
        <f>[1]Results!U1391</f>
        <v>8.4309803170158588</v>
      </c>
      <c r="S30" s="1">
        <f>[1]Results!V1391</f>
        <v>9.548842441455573</v>
      </c>
      <c r="T30" s="1">
        <f>[1]Results!W1391</f>
        <v>10.628800124986505</v>
      </c>
      <c r="U30" s="1">
        <f>[1]Results!X1391</f>
        <v>11.653588928467927</v>
      </c>
      <c r="V30" s="1">
        <f>[1]Results!Y1391</f>
        <v>12.588790348741895</v>
      </c>
      <c r="W30" s="1">
        <f>[1]Results!Z1391</f>
        <v>13.420826513225981</v>
      </c>
      <c r="X30" s="1">
        <f>[1]Results!AA1391</f>
        <v>14.078719507267889</v>
      </c>
      <c r="Y30" s="1">
        <f>[1]Results!AB1391</f>
        <v>14.59020294837816</v>
      </c>
      <c r="Z30" s="1">
        <f>[1]Results!AC1391</f>
        <v>14.947837361440229</v>
      </c>
      <c r="AA30" s="1">
        <f>[1]Results!AD1391</f>
        <v>15.147684398886874</v>
      </c>
      <c r="AB30" s="1">
        <f>[1]Results!AE1391</f>
        <v>15.19031625142906</v>
      </c>
      <c r="AC30" s="1">
        <f>[1]Results!AF1391</f>
        <v>15.042385607949949</v>
      </c>
      <c r="AD30" s="1">
        <f>[1]Results!AG1391</f>
        <v>14.773492374590026</v>
      </c>
      <c r="AE30" s="1">
        <f>[1]Results!AH1391</f>
        <v>14.408839928173322</v>
      </c>
      <c r="AF30" s="1">
        <f>[1]Results!AI1391</f>
        <v>13.971617086987953</v>
      </c>
      <c r="AG30" s="1">
        <f>[1]Results!AJ1391</f>
        <v>13.481518985063602</v>
      </c>
      <c r="AH30" s="1">
        <f>[1]Results!AK1391</f>
        <v>12.946070538766396</v>
      </c>
      <c r="AI30" s="1">
        <f>[1]Results!AL1391</f>
        <v>12.401025261374322</v>
      </c>
      <c r="AJ30" s="1">
        <f>[1]Results!AM1391</f>
        <v>11.870032884724747</v>
      </c>
      <c r="AK30" s="1">
        <f>[1]Results!AN1391</f>
        <v>11.37341935478957</v>
      </c>
      <c r="AL30" s="1">
        <f>[1]Results!AO1391</f>
        <v>10.926622330969792</v>
      </c>
    </row>
    <row r="31" spans="1:38" x14ac:dyDescent="0.35">
      <c r="A31" s="3" t="str">
        <f>[1]Results!E1392</f>
        <v>100*(DISPINC_AT_VAL_2/DISPINC_AT_VAL_0-1)-100*((F_L_2/F_L_0)-1)-100*(PCH_2/PCH_0-1)</v>
      </c>
      <c r="B31" t="str">
        <f>[1]Results!C1392</f>
        <v>Revenu disponible réel par emploi</v>
      </c>
      <c r="C31" s="1">
        <f>[1]Results!F1392</f>
        <v>0</v>
      </c>
      <c r="D31" s="1">
        <f>[1]Results!G1392</f>
        <v>0</v>
      </c>
      <c r="E31" s="1">
        <f>[1]Results!H1392</f>
        <v>0</v>
      </c>
      <c r="F31" s="1">
        <f>[1]Results!I1392</f>
        <v>6.5587579811676733E-8</v>
      </c>
      <c r="G31" s="1">
        <f>[1]Results!J1392</f>
        <v>2.7506619204586968E-8</v>
      </c>
      <c r="H31" s="1">
        <f>[1]Results!K1392</f>
        <v>2.9917734956086406E-8</v>
      </c>
      <c r="I31" s="1">
        <f>[1]Results!L1392</f>
        <v>2.6608648617809649E-8</v>
      </c>
      <c r="J31" s="1">
        <f>[1]Results!M1392</f>
        <v>-0.15017713224912965</v>
      </c>
      <c r="K31" s="1">
        <f>[1]Results!N1392</f>
        <v>-0.26072640007090975</v>
      </c>
      <c r="L31" s="1">
        <f>[1]Results!O1392</f>
        <v>-0.34391533438986599</v>
      </c>
      <c r="M31" s="1">
        <f>[1]Results!P1392</f>
        <v>-0.3864656153888868</v>
      </c>
      <c r="N31" s="1">
        <f>[1]Results!Q1392</f>
        <v>-0.244850815841402</v>
      </c>
      <c r="O31" s="1">
        <f>[1]Results!R1392</f>
        <v>2.2587731203049799E-2</v>
      </c>
      <c r="P31" s="1">
        <f>[1]Results!S1392</f>
        <v>0.34858294244384247</v>
      </c>
      <c r="Q31" s="1">
        <f>[1]Results!T1392</f>
        <v>0.70280613013744553</v>
      </c>
      <c r="R31" s="1">
        <f>[1]Results!U1392</f>
        <v>1.070243326710953</v>
      </c>
      <c r="S31" s="1">
        <f>[1]Results!V1392</f>
        <v>1.4154651193774015</v>
      </c>
      <c r="T31" s="1">
        <f>[1]Results!W1392</f>
        <v>1.7294076303095558</v>
      </c>
      <c r="U31" s="1">
        <f>[1]Results!X1392</f>
        <v>2.0272020351117082</v>
      </c>
      <c r="V31" s="1">
        <f>[1]Results!Y1392</f>
        <v>2.3110784082326354</v>
      </c>
      <c r="W31" s="1">
        <f>[1]Results!Z1392</f>
        <v>2.5689034532296642</v>
      </c>
      <c r="X31" s="1">
        <f>[1]Results!AA1392</f>
        <v>2.7929856157814061</v>
      </c>
      <c r="Y31" s="1">
        <f>[1]Results!AB1392</f>
        <v>2.9681649502359733</v>
      </c>
      <c r="Z31" s="1">
        <f>[1]Results!AC1392</f>
        <v>3.0976768165488426</v>
      </c>
      <c r="AA31" s="1">
        <f>[1]Results!AD1392</f>
        <v>3.1851349548738241</v>
      </c>
      <c r="AB31" s="1">
        <f>[1]Results!AE1392</f>
        <v>3.2327797242168295</v>
      </c>
      <c r="AC31" s="1">
        <f>[1]Results!AF1392</f>
        <v>3.2056072025776317</v>
      </c>
      <c r="AD31" s="1">
        <f>[1]Results!AG1392</f>
        <v>3.1000080007607362</v>
      </c>
      <c r="AE31" s="1">
        <f>[1]Results!AH1392</f>
        <v>2.9382032324638754</v>
      </c>
      <c r="AF31" s="1">
        <f>[1]Results!AI1392</f>
        <v>2.7378598510865206</v>
      </c>
      <c r="AG31" s="1">
        <f>[1]Results!AJ1392</f>
        <v>2.5105583075250468</v>
      </c>
      <c r="AH31" s="1">
        <f>[1]Results!AK1392</f>
        <v>2.2558114122629647</v>
      </c>
      <c r="AI31" s="1">
        <f>[1]Results!AL1392</f>
        <v>1.9726035894588563</v>
      </c>
      <c r="AJ31" s="1">
        <f>[1]Results!AM1392</f>
        <v>1.6772270172642276</v>
      </c>
      <c r="AK31" s="1">
        <f>[1]Results!AN1392</f>
        <v>1.3840742224406011</v>
      </c>
      <c r="AL31" s="1">
        <f>[1]Results!AO1392</f>
        <v>1.1036826874092789</v>
      </c>
    </row>
    <row r="32" spans="1:38" x14ac:dyDescent="0.35">
      <c r="A32" s="3" t="str">
        <f>[1]Results!E1393</f>
        <v>100*(MPS_n_2-MPS_n_0)</v>
      </c>
      <c r="B32" t="str">
        <f>[1]Results!C1393</f>
        <v>Taux d'épargne</v>
      </c>
      <c r="C32" s="1">
        <f>[1]Results!F1393</f>
        <v>0</v>
      </c>
      <c r="D32" s="1">
        <f>[1]Results!G1393</f>
        <v>0</v>
      </c>
      <c r="E32" s="1">
        <f>[1]Results!H1393</f>
        <v>0</v>
      </c>
      <c r="F32" s="1">
        <f>[1]Results!I1393</f>
        <v>0</v>
      </c>
      <c r="G32" s="1">
        <f>[1]Results!J1393</f>
        <v>0</v>
      </c>
      <c r="H32" s="1">
        <f>[1]Results!K1393</f>
        <v>0</v>
      </c>
      <c r="I32" s="1">
        <f>[1]Results!L1393</f>
        <v>0</v>
      </c>
      <c r="J32" s="1">
        <f>[1]Results!M1393</f>
        <v>0</v>
      </c>
      <c r="K32" s="1">
        <f>[1]Results!N1393</f>
        <v>0</v>
      </c>
      <c r="L32" s="1">
        <f>[1]Results!O1393</f>
        <v>0</v>
      </c>
      <c r="M32" s="1">
        <f>[1]Results!P1393</f>
        <v>0</v>
      </c>
      <c r="N32" s="1">
        <f>[1]Results!Q1393</f>
        <v>0</v>
      </c>
      <c r="O32" s="1">
        <f>[1]Results!R1393</f>
        <v>0</v>
      </c>
      <c r="P32" s="1">
        <f>[1]Results!S1393</f>
        <v>0</v>
      </c>
      <c r="Q32" s="1">
        <f>[1]Results!T1393</f>
        <v>0</v>
      </c>
      <c r="R32" s="1">
        <f>[1]Results!U1393</f>
        <v>0</v>
      </c>
      <c r="S32" s="1">
        <f>[1]Results!V1393</f>
        <v>0</v>
      </c>
      <c r="T32" s="1">
        <f>[1]Results!W1393</f>
        <v>0</v>
      </c>
      <c r="U32" s="1">
        <f>[1]Results!X1393</f>
        <v>0</v>
      </c>
      <c r="V32" s="1">
        <f>[1]Results!Y1393</f>
        <v>0</v>
      </c>
      <c r="W32" s="1">
        <f>[1]Results!Z1393</f>
        <v>0</v>
      </c>
      <c r="X32" s="1">
        <f>[1]Results!AA1393</f>
        <v>0</v>
      </c>
      <c r="Y32" s="1">
        <f>[1]Results!AB1393</f>
        <v>0</v>
      </c>
      <c r="Z32" s="1">
        <f>[1]Results!AC1393</f>
        <v>0</v>
      </c>
      <c r="AA32" s="1">
        <f>[1]Results!AD1393</f>
        <v>0</v>
      </c>
      <c r="AB32" s="1">
        <f>[1]Results!AE1393</f>
        <v>0</v>
      </c>
      <c r="AC32" s="1">
        <f>[1]Results!AF1393</f>
        <v>0</v>
      </c>
      <c r="AD32" s="1">
        <f>[1]Results!AG1393</f>
        <v>0</v>
      </c>
      <c r="AE32" s="1">
        <f>[1]Results!AH1393</f>
        <v>0</v>
      </c>
      <c r="AF32" s="1">
        <f>[1]Results!AI1393</f>
        <v>0</v>
      </c>
      <c r="AG32" s="1">
        <f>[1]Results!AJ1393</f>
        <v>0</v>
      </c>
      <c r="AH32" s="1">
        <f>[1]Results!AK1393</f>
        <v>0</v>
      </c>
      <c r="AI32" s="1">
        <f>[1]Results!AL1393</f>
        <v>0</v>
      </c>
      <c r="AJ32" s="1">
        <f>[1]Results!AM1393</f>
        <v>0</v>
      </c>
      <c r="AK32" s="1">
        <f>[1]Results!AN1393</f>
        <v>0</v>
      </c>
      <c r="AL32" s="1">
        <f>[1]Results!AO1393</f>
        <v>0</v>
      </c>
    </row>
    <row r="33" spans="1:38" x14ac:dyDescent="0.35">
      <c r="A33" s="3" t="str">
        <f>[1]Results!E1394</f>
        <v>100*(PCH_2/PCH_0-1)</v>
      </c>
      <c r="B33" t="str">
        <f>[1]Results!C1394</f>
        <v>Prix à la consommation des ménages</v>
      </c>
      <c r="C33" s="1">
        <f>[1]Results!F1394</f>
        <v>0</v>
      </c>
      <c r="D33" s="1">
        <f>[1]Results!G1394</f>
        <v>0</v>
      </c>
      <c r="E33" s="1">
        <f>[1]Results!H1394</f>
        <v>0</v>
      </c>
      <c r="F33" s="1">
        <f>[1]Results!I1394</f>
        <v>6.5587579811676733E-8</v>
      </c>
      <c r="G33" s="1">
        <f>[1]Results!J1394</f>
        <v>6.2930749500367256E-8</v>
      </c>
      <c r="H33" s="1">
        <f>[1]Results!K1394</f>
        <v>2.9917734956086406E-8</v>
      </c>
      <c r="I33" s="1">
        <f>[1]Results!L1394</f>
        <v>2.6608648617809649E-8</v>
      </c>
      <c r="J33" s="1">
        <f>[1]Results!M1394</f>
        <v>-0.28612845856759161</v>
      </c>
      <c r="K33" s="1">
        <f>[1]Results!N1394</f>
        <v>-0.59838635608331359</v>
      </c>
      <c r="L33" s="1">
        <f>[1]Results!O1394</f>
        <v>-0.69594095754430541</v>
      </c>
      <c r="M33" s="1">
        <f>[1]Results!P1394</f>
        <v>-0.597060430924512</v>
      </c>
      <c r="N33" s="1">
        <f>[1]Results!Q1394</f>
        <v>-0.26274553937661871</v>
      </c>
      <c r="O33" s="1">
        <f>[1]Results!R1394</f>
        <v>0.18641699799339939</v>
      </c>
      <c r="P33" s="1">
        <f>[1]Results!S1394</f>
        <v>0.66086533646778634</v>
      </c>
      <c r="Q33" s="1">
        <f>[1]Results!T1394</f>
        <v>1.1349524871903105</v>
      </c>
      <c r="R33" s="1">
        <f>[1]Results!U1394</f>
        <v>1.5999476277779099</v>
      </c>
      <c r="S33" s="1">
        <f>[1]Results!V1394</f>
        <v>2.0105800851027098</v>
      </c>
      <c r="T33" s="1">
        <f>[1]Results!W1394</f>
        <v>2.3589428032687394</v>
      </c>
      <c r="U33" s="1">
        <f>[1]Results!X1394</f>
        <v>2.6642883648142934</v>
      </c>
      <c r="V33" s="1">
        <f>[1]Results!Y1394</f>
        <v>2.9348064745323477</v>
      </c>
      <c r="W33" s="1">
        <f>[1]Results!Z1394</f>
        <v>3.162472835062168</v>
      </c>
      <c r="X33" s="1">
        <f>[1]Results!AA1394</f>
        <v>3.3410977279990419</v>
      </c>
      <c r="Y33" s="1">
        <f>[1]Results!AB1394</f>
        <v>3.460961361034709</v>
      </c>
      <c r="Z33" s="1">
        <f>[1]Results!AC1394</f>
        <v>3.5311179890830093</v>
      </c>
      <c r="AA33" s="1">
        <f>[1]Results!AD1394</f>
        <v>3.5609575859800735</v>
      </c>
      <c r="AB33" s="1">
        <f>[1]Results!AE1394</f>
        <v>3.5577824440415249</v>
      </c>
      <c r="AC33" s="1">
        <f>[1]Results!AF1394</f>
        <v>3.4883410592512654</v>
      </c>
      <c r="AD33" s="1">
        <f>[1]Results!AG1394</f>
        <v>3.3540245468327363</v>
      </c>
      <c r="AE33" s="1">
        <f>[1]Results!AH1394</f>
        <v>3.1806184648021532</v>
      </c>
      <c r="AF33" s="1">
        <f>[1]Results!AI1394</f>
        <v>2.9881877460781627</v>
      </c>
      <c r="AG33" s="1">
        <f>[1]Results!AJ1394</f>
        <v>2.7895944044015639</v>
      </c>
      <c r="AH33" s="1">
        <f>[1]Results!AK1394</f>
        <v>2.583857487626485</v>
      </c>
      <c r="AI33" s="1">
        <f>[1]Results!AL1394</f>
        <v>2.369854558370001</v>
      </c>
      <c r="AJ33" s="1">
        <f>[1]Results!AM1394</f>
        <v>2.1624944321172457</v>
      </c>
      <c r="AK33" s="1">
        <f>[1]Results!AN1394</f>
        <v>1.9737744297086302</v>
      </c>
      <c r="AL33" s="1">
        <f>[1]Results!AO1394</f>
        <v>1.8111889144070794</v>
      </c>
    </row>
    <row r="34" spans="1:38" x14ac:dyDescent="0.35">
      <c r="A34" s="3" t="str">
        <f>[1]Results!E1395</f>
        <v>100*(PY_2/PY_0-1)</v>
      </c>
      <c r="B34" t="str">
        <f>[1]Results!C1395</f>
        <v>Prix à la production marchande</v>
      </c>
      <c r="C34" s="1">
        <f>[1]Results!F1395</f>
        <v>0</v>
      </c>
      <c r="D34" s="1">
        <f>[1]Results!G1395</f>
        <v>0</v>
      </c>
      <c r="E34" s="1">
        <f>[1]Results!H1395</f>
        <v>0</v>
      </c>
      <c r="F34" s="1">
        <f>[1]Results!I1395</f>
        <v>0</v>
      </c>
      <c r="G34" s="1">
        <f>[1]Results!J1395</f>
        <v>9.2325325162789795E-8</v>
      </c>
      <c r="H34" s="1">
        <f>[1]Results!K1395</f>
        <v>0</v>
      </c>
      <c r="I34" s="1">
        <f>[1]Results!L1395</f>
        <v>8.8482288163049816E-8</v>
      </c>
      <c r="J34" s="1">
        <f>[1]Results!M1395</f>
        <v>0.19860839572420907</v>
      </c>
      <c r="K34" s="1">
        <f>[1]Results!N1395</f>
        <v>0.5552951930255734</v>
      </c>
      <c r="L34" s="1">
        <f>[1]Results!O1395</f>
        <v>1.1662880307397483</v>
      </c>
      <c r="M34" s="1">
        <f>[1]Results!P1395</f>
        <v>2.1029109587989536</v>
      </c>
      <c r="N34" s="1">
        <f>[1]Results!Q1395</f>
        <v>3.0323626446978169</v>
      </c>
      <c r="O34" s="1">
        <f>[1]Results!R1395</f>
        <v>3.9523855287108667</v>
      </c>
      <c r="P34" s="1">
        <f>[1]Results!S1395</f>
        <v>4.857004569999912</v>
      </c>
      <c r="Q34" s="1">
        <f>[1]Results!T1395</f>
        <v>5.7362736485651933</v>
      </c>
      <c r="R34" s="1">
        <f>[1]Results!U1395</f>
        <v>6.5760420768065986</v>
      </c>
      <c r="S34" s="1">
        <f>[1]Results!V1395</f>
        <v>7.3925452640581923</v>
      </c>
      <c r="T34" s="1">
        <f>[1]Results!W1395</f>
        <v>8.1872667138868103</v>
      </c>
      <c r="U34" s="1">
        <f>[1]Results!X1395</f>
        <v>8.94206908119315</v>
      </c>
      <c r="V34" s="1">
        <f>[1]Results!Y1395</f>
        <v>9.6333932419068837</v>
      </c>
      <c r="W34" s="1">
        <f>[1]Results!Z1395</f>
        <v>10.24512260975996</v>
      </c>
      <c r="X34" s="1">
        <f>[1]Results!AA1395</f>
        <v>10.740915606134283</v>
      </c>
      <c r="Y34" s="1">
        <f>[1]Results!AB1395</f>
        <v>11.128588845433175</v>
      </c>
      <c r="Z34" s="1">
        <f>[1]Results!AC1395</f>
        <v>11.40477287082582</v>
      </c>
      <c r="AA34" s="1">
        <f>[1]Results!AD1395</f>
        <v>11.565070662895071</v>
      </c>
      <c r="AB34" s="1">
        <f>[1]Results!AE1395</f>
        <v>11.609583009500412</v>
      </c>
      <c r="AC34" s="1">
        <f>[1]Results!AF1395</f>
        <v>11.525272300836086</v>
      </c>
      <c r="AD34" s="1">
        <f>[1]Results!AG1395</f>
        <v>11.383675119198578</v>
      </c>
      <c r="AE34" s="1">
        <f>[1]Results!AH1395</f>
        <v>11.206409703271669</v>
      </c>
      <c r="AF34" s="1">
        <f>[1]Results!AI1395</f>
        <v>11.002933252895941</v>
      </c>
      <c r="AG34" s="1">
        <f>[1]Results!AJ1395</f>
        <v>10.781118748945495</v>
      </c>
      <c r="AH34" s="1">
        <f>[1]Results!AK1395</f>
        <v>10.549300459226597</v>
      </c>
      <c r="AI34" s="1">
        <f>[1]Results!AL1395</f>
        <v>10.332837476860135</v>
      </c>
      <c r="AJ34" s="1">
        <f>[1]Results!AM1395</f>
        <v>10.143704308302514</v>
      </c>
      <c r="AK34" s="1">
        <f>[1]Results!AN1395</f>
        <v>9.988199840141565</v>
      </c>
      <c r="AL34" s="1">
        <f>[1]Results!AO1395</f>
        <v>9.8702402975777694</v>
      </c>
    </row>
    <row r="35" spans="1:38" x14ac:dyDescent="0.35">
      <c r="A35" s="3" t="str">
        <f>[1]Results!E1396</f>
        <v>100*(PX_2/PX_0-1)</v>
      </c>
      <c r="B35" t="str">
        <f>[1]Results!C1396</f>
        <v>Prix des exportations</v>
      </c>
      <c r="C35" s="1">
        <f>[1]Results!F1396</f>
        <v>0</v>
      </c>
      <c r="D35" s="1">
        <f>[1]Results!G1396</f>
        <v>0</v>
      </c>
      <c r="E35" s="1">
        <f>[1]Results!H1396</f>
        <v>0</v>
      </c>
      <c r="F35" s="1">
        <f>[1]Results!I1396</f>
        <v>9.4307095466206192E-8</v>
      </c>
      <c r="G35" s="1">
        <f>[1]Results!J1396</f>
        <v>9.2471297286067511E-8</v>
      </c>
      <c r="H35" s="1">
        <f>[1]Results!K1396</f>
        <v>0</v>
      </c>
      <c r="I35" s="1">
        <f>[1]Results!L1396</f>
        <v>0</v>
      </c>
      <c r="J35" s="1">
        <f>[1]Results!M1396</f>
        <v>0.2946619206114276</v>
      </c>
      <c r="K35" s="1">
        <f>[1]Results!N1396</f>
        <v>0.77900510497190822</v>
      </c>
      <c r="L35" s="1">
        <f>[1]Results!O1396</f>
        <v>1.5600408687064915</v>
      </c>
      <c r="M35" s="1">
        <f>[1]Results!P1396</f>
        <v>2.6906269556396412</v>
      </c>
      <c r="N35" s="1">
        <f>[1]Results!Q1396</f>
        <v>3.7101528571957143</v>
      </c>
      <c r="O35" s="1">
        <f>[1]Results!R1396</f>
        <v>4.62012685828328</v>
      </c>
      <c r="P35" s="1">
        <f>[1]Results!S1396</f>
        <v>5.4449074315521928</v>
      </c>
      <c r="Q35" s="1">
        <f>[1]Results!T1396</f>
        <v>6.1992061335764737</v>
      </c>
      <c r="R35" s="1">
        <f>[1]Results!U1396</f>
        <v>6.8873022900404868</v>
      </c>
      <c r="S35" s="1">
        <f>[1]Results!V1396</f>
        <v>7.5539459304352574</v>
      </c>
      <c r="T35" s="1">
        <f>[1]Results!W1396</f>
        <v>8.2139786027568995</v>
      </c>
      <c r="U35" s="1">
        <f>[1]Results!X1396</f>
        <v>8.845962654414441</v>
      </c>
      <c r="V35" s="1">
        <f>[1]Results!Y1396</f>
        <v>9.4255273944942495</v>
      </c>
      <c r="W35" s="1">
        <f>[1]Results!Z1396</f>
        <v>9.9362603529553404</v>
      </c>
      <c r="X35" s="1">
        <f>[1]Results!AA1396</f>
        <v>10.340207647774836</v>
      </c>
      <c r="Y35" s="1">
        <f>[1]Results!AB1396</f>
        <v>10.64839149398118</v>
      </c>
      <c r="Z35" s="1">
        <f>[1]Results!AC1396</f>
        <v>10.854790539556735</v>
      </c>
      <c r="AA35" s="1">
        <f>[1]Results!AD1396</f>
        <v>10.953239999273157</v>
      </c>
      <c r="AB35" s="1">
        <f>[1]Results!AE1396</f>
        <v>10.942184977186198</v>
      </c>
      <c r="AC35" s="1">
        <f>[1]Results!AF1396</f>
        <v>10.836635869762024</v>
      </c>
      <c r="AD35" s="1">
        <f>[1]Results!AG1396</f>
        <v>10.696507872741767</v>
      </c>
      <c r="AE35" s="1">
        <f>[1]Results!AH1396</f>
        <v>10.530839580598395</v>
      </c>
      <c r="AF35" s="1">
        <f>[1]Results!AI1396</f>
        <v>10.343132252252364</v>
      </c>
      <c r="AG35" s="1">
        <f>[1]Results!AJ1396</f>
        <v>10.137769908661532</v>
      </c>
      <c r="AH35" s="1">
        <f>[1]Results!AK1396</f>
        <v>9.9239942263562355</v>
      </c>
      <c r="AI35" s="1">
        <f>[1]Results!AL1396</f>
        <v>9.7297598618682368</v>
      </c>
      <c r="AJ35" s="1">
        <f>[1]Results!AM1396</f>
        <v>9.5638575872660994</v>
      </c>
      <c r="AK35" s="1">
        <f>[1]Results!AN1396</f>
        <v>9.4305077239233981</v>
      </c>
      <c r="AL35" s="1">
        <f>[1]Results!AO1396</f>
        <v>9.3321912174533672</v>
      </c>
    </row>
    <row r="36" spans="1:38" x14ac:dyDescent="0.35">
      <c r="A36" s="3" t="str">
        <f>[1]Results!E1397</f>
        <v>100*(PM_2/PM_0-1)</v>
      </c>
      <c r="B36" t="str">
        <f>[1]Results!C1397</f>
        <v>Prix des importations</v>
      </c>
      <c r="C36" s="1">
        <f>[1]Results!F1397</f>
        <v>0</v>
      </c>
      <c r="D36" s="1">
        <f>[1]Results!G1397</f>
        <v>0</v>
      </c>
      <c r="E36" s="1">
        <f>[1]Results!H1397</f>
        <v>0</v>
      </c>
      <c r="F36" s="1">
        <f>[1]Results!I1397</f>
        <v>0</v>
      </c>
      <c r="G36" s="1">
        <f>[1]Results!J1397</f>
        <v>0</v>
      </c>
      <c r="H36" s="1">
        <f>[1]Results!K1397</f>
        <v>0</v>
      </c>
      <c r="I36" s="1">
        <f>[1]Results!L1397</f>
        <v>0</v>
      </c>
      <c r="J36" s="1">
        <f>[1]Results!M1397</f>
        <v>0.71344843952336756</v>
      </c>
      <c r="K36" s="1">
        <f>[1]Results!N1397</f>
        <v>1.4648480821435328</v>
      </c>
      <c r="L36" s="1">
        <f>[1]Results!O1397</f>
        <v>2.2941729668652711</v>
      </c>
      <c r="M36" s="1">
        <f>[1]Results!P1397</f>
        <v>3.1957764871642036</v>
      </c>
      <c r="N36" s="1">
        <f>[1]Results!Q1397</f>
        <v>3.8927634341754391</v>
      </c>
      <c r="O36" s="1">
        <f>[1]Results!R1397</f>
        <v>4.2593422445302176</v>
      </c>
      <c r="P36" s="1">
        <f>[1]Results!S1397</f>
        <v>4.434528080408251</v>
      </c>
      <c r="Q36" s="1">
        <f>[1]Results!T1397</f>
        <v>4.4807151884849405</v>
      </c>
      <c r="R36" s="1">
        <f>[1]Results!U1397</f>
        <v>4.4270005821031688</v>
      </c>
      <c r="S36" s="1">
        <f>[1]Results!V1397</f>
        <v>4.3919879177514831</v>
      </c>
      <c r="T36" s="1">
        <f>[1]Results!W1397</f>
        <v>4.4381309500574728</v>
      </c>
      <c r="U36" s="1">
        <f>[1]Results!X1397</f>
        <v>4.4824247311300303</v>
      </c>
      <c r="V36" s="1">
        <f>[1]Results!Y1397</f>
        <v>4.5009836167597683</v>
      </c>
      <c r="W36" s="1">
        <f>[1]Results!Z1397</f>
        <v>4.4857535727333309</v>
      </c>
      <c r="X36" s="1">
        <f>[1]Results!AA1397</f>
        <v>4.4587367146867063</v>
      </c>
      <c r="Y36" s="1">
        <f>[1]Results!AB1397</f>
        <v>4.427386449782067</v>
      </c>
      <c r="Z36" s="1">
        <f>[1]Results!AC1397</f>
        <v>4.3568106403170548</v>
      </c>
      <c r="AA36" s="1">
        <f>[1]Results!AD1397</f>
        <v>4.2337842221576327</v>
      </c>
      <c r="AB36" s="1">
        <f>[1]Results!AE1397</f>
        <v>4.0558485550397316</v>
      </c>
      <c r="AC36" s="1">
        <f>[1]Results!AF1397</f>
        <v>3.9543705973978271</v>
      </c>
      <c r="AD36" s="1">
        <f>[1]Results!AG1397</f>
        <v>3.96965332110506</v>
      </c>
      <c r="AE36" s="1">
        <f>[1]Results!AH1397</f>
        <v>4.0128824890566017</v>
      </c>
      <c r="AF36" s="1">
        <f>[1]Results!AI1397</f>
        <v>4.0564706957678887</v>
      </c>
      <c r="AG36" s="1">
        <f>[1]Results!AJ1397</f>
        <v>4.0938783032535841</v>
      </c>
      <c r="AH36" s="1">
        <f>[1]Results!AK1397</f>
        <v>4.1621628762854579</v>
      </c>
      <c r="AI36" s="1">
        <f>[1]Results!AL1397</f>
        <v>4.2917354833722721</v>
      </c>
      <c r="AJ36" s="1">
        <f>[1]Results!AM1397</f>
        <v>4.4497815404732854</v>
      </c>
      <c r="AK36" s="1">
        <f>[1]Results!AN1397</f>
        <v>4.6213658659971957</v>
      </c>
      <c r="AL36" s="1">
        <f>[1]Results!AO1397</f>
        <v>4.7996960741083727</v>
      </c>
    </row>
    <row r="37" spans="1:38" x14ac:dyDescent="0.35">
      <c r="A37" s="3" t="str">
        <f>[1]Results!E1398</f>
        <v>100*(W_2/W_0-1)</v>
      </c>
      <c r="B37" t="str">
        <f>[1]Results!C1398</f>
        <v>Salaire net nominal (hors cotisations employeurs et employés, unitaire)</v>
      </c>
      <c r="C37" s="1">
        <f>[1]Results!F1398</f>
        <v>0</v>
      </c>
      <c r="D37" s="1">
        <f>[1]Results!G1398</f>
        <v>2.3540858151704924E-8</v>
      </c>
      <c r="E37" s="1">
        <f>[1]Results!H1398</f>
        <v>0</v>
      </c>
      <c r="F37" s="1">
        <f>[1]Results!I1398</f>
        <v>2.2119284182053889E-8</v>
      </c>
      <c r="G37" s="1">
        <f>[1]Results!J1398</f>
        <v>2.1419821472079548E-8</v>
      </c>
      <c r="H37" s="1">
        <f>[1]Results!K1398</f>
        <v>4.1466852174210089E-8</v>
      </c>
      <c r="I37" s="1">
        <f>[1]Results!L1398</f>
        <v>6.0165428195091408E-8</v>
      </c>
      <c r="J37" s="1">
        <f>[1]Results!M1398</f>
        <v>-2.7660801595874585E-2</v>
      </c>
      <c r="K37" s="1">
        <f>[1]Results!N1398</f>
        <v>3.5982458436678577E-2</v>
      </c>
      <c r="L37" s="1">
        <f>[1]Results!O1398</f>
        <v>0.28869200594510147</v>
      </c>
      <c r="M37" s="1">
        <f>[1]Results!P1398</f>
        <v>0.79889769335534933</v>
      </c>
      <c r="N37" s="1">
        <f>[1]Results!Q1398</f>
        <v>1.6230237036425121</v>
      </c>
      <c r="O37" s="1">
        <f>[1]Results!R1398</f>
        <v>2.5842596358949255</v>
      </c>
      <c r="P37" s="1">
        <f>[1]Results!S1398</f>
        <v>3.5968581195698679</v>
      </c>
      <c r="Q37" s="1">
        <f>[1]Results!T1398</f>
        <v>4.617768718707449</v>
      </c>
      <c r="R37" s="1">
        <f>[1]Results!U1398</f>
        <v>5.6216751166838996</v>
      </c>
      <c r="S37" s="1">
        <f>[1]Results!V1398</f>
        <v>6.5865021304897686</v>
      </c>
      <c r="T37" s="1">
        <f>[1]Results!W1398</f>
        <v>7.5125468945282936</v>
      </c>
      <c r="U37" s="1">
        <f>[1]Results!X1398</f>
        <v>8.4019373991202748</v>
      </c>
      <c r="V37" s="1">
        <f>[1]Results!Y1398</f>
        <v>9.2496943344507301</v>
      </c>
      <c r="W37" s="1">
        <f>[1]Results!Z1398</f>
        <v>10.039534060303668</v>
      </c>
      <c r="X37" s="1">
        <f>[1]Results!AA1398</f>
        <v>10.757001784543551</v>
      </c>
      <c r="Y37" s="1">
        <f>[1]Results!AB1398</f>
        <v>11.375073669513892</v>
      </c>
      <c r="Z37" s="1">
        <f>[1]Results!AC1398</f>
        <v>11.883374751385123</v>
      </c>
      <c r="AA37" s="1">
        <f>[1]Results!AD1398</f>
        <v>12.27568077936616</v>
      </c>
      <c r="AB37" s="1">
        <f>[1]Results!AE1398</f>
        <v>12.547228257925337</v>
      </c>
      <c r="AC37" s="1">
        <f>[1]Results!AF1398</f>
        <v>12.695049497119104</v>
      </c>
      <c r="AD37" s="1">
        <f>[1]Results!AG1398</f>
        <v>12.719220909085527</v>
      </c>
      <c r="AE37" s="1">
        <f>[1]Results!AH1398</f>
        <v>12.641836001301442</v>
      </c>
      <c r="AF37" s="1">
        <f>[1]Results!AI1398</f>
        <v>12.485733817171418</v>
      </c>
      <c r="AG37" s="1">
        <f>[1]Results!AJ1398</f>
        <v>12.270407536663196</v>
      </c>
      <c r="AH37" s="1">
        <f>[1]Results!AK1398</f>
        <v>12.012411135676482</v>
      </c>
      <c r="AI37" s="1">
        <f>[1]Results!AL1398</f>
        <v>11.726147517467368</v>
      </c>
      <c r="AJ37" s="1">
        <f>[1]Results!AM1398</f>
        <v>11.432057184505862</v>
      </c>
      <c r="AK37" s="1">
        <f>[1]Results!AN1398</f>
        <v>11.148395141331902</v>
      </c>
      <c r="AL37" s="1">
        <f>[1]Results!AO1398</f>
        <v>10.889527841163705</v>
      </c>
    </row>
    <row r="38" spans="1:38" x14ac:dyDescent="0.35">
      <c r="A38" s="3" t="str">
        <f>[1]Results!E1399</f>
        <v>100*((W_2/PCH_2)/(W_0/PCH_0)-1)</v>
      </c>
      <c r="B38" t="str">
        <f>[1]Results!C1399</f>
        <v>Salaire net réel (hors cotisations employeurs et employés, unitaire)</v>
      </c>
      <c r="C38" s="1">
        <f>[1]Results!F1399</f>
        <v>0</v>
      </c>
      <c r="D38" s="1">
        <f>[1]Results!G1399</f>
        <v>2.3540858151704924E-8</v>
      </c>
      <c r="E38" s="1">
        <f>[1]Results!H1399</f>
        <v>0</v>
      </c>
      <c r="F38" s="1">
        <f>[1]Results!I1399</f>
        <v>2.2119284182053889E-8</v>
      </c>
      <c r="G38" s="1">
        <f>[1]Results!J1399</f>
        <v>2.141984367654004E-8</v>
      </c>
      <c r="H38" s="1">
        <f>[1]Results!K1399</f>
        <v>-4.9240622690405189E-8</v>
      </c>
      <c r="I38" s="1">
        <f>[1]Results!L1399</f>
        <v>-2.8762903170331811E-8</v>
      </c>
      <c r="J38" s="1">
        <f>[1]Results!M1399</f>
        <v>-0.44892222942768401</v>
      </c>
      <c r="K38" s="1">
        <f>[1]Results!N1399</f>
        <v>-0.98136644114148464</v>
      </c>
      <c r="L38" s="1">
        <f>[1]Results!O1399</f>
        <v>-1.6084418018561419</v>
      </c>
      <c r="M38" s="1">
        <f>[1]Results!P1399</f>
        <v>-2.3350182171259504</v>
      </c>
      <c r="N38" s="1">
        <f>[1]Results!Q1399</f>
        <v>-2.3772233130587184</v>
      </c>
      <c r="O38" s="1">
        <f>[1]Results!R1399</f>
        <v>-2.2602778027797865</v>
      </c>
      <c r="P38" s="1">
        <f>[1]Results!S1399</f>
        <v>-2.0747113212812085</v>
      </c>
      <c r="Q38" s="1">
        <f>[1]Results!T1399</f>
        <v>-1.856800079190013</v>
      </c>
      <c r="R38" s="1">
        <f>[1]Results!U1399</f>
        <v>-1.619830416941026</v>
      </c>
      <c r="S38" s="1">
        <f>[1]Results!V1399</f>
        <v>-1.4305251809355601</v>
      </c>
      <c r="T38" s="1">
        <f>[1]Results!W1399</f>
        <v>-1.2735108694168606</v>
      </c>
      <c r="U38" s="1">
        <f>[1]Results!X1399</f>
        <v>-1.1169295357942421</v>
      </c>
      <c r="V38" s="1">
        <f>[1]Results!Y1399</f>
        <v>-0.93220795750015295</v>
      </c>
      <c r="W38" s="1">
        <f>[1]Results!Z1399</f>
        <v>-0.73285963587023106</v>
      </c>
      <c r="X38" s="1">
        <f>[1]Results!AA1399</f>
        <v>-0.47511220751664807</v>
      </c>
      <c r="Y38" s="1">
        <f>[1]Results!AB1399</f>
        <v>-0.22125051025533304</v>
      </c>
      <c r="Z38" s="1">
        <f>[1]Results!AC1399</f>
        <v>2.9695269396068369E-2</v>
      </c>
      <c r="AA38" s="1">
        <f>[1]Results!AD1399</f>
        <v>0.27967506716135571</v>
      </c>
      <c r="AB38" s="1">
        <f>[1]Results!AE1399</f>
        <v>0.52671016977028362</v>
      </c>
      <c r="AC38" s="1">
        <f>[1]Results!AF1399</f>
        <v>0.76743188062504686</v>
      </c>
      <c r="AD38" s="1">
        <f>[1]Results!AG1399</f>
        <v>0.93642330685734798</v>
      </c>
      <c r="AE38" s="1">
        <f>[1]Results!AH1399</f>
        <v>1.0506796590649348</v>
      </c>
      <c r="AF38" s="1">
        <f>[1]Results!AI1399</f>
        <v>1.1255365388897598</v>
      </c>
      <c r="AG38" s="1">
        <f>[1]Results!AJ1399</f>
        <v>1.1709791923858237</v>
      </c>
      <c r="AH38" s="1">
        <f>[1]Results!AK1399</f>
        <v>1.1944610299104985</v>
      </c>
      <c r="AI38" s="1">
        <f>[1]Results!AL1399</f>
        <v>1.1751737694915665</v>
      </c>
      <c r="AJ38" s="1">
        <f>[1]Results!AM1399</f>
        <v>1.1246208927068624</v>
      </c>
      <c r="AK38" s="1">
        <f>[1]Results!AN1399</f>
        <v>1.0537838984205683</v>
      </c>
      <c r="AL38" s="1">
        <f>[1]Results!AO1399</f>
        <v>0.97118889829836963</v>
      </c>
    </row>
    <row r="39" spans="1:38" x14ac:dyDescent="0.35">
      <c r="A39" s="3" t="str">
        <f>[1]Results!E1400</f>
        <v>100*(C_L_2/C_L_0-1)</v>
      </c>
      <c r="B39" t="str">
        <f>[1]Results!C1400</f>
        <v>Coût du travail nominal (yc. Cotisations employeurs et employés, unitaire)</v>
      </c>
      <c r="C39" s="1">
        <f>[1]Results!F1400</f>
        <v>0</v>
      </c>
      <c r="D39" s="1">
        <f>[1]Results!G1400</f>
        <v>0</v>
      </c>
      <c r="E39" s="1">
        <f>[1]Results!H1400</f>
        <v>0</v>
      </c>
      <c r="F39" s="1">
        <f>[1]Results!I1400</f>
        <v>1.7367796090184129E-8</v>
      </c>
      <c r="G39" s="1">
        <f>[1]Results!J1400</f>
        <v>3.3637204133185605E-8</v>
      </c>
      <c r="H39" s="1">
        <f>[1]Results!K1400</f>
        <v>4.8838932897865561E-8</v>
      </c>
      <c r="I39" s="1">
        <f>[1]Results!L1400</f>
        <v>6.2988236848582346E-8</v>
      </c>
      <c r="J39" s="1">
        <f>[1]Results!M1400</f>
        <v>-2.7660802548723495E-2</v>
      </c>
      <c r="K39" s="1">
        <f>[1]Results!N1400</f>
        <v>3.5982472358342399E-2</v>
      </c>
      <c r="L39" s="1">
        <f>[1]Results!O1400</f>
        <v>0.28869199627348241</v>
      </c>
      <c r="M39" s="1">
        <f>[1]Results!P1400</f>
        <v>0.79889768392593652</v>
      </c>
      <c r="N39" s="1">
        <f>[1]Results!Q1400</f>
        <v>1.6230237194039931</v>
      </c>
      <c r="O39" s="1">
        <f>[1]Results!R1400</f>
        <v>2.5842596507348548</v>
      </c>
      <c r="P39" s="1">
        <f>[1]Results!S1400</f>
        <v>3.5968581362517682</v>
      </c>
      <c r="Q39" s="1">
        <f>[1]Results!T1400</f>
        <v>4.6177687177283211</v>
      </c>
      <c r="R39" s="1">
        <f>[1]Results!U1400</f>
        <v>5.6216751263284293</v>
      </c>
      <c r="S39" s="1">
        <f>[1]Results!V1400</f>
        <v>6.5865021208027619</v>
      </c>
      <c r="T39" s="1">
        <f>[1]Results!W1400</f>
        <v>7.5125468975397736</v>
      </c>
      <c r="U39" s="1">
        <f>[1]Results!X1400</f>
        <v>8.401937402553461</v>
      </c>
      <c r="V39" s="1">
        <f>[1]Results!Y1400</f>
        <v>9.2496943308625568</v>
      </c>
      <c r="W39" s="1">
        <f>[1]Results!Z1400</f>
        <v>10.039534093430479</v>
      </c>
      <c r="X39" s="1">
        <f>[1]Results!AA1400</f>
        <v>10.757001742823991</v>
      </c>
      <c r="Y39" s="1">
        <f>[1]Results!AB1400</f>
        <v>11.375073608872155</v>
      </c>
      <c r="Z39" s="1">
        <f>[1]Results!AC1400</f>
        <v>11.883374781527722</v>
      </c>
      <c r="AA39" s="1">
        <f>[1]Results!AD1400</f>
        <v>12.275680800624599</v>
      </c>
      <c r="AB39" s="1">
        <f>[1]Results!AE1400</f>
        <v>12.547228255770261</v>
      </c>
      <c r="AC39" s="1">
        <f>[1]Results!AF1400</f>
        <v>12.695049485151921</v>
      </c>
      <c r="AD39" s="1">
        <f>[1]Results!AG1400</f>
        <v>12.719220937404764</v>
      </c>
      <c r="AE39" s="1">
        <f>[1]Results!AH1400</f>
        <v>12.641836013629447</v>
      </c>
      <c r="AF39" s="1">
        <f>[1]Results!AI1400</f>
        <v>12.485733889562734</v>
      </c>
      <c r="AG39" s="1">
        <f>[1]Results!AJ1400</f>
        <v>12.27040762083087</v>
      </c>
      <c r="AH39" s="1">
        <f>[1]Results!AK1400</f>
        <v>12.012411151514613</v>
      </c>
      <c r="AI39" s="1">
        <f>[1]Results!AL1400</f>
        <v>11.726147552285493</v>
      </c>
      <c r="AJ39" s="1">
        <f>[1]Results!AM1400</f>
        <v>11.432057192253087</v>
      </c>
      <c r="AK39" s="1">
        <f>[1]Results!AN1400</f>
        <v>11.148395229814124</v>
      </c>
      <c r="AL39" s="1">
        <f>[1]Results!AO1400</f>
        <v>10.889527870888482</v>
      </c>
    </row>
    <row r="40" spans="1:38" x14ac:dyDescent="0.35">
      <c r="A40" s="3" t="str">
        <f>[1]Results!E1401</f>
        <v>100*((C_L_2/PVA_2)/(C_L_0/PVA_0)-1)</v>
      </c>
      <c r="B40" t="str">
        <f>[1]Results!C1401</f>
        <v>Coût réel du travail (yc. Cotisations employeurs et employés, unitaire)</v>
      </c>
      <c r="C40" s="1">
        <f>[1]Results!F1401</f>
        <v>0</v>
      </c>
      <c r="D40" s="1">
        <f>[1]Results!G1401</f>
        <v>0</v>
      </c>
      <c r="E40" s="1">
        <f>[1]Results!H1401</f>
        <v>0</v>
      </c>
      <c r="F40" s="1">
        <f>[1]Results!I1401</f>
        <v>-7.6917916480567783E-8</v>
      </c>
      <c r="G40" s="1">
        <f>[1]Results!J1401</f>
        <v>3.3637204133185605E-8</v>
      </c>
      <c r="H40" s="1">
        <f>[1]Results!K1401</f>
        <v>-4.1314485166310533E-8</v>
      </c>
      <c r="I40" s="1">
        <f>[1]Results!L1401</f>
        <v>6.2988259053042839E-8</v>
      </c>
      <c r="J40" s="1">
        <f>[1]Results!M1401</f>
        <v>4.5599929094608527E-2</v>
      </c>
      <c r="K40" s="1">
        <f>[1]Results!N1401</f>
        <v>8.775028835290577E-2</v>
      </c>
      <c r="L40" s="1">
        <f>[1]Results!O1401</f>
        <v>0.13847935096584774</v>
      </c>
      <c r="M40" s="1">
        <f>[1]Results!P1401</f>
        <v>0.21710334558402433</v>
      </c>
      <c r="N40" s="1">
        <f>[1]Results!Q1401</f>
        <v>0.11408543297926066</v>
      </c>
      <c r="O40" s="1">
        <f>[1]Results!R1401</f>
        <v>0.10417077682292053</v>
      </c>
      <c r="P40" s="1">
        <f>[1]Results!S1401</f>
        <v>0.13311751336768651</v>
      </c>
      <c r="Q40" s="1">
        <f>[1]Results!T1401</f>
        <v>0.18168436084466943</v>
      </c>
      <c r="R40" s="1">
        <f>[1]Results!U1401</f>
        <v>0.24668681276009963</v>
      </c>
      <c r="S40" s="1">
        <f>[1]Results!V1401</f>
        <v>0.33478210404132014</v>
      </c>
      <c r="T40" s="1">
        <f>[1]Results!W1401</f>
        <v>0.42971353914023069</v>
      </c>
      <c r="U40" s="1">
        <f>[1]Results!X1401</f>
        <v>0.53668132518316369</v>
      </c>
      <c r="V40" s="1">
        <f>[1]Results!Y1401</f>
        <v>0.66533585773504988</v>
      </c>
      <c r="W40" s="1">
        <f>[1]Results!Z1401</f>
        <v>0.82492508202847148</v>
      </c>
      <c r="X40" s="1">
        <f>[1]Results!AA1401</f>
        <v>0.98926461088826301</v>
      </c>
      <c r="Y40" s="1">
        <f>[1]Results!AB1401</f>
        <v>1.1768748839128484</v>
      </c>
      <c r="Z40" s="1">
        <f>[1]Results!AC1401</f>
        <v>1.3796860145596002</v>
      </c>
      <c r="AA40" s="1">
        <f>[1]Results!AD1401</f>
        <v>1.5988679031570197</v>
      </c>
      <c r="AB40" s="1">
        <f>[1]Results!AE1401</f>
        <v>1.834719051409972</v>
      </c>
      <c r="AC40" s="1">
        <f>[1]Results!AF1401</f>
        <v>2.0426600276109097</v>
      </c>
      <c r="AD40" s="1">
        <f>[1]Results!AG1401</f>
        <v>2.2203211020012326</v>
      </c>
      <c r="AE40" s="1">
        <f>[1]Results!AH1401</f>
        <v>2.360678707940056</v>
      </c>
      <c r="AF40" s="1">
        <f>[1]Results!AI1401</f>
        <v>2.4719996138249156</v>
      </c>
      <c r="AG40" s="1">
        <f>[1]Results!AJ1401</f>
        <v>2.5613925281029015</v>
      </c>
      <c r="AH40" s="1">
        <f>[1]Results!AK1401</f>
        <v>2.614673649668231</v>
      </c>
      <c r="AI40" s="1">
        <f>[1]Results!AL1401</f>
        <v>2.6419159673740866</v>
      </c>
      <c r="AJ40" s="1">
        <f>[1]Results!AM1401</f>
        <v>2.6413947090352607</v>
      </c>
      <c r="AK40" s="1">
        <f>[1]Results!AN1401</f>
        <v>2.6186756680252277</v>
      </c>
      <c r="AL40" s="1">
        <f>[1]Results!AO1401</f>
        <v>2.5803748084914702</v>
      </c>
    </row>
    <row r="41" spans="1:38" x14ac:dyDescent="0.35">
      <c r="A41" s="3" t="str">
        <f>[1]Results!E1402</f>
        <v>((F_L_2/F_L_0)-1)*100</v>
      </c>
      <c r="B41" t="str">
        <f>[1]Results!C1402</f>
        <v>Emploi en %</v>
      </c>
      <c r="C41" s="1">
        <f>[1]Results!F1402</f>
        <v>0</v>
      </c>
      <c r="D41" s="1">
        <f>[1]Results!G1402</f>
        <v>0</v>
      </c>
      <c r="E41" s="1">
        <f>[1]Results!H1402</f>
        <v>0</v>
      </c>
      <c r="F41" s="1">
        <f>[1]Results!I1402</f>
        <v>0</v>
      </c>
      <c r="G41" s="1">
        <f>[1]Results!J1402</f>
        <v>3.5424130295780287E-8</v>
      </c>
      <c r="H41" s="1">
        <f>[1]Results!K1402</f>
        <v>0</v>
      </c>
      <c r="I41" s="1">
        <f>[1]Results!L1402</f>
        <v>0</v>
      </c>
      <c r="J41" s="1">
        <f>[1]Results!M1402</f>
        <v>-0.13595132631846196</v>
      </c>
      <c r="K41" s="1">
        <f>[1]Results!N1402</f>
        <v>-0.33765995601240384</v>
      </c>
      <c r="L41" s="1">
        <f>[1]Results!O1402</f>
        <v>-0.35202562315443942</v>
      </c>
      <c r="M41" s="1">
        <f>[1]Results!P1402</f>
        <v>-0.2105948155356252</v>
      </c>
      <c r="N41" s="1">
        <f>[1]Results!Q1402</f>
        <v>-1.7894723535216706E-2</v>
      </c>
      <c r="O41" s="1">
        <f>[1]Results!R1402</f>
        <v>0.16382926679034959</v>
      </c>
      <c r="P41" s="1">
        <f>[1]Results!S1402</f>
        <v>0.31228239402394387</v>
      </c>
      <c r="Q41" s="1">
        <f>[1]Results!T1402</f>
        <v>0.43214635705286497</v>
      </c>
      <c r="R41" s="1">
        <f>[1]Results!U1402</f>
        <v>0.52970430106695776</v>
      </c>
      <c r="S41" s="1">
        <f>[1]Results!V1402</f>
        <v>0.59511496572530742</v>
      </c>
      <c r="T41" s="1">
        <f>[1]Results!W1402</f>
        <v>0.6295351729591836</v>
      </c>
      <c r="U41" s="1">
        <f>[1]Results!X1402</f>
        <v>0.63708632970258527</v>
      </c>
      <c r="V41" s="1">
        <f>[1]Results!Y1402</f>
        <v>0.62372806629971134</v>
      </c>
      <c r="W41" s="1">
        <f>[1]Results!Z1402</f>
        <v>0.59356938183250385</v>
      </c>
      <c r="X41" s="1">
        <f>[1]Results!AA1402</f>
        <v>0.54811211221763578</v>
      </c>
      <c r="Y41" s="1">
        <f>[1]Results!AB1402</f>
        <v>0.49279641079873482</v>
      </c>
      <c r="Z41" s="1">
        <f>[1]Results!AC1402</f>
        <v>0.43344117253416581</v>
      </c>
      <c r="AA41" s="1">
        <f>[1]Results!AD1402</f>
        <v>0.37582263110624847</v>
      </c>
      <c r="AB41" s="1">
        <f>[1]Results!AE1402</f>
        <v>0.32500271982469631</v>
      </c>
      <c r="AC41" s="1">
        <f>[1]Results!AF1402</f>
        <v>0.28273385667363371</v>
      </c>
      <c r="AD41" s="1">
        <f>[1]Results!AG1402</f>
        <v>0.25401654607200008</v>
      </c>
      <c r="AE41" s="1">
        <f>[1]Results!AH1402</f>
        <v>0.24241523233827778</v>
      </c>
      <c r="AF41" s="1">
        <f>[1]Results!AI1402</f>
        <v>0.2503278949916421</v>
      </c>
      <c r="AG41" s="1">
        <f>[1]Results!AJ1402</f>
        <v>0.27903609687651709</v>
      </c>
      <c r="AH41" s="1">
        <f>[1]Results!AK1402</f>
        <v>0.32804607536351948</v>
      </c>
      <c r="AI41" s="1">
        <f>[1]Results!AL1402</f>
        <v>0.39725096891114475</v>
      </c>
      <c r="AJ41" s="1">
        <f>[1]Results!AM1402</f>
        <v>0.48526741485301894</v>
      </c>
      <c r="AK41" s="1">
        <f>[1]Results!AN1402</f>
        <v>0.58970020726802908</v>
      </c>
      <c r="AL41" s="1">
        <f>[1]Results!AO1402</f>
        <v>0.70750622699780052</v>
      </c>
    </row>
    <row r="42" spans="1:38" x14ac:dyDescent="0.35">
      <c r="A42" s="3" t="str">
        <f>[1]Results!E1403</f>
        <v>F_L_2-F_L_0</v>
      </c>
      <c r="B42" t="str">
        <f>[1]Results!C1403</f>
        <v>Emploi en millier</v>
      </c>
      <c r="C42" s="1">
        <f>[1]Results!F1403</f>
        <v>0</v>
      </c>
      <c r="D42" s="1">
        <f>[1]Results!G1403</f>
        <v>0</v>
      </c>
      <c r="E42" s="1">
        <f>[1]Results!H1403</f>
        <v>0</v>
      </c>
      <c r="F42" s="1">
        <f>[1]Results!I1403</f>
        <v>0</v>
      </c>
      <c r="G42" s="1">
        <f>[1]Results!J1403</f>
        <v>9.9999997473787516E-6</v>
      </c>
      <c r="H42" s="1">
        <f>[1]Results!K1403</f>
        <v>0</v>
      </c>
      <c r="I42" s="1">
        <f>[1]Results!L1403</f>
        <v>0</v>
      </c>
      <c r="J42" s="1">
        <f>[1]Results!M1403</f>
        <v>-39.787000000000262</v>
      </c>
      <c r="K42" s="1">
        <f>[1]Results!N1403</f>
        <v>-100.07372000000032</v>
      </c>
      <c r="L42" s="1">
        <f>[1]Results!O1403</f>
        <v>-105.65684999999939</v>
      </c>
      <c r="M42" s="1">
        <f>[1]Results!P1403</f>
        <v>-63.987340000003314</v>
      </c>
      <c r="N42" s="1">
        <f>[1]Results!Q1403</f>
        <v>-5.4938899999979185</v>
      </c>
      <c r="O42" s="1">
        <f>[1]Results!R1403</f>
        <v>50.702919999999722</v>
      </c>
      <c r="P42" s="1">
        <f>[1]Results!S1403</f>
        <v>97.202760000000126</v>
      </c>
      <c r="Q42" s="1">
        <f>[1]Results!T1403</f>
        <v>135.02640999999858</v>
      </c>
      <c r="R42" s="1">
        <f>[1]Results!U1403</f>
        <v>165.90965000000142</v>
      </c>
      <c r="S42" s="1">
        <f>[1]Results!V1403</f>
        <v>186.69469000000026</v>
      </c>
      <c r="T42" s="1">
        <f>[1]Results!W1403</f>
        <v>197.75432999999975</v>
      </c>
      <c r="U42" s="1">
        <f>[1]Results!X1403</f>
        <v>200.43431000000055</v>
      </c>
      <c r="V42" s="1">
        <f>[1]Results!Y1403</f>
        <v>196.64891999999963</v>
      </c>
      <c r="W42" s="1">
        <f>[1]Results!Z1403</f>
        <v>187.68922999999995</v>
      </c>
      <c r="X42" s="1">
        <f>[1]Results!AA1403</f>
        <v>174.00701999999728</v>
      </c>
      <c r="Y42" s="1">
        <f>[1]Results!AB1403</f>
        <v>157.26440000000002</v>
      </c>
      <c r="Z42" s="1">
        <f>[1]Results!AC1403</f>
        <v>139.23183000000063</v>
      </c>
      <c r="AA42" s="1">
        <f>[1]Results!AD1403</f>
        <v>121.67973999999958</v>
      </c>
      <c r="AB42" s="1">
        <f>[1]Results!AE1403</f>
        <v>106.17878000000201</v>
      </c>
      <c r="AC42" s="1">
        <f>[1]Results!AF1403</f>
        <v>93.264049999997951</v>
      </c>
      <c r="AD42" s="1">
        <f>[1]Results!AG1403</f>
        <v>84.647419999993872</v>
      </c>
      <c r="AE42" s="1">
        <f>[1]Results!AH1403</f>
        <v>81.652869999998074</v>
      </c>
      <c r="AF42" s="1">
        <f>[1]Results!AI1403</f>
        <v>85.270320000003267</v>
      </c>
      <c r="AG42" s="1">
        <f>[1]Results!AJ1403</f>
        <v>96.152350000003935</v>
      </c>
      <c r="AH42" s="1">
        <f>[1]Results!AK1403</f>
        <v>114.35891999999876</v>
      </c>
      <c r="AI42" s="1">
        <f>[1]Results!AL1403</f>
        <v>140.07220000000234</v>
      </c>
      <c r="AJ42" s="1">
        <f>[1]Results!AM1403</f>
        <v>172.99573999999848</v>
      </c>
      <c r="AK42" s="1">
        <f>[1]Results!AN1403</f>
        <v>212.41135999999824</v>
      </c>
      <c r="AL42" s="1">
        <f>[1]Results!AO1403</f>
        <v>257.28447000000597</v>
      </c>
    </row>
    <row r="43" spans="1:38" x14ac:dyDescent="0.35">
      <c r="A43" s="3" t="str">
        <f>[1]Results!E1404</f>
        <v>100*(UnR_2-UnR_0)</v>
      </c>
      <c r="B43" t="str">
        <f>[1]Results!C1404</f>
        <v>Taux de chômage (en point)</v>
      </c>
      <c r="C43" s="1">
        <f>[1]Results!F1404</f>
        <v>0</v>
      </c>
      <c r="D43" s="1">
        <f>[1]Results!G1404</f>
        <v>0</v>
      </c>
      <c r="E43" s="1">
        <f>[1]Results!H1404</f>
        <v>-9.9999980518461484E-9</v>
      </c>
      <c r="F43" s="1">
        <f>[1]Results!I1404</f>
        <v>0</v>
      </c>
      <c r="G43" s="1">
        <f>[1]Results!J1404</f>
        <v>-9.9999980518461484E-9</v>
      </c>
      <c r="H43" s="1">
        <f>[1]Results!K1404</f>
        <v>-1.000000082740371E-8</v>
      </c>
      <c r="I43" s="1">
        <f>[1]Results!L1404</f>
        <v>-9.9999994396249292E-9</v>
      </c>
      <c r="J43" s="1">
        <f>[1]Results!M1404</f>
        <v>0.10201767</v>
      </c>
      <c r="K43" s="1">
        <f>[1]Results!N1404</f>
        <v>0.24728038000000063</v>
      </c>
      <c r="L43" s="1">
        <f>[1]Results!O1404</f>
        <v>0.24479983999999982</v>
      </c>
      <c r="M43" s="1">
        <f>[1]Results!P1404</f>
        <v>0.13065812999999982</v>
      </c>
      <c r="N43" s="1">
        <f>[1]Results!Q1404</f>
        <v>-1.1408489999999161E-2</v>
      </c>
      <c r="O43" s="1">
        <f>[1]Results!R1404</f>
        <v>-0.13764245999999952</v>
      </c>
      <c r="P43" s="1">
        <f>[1]Results!S1404</f>
        <v>-0.23556699999999903</v>
      </c>
      <c r="Q43" s="1">
        <f>[1]Results!T1404</f>
        <v>-0.31198673000000093</v>
      </c>
      <c r="R43" s="1">
        <f>[1]Results!U1404</f>
        <v>-0.37289075999999977</v>
      </c>
      <c r="S43" s="1">
        <f>[1]Results!V1404</f>
        <v>-0.41098154999999886</v>
      </c>
      <c r="T43" s="1">
        <f>[1]Results!W1404</f>
        <v>-0.42801466000000066</v>
      </c>
      <c r="U43" s="1">
        <f>[1]Results!X1404</f>
        <v>-0.42757427999999958</v>
      </c>
      <c r="V43" s="1">
        <f>[1]Results!Y1404</f>
        <v>-0.41421134000000082</v>
      </c>
      <c r="W43" s="1">
        <f>[1]Results!Z1404</f>
        <v>-0.39099613000000005</v>
      </c>
      <c r="X43" s="1">
        <f>[1]Results!AA1404</f>
        <v>-0.35801411999999977</v>
      </c>
      <c r="Y43" s="1">
        <f>[1]Results!AB1404</f>
        <v>-0.31947969999999992</v>
      </c>
      <c r="Z43" s="1">
        <f>[1]Results!AC1404</f>
        <v>-0.27930010000000033</v>
      </c>
      <c r="AA43" s="1">
        <f>[1]Results!AD1404</f>
        <v>-0.24126743000000006</v>
      </c>
      <c r="AB43" s="1">
        <f>[1]Results!AE1404</f>
        <v>-0.20904780000000067</v>
      </c>
      <c r="AC43" s="1">
        <f>[1]Results!AF1404</f>
        <v>-0.18259957999999937</v>
      </c>
      <c r="AD43" s="1">
        <f>[1]Results!AG1404</f>
        <v>-0.16590428999999907</v>
      </c>
      <c r="AE43" s="1">
        <f>[1]Results!AH1404</f>
        <v>-0.16147128999999955</v>
      </c>
      <c r="AF43" s="1">
        <f>[1]Results!AI1404</f>
        <v>-0.17098508000000026</v>
      </c>
      <c r="AG43" s="1">
        <f>[1]Results!AJ1404</f>
        <v>-0.19536641999999965</v>
      </c>
      <c r="AH43" s="1">
        <f>[1]Results!AK1404</f>
        <v>-0.23422983000000036</v>
      </c>
      <c r="AI43" s="1">
        <f>[1]Results!AL1404</f>
        <v>-0.28762257999999996</v>
      </c>
      <c r="AJ43" s="1">
        <f>[1]Results!AM1404</f>
        <v>-0.35455456999999996</v>
      </c>
      <c r="AK43" s="1">
        <f>[1]Results!AN1404</f>
        <v>-0.43323186000000025</v>
      </c>
      <c r="AL43" s="1">
        <f>[1]Results!AO1404</f>
        <v>-0.52134142999999999</v>
      </c>
    </row>
    <row r="44" spans="1:38" x14ac:dyDescent="0.35">
      <c r="A44" s="3" t="str">
        <f>[1]Results!E1405</f>
        <v>100*(Bal_Trade_VAL_2/(GDP_2*PGDP_2)-Bal_Trade_VAL_0/(GDP_0*PGDP_0))</v>
      </c>
      <c r="B44" t="str">
        <f>[1]Results!C1405</f>
        <v>Balance commerciale</v>
      </c>
      <c r="C44" s="1">
        <f>[1]Results!F1405</f>
        <v>-9.0936546487396797E-10</v>
      </c>
      <c r="D44" s="1">
        <f>[1]Results!G1405</f>
        <v>1.1814007237764823E-9</v>
      </c>
      <c r="E44" s="1">
        <f>[1]Results!H1405</f>
        <v>2.9402725480048852E-9</v>
      </c>
      <c r="F44" s="1">
        <f>[1]Results!I1405</f>
        <v>5.6381755167422831E-9</v>
      </c>
      <c r="G44" s="1">
        <f>[1]Results!J1405</f>
        <v>5.0185926595003316E-9</v>
      </c>
      <c r="H44" s="1">
        <f>[1]Results!K1405</f>
        <v>4.7639982236891143E-9</v>
      </c>
      <c r="I44" s="1">
        <f>[1]Results!L1405</f>
        <v>4.5246043023361437E-9</v>
      </c>
      <c r="J44" s="1">
        <f>[1]Results!M1405</f>
        <v>-0.24881646778941691</v>
      </c>
      <c r="K44" s="1">
        <f>[1]Results!N1405</f>
        <v>-0.3675447690557353</v>
      </c>
      <c r="L44" s="1">
        <f>[1]Results!O1405</f>
        <v>-0.15800142988224852</v>
      </c>
      <c r="M44" s="1">
        <f>[1]Results!P1405</f>
        <v>4.1906777093815573E-2</v>
      </c>
      <c r="N44" s="1">
        <f>[1]Results!Q1405</f>
        <v>0.13246490639900049</v>
      </c>
      <c r="O44" s="1">
        <f>[1]Results!R1405</f>
        <v>0.16600950708948597</v>
      </c>
      <c r="P44" s="1">
        <f>[1]Results!S1405</f>
        <v>0.16907675362606983</v>
      </c>
      <c r="Q44" s="1">
        <f>[1]Results!T1405</f>
        <v>0.17330154886439214</v>
      </c>
      <c r="R44" s="1">
        <f>[1]Results!U1405</f>
        <v>0.18341817080984868</v>
      </c>
      <c r="S44" s="1">
        <f>[1]Results!V1405</f>
        <v>0.17438733653893299</v>
      </c>
      <c r="T44" s="1">
        <f>[1]Results!W1405</f>
        <v>0.15512351129448182</v>
      </c>
      <c r="U44" s="1">
        <f>[1]Results!X1405</f>
        <v>0.14080936933795474</v>
      </c>
      <c r="V44" s="1">
        <f>[1]Results!Y1405</f>
        <v>0.13179944462405821</v>
      </c>
      <c r="W44" s="1">
        <f>[1]Results!Z1405</f>
        <v>0.12425707100660599</v>
      </c>
      <c r="X44" s="1">
        <f>[1]Results!AA1405</f>
        <v>0.10678182944933098</v>
      </c>
      <c r="Y44" s="1">
        <f>[1]Results!AB1405</f>
        <v>8.4597604290387318E-2</v>
      </c>
      <c r="Z44" s="1">
        <f>[1]Results!AC1405</f>
        <v>6.4456291885018474E-2</v>
      </c>
      <c r="AA44" s="1">
        <f>[1]Results!AD1405</f>
        <v>4.7066638788740428E-2</v>
      </c>
      <c r="AB44" s="1">
        <f>[1]Results!AE1405</f>
        <v>3.0682564508809768E-2</v>
      </c>
      <c r="AC44" s="1">
        <f>[1]Results!AF1405</f>
        <v>-5.2337500774643497E-3</v>
      </c>
      <c r="AD44" s="1">
        <f>[1]Results!AG1405</f>
        <v>-5.225990204710193E-2</v>
      </c>
      <c r="AE44" s="1">
        <f>[1]Results!AH1405</f>
        <v>-9.0956844072458132E-2</v>
      </c>
      <c r="AF44" s="1">
        <f>[1]Results!AI1405</f>
        <v>-0.11903883625932615</v>
      </c>
      <c r="AG44" s="1">
        <f>[1]Results!AJ1405</f>
        <v>-0.13813505754627503</v>
      </c>
      <c r="AH44" s="1">
        <f>[1]Results!AK1405</f>
        <v>-0.15569385786897011</v>
      </c>
      <c r="AI44" s="1">
        <f>[1]Results!AL1405</f>
        <v>-0.17189959173691677</v>
      </c>
      <c r="AJ44" s="1">
        <f>[1]Results!AM1405</f>
        <v>-0.18088808248860749</v>
      </c>
      <c r="AK44" s="1">
        <f>[1]Results!AN1405</f>
        <v>-0.1829505827411107</v>
      </c>
      <c r="AL44" s="1">
        <f>[1]Results!AO1405</f>
        <v>-0.18014501969316615</v>
      </c>
    </row>
    <row r="45" spans="1:38" x14ac:dyDescent="0.35">
      <c r="A45" s="3" t="str">
        <f>[1]Results!E1406</f>
        <v>100*(ENER_BILL_2/(GDP_2*PGDP_2)-ENER_BILL_0/(GDP_0*PGDP_0))</v>
      </c>
      <c r="B45" t="str">
        <f>[1]Results!C1406</f>
        <v>Facture énergétique</v>
      </c>
      <c r="C45" s="1">
        <f>[1]Results!F1406</f>
        <v>1.8187307562755883E-9</v>
      </c>
      <c r="D45" s="1">
        <f>[1]Results!G1406</f>
        <v>4.3755589429483877E-10</v>
      </c>
      <c r="E45" s="1">
        <f>[1]Results!H1406</f>
        <v>-2.8549201197547447E-9</v>
      </c>
      <c r="F45" s="1">
        <f>[1]Results!I1406</f>
        <v>-3.624541465574449E-9</v>
      </c>
      <c r="G45" s="1">
        <f>[1]Results!J1406</f>
        <v>-5.6804548911881803E-9</v>
      </c>
      <c r="H45" s="1">
        <f>[1]Results!K1406</f>
        <v>-6.1686728641818789E-9</v>
      </c>
      <c r="I45" s="1">
        <f>[1]Results!L1406</f>
        <v>-6.6065073550669595E-9</v>
      </c>
      <c r="J45" s="1">
        <f>[1]Results!M1406</f>
        <v>-2.1439130404933039E-2</v>
      </c>
      <c r="K45" s="1">
        <f>[1]Results!N1406</f>
        <v>-5.0410214128879249E-2</v>
      </c>
      <c r="L45" s="1">
        <f>[1]Results!O1406</f>
        <v>-0.10463527145276631</v>
      </c>
      <c r="M45" s="1">
        <f>[1]Results!P1406</f>
        <v>-0.17687754438813869</v>
      </c>
      <c r="N45" s="1">
        <f>[1]Results!Q1406</f>
        <v>-0.23747473802690888</v>
      </c>
      <c r="O45" s="1">
        <f>[1]Results!R1406</f>
        <v>-0.295691265387517</v>
      </c>
      <c r="P45" s="1">
        <f>[1]Results!S1406</f>
        <v>-0.35052911804833686</v>
      </c>
      <c r="Q45" s="1">
        <f>[1]Results!T1406</f>
        <v>-0.40252993463846698</v>
      </c>
      <c r="R45" s="1">
        <f>[1]Results!U1406</f>
        <v>-0.45293965595013341</v>
      </c>
      <c r="S45" s="1">
        <f>[1]Results!V1406</f>
        <v>-0.50193443862413589</v>
      </c>
      <c r="T45" s="1">
        <f>[1]Results!W1406</f>
        <v>-0.55021294491785044</v>
      </c>
      <c r="U45" s="1">
        <f>[1]Results!X1406</f>
        <v>-0.60191689754669231</v>
      </c>
      <c r="V45" s="1">
        <f>[1]Results!Y1406</f>
        <v>-0.66108769168153314</v>
      </c>
      <c r="W45" s="1">
        <f>[1]Results!Z1406</f>
        <v>-0.7228844132880814</v>
      </c>
      <c r="X45" s="1">
        <f>[1]Results!AA1406</f>
        <v>-0.7845080516680788</v>
      </c>
      <c r="Y45" s="1">
        <f>[1]Results!AB1406</f>
        <v>-0.84444631312431195</v>
      </c>
      <c r="Z45" s="1">
        <f>[1]Results!AC1406</f>
        <v>-0.90337760446906157</v>
      </c>
      <c r="AA45" s="1">
        <f>[1]Results!AD1406</f>
        <v>-0.9619827019482986</v>
      </c>
      <c r="AB45" s="1">
        <f>[1]Results!AE1406</f>
        <v>-1.0203192451233603</v>
      </c>
      <c r="AC45" s="1">
        <f>[1]Results!AF1406</f>
        <v>-1.0660266763547432</v>
      </c>
      <c r="AD45" s="1">
        <f>[1]Results!AG1406</f>
        <v>-1.1009452153045143</v>
      </c>
      <c r="AE45" s="1">
        <f>[1]Results!AH1406</f>
        <v>-1.1297480815055339</v>
      </c>
      <c r="AF45" s="1">
        <f>[1]Results!AI1406</f>
        <v>-1.1547123864038278</v>
      </c>
      <c r="AG45" s="1">
        <f>[1]Results!AJ1406</f>
        <v>-1.1763923151564564</v>
      </c>
      <c r="AH45" s="1">
        <f>[1]Results!AK1406</f>
        <v>-1.1936755192658006</v>
      </c>
      <c r="AI45" s="1">
        <f>[1]Results!AL1406</f>
        <v>-1.2055996372566149</v>
      </c>
      <c r="AJ45" s="1">
        <f>[1]Results!AM1406</f>
        <v>-1.2133715297698404</v>
      </c>
      <c r="AK45" s="1">
        <f>[1]Results!AN1406</f>
        <v>-1.2180462029241759</v>
      </c>
      <c r="AL45" s="1">
        <f>[1]Results!AO1406</f>
        <v>-1.2202624017796129</v>
      </c>
    </row>
    <row r="46" spans="1:38" x14ac:dyDescent="0.35">
      <c r="A46" s="3" t="str">
        <f>[1]Results!E1407</f>
        <v>100*((-Bal_G_prim_VAL_2)/(GDP_2*PGDP_2)-(-Bal_G_prim_VAL_0)/(GDP_0*PGDP_0))</v>
      </c>
      <c r="B46" t="str">
        <f>[1]Results!C1407</f>
        <v>Solde public primaire</v>
      </c>
      <c r="C46" s="1">
        <f>[1]Results!F1407</f>
        <v>1.3640481105747781E-9</v>
      </c>
      <c r="D46" s="1">
        <f>[1]Results!G1407</f>
        <v>8.7511161511732993E-10</v>
      </c>
      <c r="E46" s="1">
        <f>[1]Results!H1407</f>
        <v>-1.0985979487232456E-9</v>
      </c>
      <c r="F46" s="1">
        <f>[1]Results!I1407</f>
        <v>-2.6579969995832453E-9</v>
      </c>
      <c r="G46" s="1">
        <f>[1]Results!J1407</f>
        <v>-5.5540422087829722E-9</v>
      </c>
      <c r="H46" s="1">
        <f>[1]Results!K1407</f>
        <v>-8.0766263468867727E-9</v>
      </c>
      <c r="I46" s="1">
        <f>[1]Results!L1407</f>
        <v>-1.0289594176704497E-8</v>
      </c>
      <c r="J46" s="1">
        <f>[1]Results!M1407</f>
        <v>0.14033970595763273</v>
      </c>
      <c r="K46" s="1">
        <f>[1]Results!N1407</f>
        <v>0.301618652955846</v>
      </c>
      <c r="L46" s="1">
        <f>[1]Results!O1407</f>
        <v>0.33166225515584224</v>
      </c>
      <c r="M46" s="1">
        <f>[1]Results!P1407</f>
        <v>0.2639484608254819</v>
      </c>
      <c r="N46" s="1">
        <f>[1]Results!Q1407</f>
        <v>6.4723608293245499E-2</v>
      </c>
      <c r="O46" s="1">
        <f>[1]Results!R1407</f>
        <v>-0.13340705291257499</v>
      </c>
      <c r="P46" s="1">
        <f>[1]Results!S1407</f>
        <v>-0.30753763247728449</v>
      </c>
      <c r="Q46" s="1">
        <f>[1]Results!T1407</f>
        <v>-0.45931754416789417</v>
      </c>
      <c r="R46" s="1">
        <f>[1]Results!U1407</f>
        <v>-0.59320651265462665</v>
      </c>
      <c r="S46" s="1">
        <f>[1]Results!V1407</f>
        <v>-0.69641718876886427</v>
      </c>
      <c r="T46" s="1">
        <f>[1]Results!W1407</f>
        <v>-0.77412565121767196</v>
      </c>
      <c r="U46" s="1">
        <f>[1]Results!X1407</f>
        <v>-0.83352139291083671</v>
      </c>
      <c r="V46" s="1">
        <f>[1]Results!Y1407</f>
        <v>-0.88280187130826138</v>
      </c>
      <c r="W46" s="1">
        <f>[1]Results!Z1407</f>
        <v>-0.91599906200498304</v>
      </c>
      <c r="X46" s="1">
        <f>[1]Results!AA1407</f>
        <v>-0.93646182991636717</v>
      </c>
      <c r="Y46" s="1">
        <f>[1]Results!AB1407</f>
        <v>-0.93588827142486453</v>
      </c>
      <c r="Z46" s="1">
        <f>[1]Results!AC1407</f>
        <v>-0.91890177577126642</v>
      </c>
      <c r="AA46" s="1">
        <f>[1]Results!AD1407</f>
        <v>-0.89074043753388166</v>
      </c>
      <c r="AB46" s="1">
        <f>[1]Results!AE1407</f>
        <v>-0.8543339860211524</v>
      </c>
      <c r="AC46" s="1">
        <f>[1]Results!AF1407</f>
        <v>-0.8114951657538616</v>
      </c>
      <c r="AD46" s="1">
        <f>[1]Results!AG1407</f>
        <v>-0.75837616277831676</v>
      </c>
      <c r="AE46" s="1">
        <f>[1]Results!AH1407</f>
        <v>-0.70241146615515482</v>
      </c>
      <c r="AF46" s="1">
        <f>[1]Results!AI1407</f>
        <v>-0.64930984956933369</v>
      </c>
      <c r="AG46" s="1">
        <f>[1]Results!AJ1407</f>
        <v>-0.60195737609997768</v>
      </c>
      <c r="AH46" s="1">
        <f>[1]Results!AK1407</f>
        <v>-0.56084318064016503</v>
      </c>
      <c r="AI46" s="1">
        <f>[1]Results!AL1407</f>
        <v>-0.52409034916470887</v>
      </c>
      <c r="AJ46" s="1">
        <f>[1]Results!AM1407</f>
        <v>-0.4939457723067836</v>
      </c>
      <c r="AK46" s="1">
        <f>[1]Results!AN1407</f>
        <v>-0.47219600294744479</v>
      </c>
      <c r="AL46" s="1">
        <f>[1]Results!AO1407</f>
        <v>-0.45963583865419599</v>
      </c>
    </row>
    <row r="47" spans="1:38" x14ac:dyDescent="0.35">
      <c r="A47" s="3" t="str">
        <f>[1]Results!E1408</f>
        <v>100*((-Bal_G_tot_VAL_2)/(GDP_2*PGDP_2)-(-Bal_G_tot_VAL_0)/(GDP_0*PGDP_0))</v>
      </c>
      <c r="B47" t="str">
        <f>[1]Results!C1408</f>
        <v xml:space="preserve">Solde public </v>
      </c>
      <c r="C47" s="1">
        <f>[1]Results!F1408</f>
        <v>1.8187309297479359E-9</v>
      </c>
      <c r="D47" s="1">
        <f>[1]Results!G1408</f>
        <v>7.4384488152334782E-9</v>
      </c>
      <c r="E47" s="1">
        <f>[1]Results!H1408</f>
        <v>4.4926760228714002E-9</v>
      </c>
      <c r="F47" s="1">
        <f>[1]Results!I1408</f>
        <v>6.0409025004481975E-9</v>
      </c>
      <c r="G47" s="1">
        <f>[1]Results!J1408</f>
        <v>3.895524354480262E-9</v>
      </c>
      <c r="H47" s="1">
        <f>[1]Results!K1408</f>
        <v>-4.7235201861006715E-10</v>
      </c>
      <c r="I47" s="1">
        <f>[1]Results!L1408</f>
        <v>-4.127105948659171E-9</v>
      </c>
      <c r="J47" s="1">
        <f>[1]Results!M1408</f>
        <v>0.14151179689437832</v>
      </c>
      <c r="K47" s="1">
        <f>[1]Results!N1408</f>
        <v>0.4617145833110804</v>
      </c>
      <c r="L47" s="1">
        <f>[1]Results!O1408</f>
        <v>0.61340325233720205</v>
      </c>
      <c r="M47" s="1">
        <f>[1]Results!P1408</f>
        <v>0.67208099242555519</v>
      </c>
      <c r="N47" s="1">
        <f>[1]Results!Q1408</f>
        <v>0.61292464873931374</v>
      </c>
      <c r="O47" s="1">
        <f>[1]Results!R1408</f>
        <v>0.33531459801840885</v>
      </c>
      <c r="P47" s="1">
        <f>[1]Results!S1408</f>
        <v>8.2385290153214746E-2</v>
      </c>
      <c r="Q47" s="1">
        <f>[1]Results!T1408</f>
        <v>-0.14556289472943476</v>
      </c>
      <c r="R47" s="1">
        <f>[1]Results!U1408</f>
        <v>-0.35343586595189758</v>
      </c>
      <c r="S47" s="1">
        <f>[1]Results!V1408</f>
        <v>-0.52816328035332338</v>
      </c>
      <c r="T47" s="1">
        <f>[1]Results!W1408</f>
        <v>-0.66723053574501701</v>
      </c>
      <c r="U47" s="1">
        <f>[1]Results!X1408</f>
        <v>-0.78349891559408369</v>
      </c>
      <c r="V47" s="1">
        <f>[1]Results!Y1408</f>
        <v>-0.8868965437856674</v>
      </c>
      <c r="W47" s="1">
        <f>[1]Results!Z1408</f>
        <v>-0.96959101864284447</v>
      </c>
      <c r="X47" s="1">
        <f>[1]Results!AA1408</f>
        <v>-1.0322668452097457</v>
      </c>
      <c r="Y47" s="1">
        <f>[1]Results!AB1408</f>
        <v>-1.0622680232958732</v>
      </c>
      <c r="Z47" s="1">
        <f>[1]Results!AC1408</f>
        <v>-1.0654081882935915</v>
      </c>
      <c r="AA47" s="1">
        <f>[1]Results!AD1408</f>
        <v>-1.0468876109656744</v>
      </c>
      <c r="AB47" s="1">
        <f>[1]Results!AE1408</f>
        <v>-1.0094290160315198</v>
      </c>
      <c r="AC47" s="1">
        <f>[1]Results!AF1408</f>
        <v>-0.95582223250853948</v>
      </c>
      <c r="AD47" s="1">
        <f>[1]Results!AG1408</f>
        <v>-0.8808842568653219</v>
      </c>
      <c r="AE47" s="1">
        <f>[1]Results!AH1408</f>
        <v>-0.80800949408134226</v>
      </c>
      <c r="AF47" s="1">
        <f>[1]Results!AI1408</f>
        <v>-0.74014489068234823</v>
      </c>
      <c r="AG47" s="1">
        <f>[1]Results!AJ1408</f>
        <v>-0.67844199067733091</v>
      </c>
      <c r="AH47" s="1">
        <f>[1]Results!AK1408</f>
        <v>-0.62321502296145281</v>
      </c>
      <c r="AI47" s="1">
        <f>[1]Results!AL1408</f>
        <v>-0.57236901229322656</v>
      </c>
      <c r="AJ47" s="1">
        <f>[1]Results!AM1408</f>
        <v>-0.53993032694362042</v>
      </c>
      <c r="AK47" s="1">
        <f>[1]Results!AN1408</f>
        <v>-0.5251977127123747</v>
      </c>
      <c r="AL47" s="1">
        <f>[1]Results!AO1408</f>
        <v>-0.52770082204424973</v>
      </c>
    </row>
    <row r="48" spans="1:38" x14ac:dyDescent="0.35">
      <c r="A48" s="3" t="str">
        <f>[1]Results!E1409</f>
        <v>(DEBT_G_VAL_2/(PGDP_2*GDP_2)-DEBT_G_VAL_0/(PGDP_0*GDP_0))*100</v>
      </c>
      <c r="B48" t="str">
        <f>[1]Results!C1409</f>
        <v>Dette publique</v>
      </c>
      <c r="C48" s="1">
        <f>[1]Results!F1409</f>
        <v>0</v>
      </c>
      <c r="D48" s="1">
        <f>[1]Results!G1409</f>
        <v>0</v>
      </c>
      <c r="E48" s="1">
        <f>[1]Results!H1409</f>
        <v>-4.7570736239066491E-8</v>
      </c>
      <c r="F48" s="1">
        <f>[1]Results!I1409</f>
        <v>4.0272662982232532E-8</v>
      </c>
      <c r="G48" s="1">
        <f>[1]Results!J1409</f>
        <v>-8.1394113671251489E-8</v>
      </c>
      <c r="H48" s="1">
        <f>[1]Results!K1409</f>
        <v>-3.9730607692689546E-8</v>
      </c>
      <c r="I48" s="1">
        <f>[1]Results!L1409</f>
        <v>-7.1370531706804741E-8</v>
      </c>
      <c r="J48" s="1">
        <f>[1]Results!M1409</f>
        <v>0.19603676293062922</v>
      </c>
      <c r="K48" s="1">
        <f>[1]Results!N1409</f>
        <v>0.5475508963799447</v>
      </c>
      <c r="L48" s="1">
        <f>[1]Results!O1409</f>
        <v>0.56139493087604686</v>
      </c>
      <c r="M48" s="1">
        <f>[1]Results!P1409</f>
        <v>0.4012066244648782</v>
      </c>
      <c r="N48" s="1">
        <f>[1]Results!Q1409</f>
        <v>0.37327674893130602</v>
      </c>
      <c r="O48" s="1">
        <f>[1]Results!R1409</f>
        <v>0.12719643878583153</v>
      </c>
      <c r="P48" s="1">
        <f>[1]Results!S1409</f>
        <v>-0.28988709470315621</v>
      </c>
      <c r="Q48" s="1">
        <f>[1]Results!T1409</f>
        <v>-0.84623993541354525</v>
      </c>
      <c r="R48" s="1">
        <f>[1]Results!U1409</f>
        <v>-1.5129448221457287</v>
      </c>
      <c r="S48" s="1">
        <f>[1]Results!V1409</f>
        <v>-2.2549145284211676</v>
      </c>
      <c r="T48" s="1">
        <f>[1]Results!W1409</f>
        <v>-3.0423129839081047</v>
      </c>
      <c r="U48" s="1">
        <f>[1]Results!X1409</f>
        <v>-3.8600700603454845</v>
      </c>
      <c r="V48" s="1">
        <f>[1]Results!Y1409</f>
        <v>-4.7024656669477602</v>
      </c>
      <c r="W48" s="1">
        <f>[1]Results!Z1409</f>
        <v>-5.5585299962850083</v>
      </c>
      <c r="X48" s="1">
        <f>[1]Results!AA1409</f>
        <v>-6.4196626957053002</v>
      </c>
      <c r="Y48" s="1">
        <f>[1]Results!AB1409</f>
        <v>-7.2638841538544785</v>
      </c>
      <c r="Z48" s="1">
        <f>[1]Results!AC1409</f>
        <v>-8.0738423894233744</v>
      </c>
      <c r="AA48" s="1">
        <f>[1]Results!AD1409</f>
        <v>-8.8376436837757009</v>
      </c>
      <c r="AB48" s="1">
        <f>[1]Results!AE1409</f>
        <v>-9.54657466749339</v>
      </c>
      <c r="AC48" s="1">
        <f>[1]Results!AF1409</f>
        <v>-10.201934994279272</v>
      </c>
      <c r="AD48" s="1">
        <f>[1]Results!AG1409</f>
        <v>-10.772058262019451</v>
      </c>
      <c r="AE48" s="1">
        <f>[1]Results!AH1409</f>
        <v>-11.252996368696088</v>
      </c>
      <c r="AF48" s="1">
        <f>[1]Results!AI1409</f>
        <v>-11.649645951321775</v>
      </c>
      <c r="AG48" s="1">
        <f>[1]Results!AJ1409</f>
        <v>-11.970064984881013</v>
      </c>
      <c r="AH48" s="1">
        <f>[1]Results!AK1409</f>
        <v>-12.227180072540644</v>
      </c>
      <c r="AI48" s="1">
        <f>[1]Results!AL1409</f>
        <v>-12.412962858976561</v>
      </c>
      <c r="AJ48" s="1">
        <f>[1]Results!AM1409</f>
        <v>-12.537730956743099</v>
      </c>
      <c r="AK48" s="1">
        <f>[1]Results!AN1409</f>
        <v>-12.614381362785432</v>
      </c>
      <c r="AL48" s="1">
        <f>[1]Results!AO1409</f>
        <v>-12.656589115838379</v>
      </c>
    </row>
    <row r="49" spans="1:38" x14ac:dyDescent="0.35">
      <c r="A49" s="3" t="str">
        <f>[1]Results!E1410</f>
        <v>GDP_2</v>
      </c>
      <c r="B49" t="str">
        <f>[1]Results!C1410</f>
        <v>PIB</v>
      </c>
      <c r="C49" s="1">
        <f>[1]Results!F1410</f>
        <v>2196797.8470000001</v>
      </c>
      <c r="D49" s="1">
        <f>[1]Results!G1410</f>
        <v>2236387.8280000002</v>
      </c>
      <c r="E49" s="1">
        <f>[1]Results!H1410</f>
        <v>2280184.338</v>
      </c>
      <c r="F49" s="1">
        <f>[1]Results!I1410</f>
        <v>2328048.0819999999</v>
      </c>
      <c r="G49" s="1">
        <f>[1]Results!J1410</f>
        <v>2379303.1609999998</v>
      </c>
      <c r="H49" s="1">
        <f>[1]Results!K1410</f>
        <v>2433444.1860000002</v>
      </c>
      <c r="I49" s="1">
        <f>[1]Results!L1410</f>
        <v>2489564.199</v>
      </c>
      <c r="J49" s="1">
        <f>[1]Results!M1410</f>
        <v>2540112.3470000001</v>
      </c>
      <c r="K49" s="1">
        <f>[1]Results!N1410</f>
        <v>2592404.7409999999</v>
      </c>
      <c r="L49" s="1">
        <f>[1]Results!O1410</f>
        <v>2656306.7209999999</v>
      </c>
      <c r="M49" s="1">
        <f>[1]Results!P1410</f>
        <v>2721838.531</v>
      </c>
      <c r="N49" s="1">
        <f>[1]Results!Q1410</f>
        <v>2781650.3769999999</v>
      </c>
      <c r="O49" s="1">
        <f>[1]Results!R1410</f>
        <v>2836663.2769999998</v>
      </c>
      <c r="P49" s="1">
        <f>[1]Results!S1410</f>
        <v>2887702.3289999999</v>
      </c>
      <c r="Q49" s="1">
        <f>[1]Results!T1410</f>
        <v>2936293.6540000001</v>
      </c>
      <c r="R49" s="1">
        <f>[1]Results!U1410</f>
        <v>2983475.8969999999</v>
      </c>
      <c r="S49" s="1">
        <f>[1]Results!V1410</f>
        <v>3029377.9389999998</v>
      </c>
      <c r="T49" s="1">
        <f>[1]Results!W1410</f>
        <v>3075559.449</v>
      </c>
      <c r="U49" s="1">
        <f>[1]Results!X1410</f>
        <v>3123285.3769999999</v>
      </c>
      <c r="V49" s="1">
        <f>[1]Results!Y1410</f>
        <v>3173594.6719999998</v>
      </c>
      <c r="W49" s="1">
        <f>[1]Results!Z1410</f>
        <v>3226756.0389999999</v>
      </c>
      <c r="X49" s="1">
        <f>[1]Results!AA1410</f>
        <v>3284044.52</v>
      </c>
      <c r="Y49" s="1">
        <f>[1]Results!AB1410</f>
        <v>3346111.0929999999</v>
      </c>
      <c r="Z49" s="1">
        <f>[1]Results!AC1410</f>
        <v>3413447.0989999999</v>
      </c>
      <c r="AA49" s="1">
        <f>[1]Results!AD1410</f>
        <v>3486266.1609999998</v>
      </c>
      <c r="AB49" s="1">
        <f>[1]Results!AE1410</f>
        <v>3563561.534</v>
      </c>
      <c r="AC49" s="1">
        <f>[1]Results!AF1410</f>
        <v>3646493.46</v>
      </c>
      <c r="AD49" s="1">
        <f>[1]Results!AG1410</f>
        <v>3734776.9219999998</v>
      </c>
      <c r="AE49" s="1">
        <f>[1]Results!AH1410</f>
        <v>3828497.16</v>
      </c>
      <c r="AF49" s="1">
        <f>[1]Results!AI1410</f>
        <v>3927309.7080000001</v>
      </c>
      <c r="AG49" s="1">
        <f>[1]Results!AJ1410</f>
        <v>4030533.4410000001</v>
      </c>
      <c r="AH49" s="1">
        <f>[1]Results!AK1410</f>
        <v>4137446.358</v>
      </c>
      <c r="AI49" s="1">
        <f>[1]Results!AL1410</f>
        <v>4247357.9670000002</v>
      </c>
      <c r="AJ49" s="1">
        <f>[1]Results!AM1410</f>
        <v>4359548.4419999998</v>
      </c>
      <c r="AK49" s="1">
        <f>[1]Results!AN1410</f>
        <v>4473278.7889999999</v>
      </c>
      <c r="AL49" s="1">
        <f>[1]Results!AO1410</f>
        <v>4587762.3909999998</v>
      </c>
    </row>
    <row r="50" spans="1:38" x14ac:dyDescent="0.35">
      <c r="A50" s="3" t="str">
        <f>[1]Results!E1411</f>
        <v>(GDPter_2/GDPbis_2-1)*100</v>
      </c>
      <c r="B50" t="str">
        <f>[1]Results!C1411</f>
        <v>Ecart PIB</v>
      </c>
      <c r="C50" s="1">
        <f>[1]Results!F1411</f>
        <v>0</v>
      </c>
      <c r="D50" s="1">
        <f>[1]Results!G1411</f>
        <v>-4.4714976166204679E-8</v>
      </c>
      <c r="E50" s="1">
        <f>[1]Results!H1411</f>
        <v>0</v>
      </c>
      <c r="F50" s="1">
        <f>[1]Results!I1411</f>
        <v>-4.2954451107135583E-8</v>
      </c>
      <c r="G50" s="1">
        <f>[1]Results!J1411</f>
        <v>0</v>
      </c>
      <c r="H50" s="1">
        <f>[1]Results!K1411</f>
        <v>0</v>
      </c>
      <c r="I50" s="1">
        <f>[1]Results!L1411</f>
        <v>4.0167669190793731E-8</v>
      </c>
      <c r="J50" s="1">
        <f>[1]Results!M1411</f>
        <v>0</v>
      </c>
      <c r="K50" s="1">
        <f>[1]Results!N1411</f>
        <v>0</v>
      </c>
      <c r="L50" s="1">
        <f>[1]Results!O1411</f>
        <v>0</v>
      </c>
      <c r="M50" s="1">
        <f>[1]Results!P1411</f>
        <v>3.6739877806724053E-8</v>
      </c>
      <c r="N50" s="1">
        <f>[1]Results!Q1411</f>
        <v>3.5949887511321776E-8</v>
      </c>
      <c r="O50" s="1">
        <f>[1]Results!R1411</f>
        <v>-3.5252678554087424E-8</v>
      </c>
      <c r="P50" s="1">
        <f>[1]Results!S1411</f>
        <v>0</v>
      </c>
      <c r="Q50" s="1">
        <f>[1]Results!T1411</f>
        <v>-3.4056546471816773E-8</v>
      </c>
      <c r="R50" s="1">
        <f>[1]Results!U1411</f>
        <v>0</v>
      </c>
      <c r="S50" s="1">
        <f>[1]Results!V1411</f>
        <v>0</v>
      </c>
      <c r="T50" s="1">
        <f>[1]Results!W1411</f>
        <v>0</v>
      </c>
      <c r="U50" s="1">
        <f>[1]Results!X1411</f>
        <v>0</v>
      </c>
      <c r="V50" s="1">
        <f>[1]Results!Y1411</f>
        <v>0</v>
      </c>
      <c r="W50" s="1">
        <f>[1]Results!Z1411</f>
        <v>0</v>
      </c>
      <c r="X50" s="1">
        <f>[1]Results!AA1411</f>
        <v>0</v>
      </c>
      <c r="Y50" s="1">
        <f>[1]Results!AB1411</f>
        <v>0</v>
      </c>
      <c r="Z50" s="1">
        <f>[1]Results!AC1411</f>
        <v>-2.9295887937763609E-8</v>
      </c>
      <c r="AA50" s="1">
        <f>[1]Results!AD1411</f>
        <v>-2.8683977415511208E-8</v>
      </c>
      <c r="AB50" s="1">
        <f>[1]Results!AE1411</f>
        <v>0</v>
      </c>
      <c r="AC50" s="1">
        <f>[1]Results!AF1411</f>
        <v>0</v>
      </c>
      <c r="AD50" s="1">
        <f>[1]Results!AG1411</f>
        <v>0</v>
      </c>
      <c r="AE50" s="1">
        <f>[1]Results!AH1411</f>
        <v>-2.6119917340139409E-8</v>
      </c>
      <c r="AF50" s="1">
        <f>[1]Results!AI1411</f>
        <v>-2.5462731922942794E-8</v>
      </c>
      <c r="AG50" s="1">
        <f>[1]Results!AJ1411</f>
        <v>-2.4810620224968716E-8</v>
      </c>
      <c r="AH50" s="1">
        <f>[1]Results!AK1411</f>
        <v>-2.4169499734938427E-8</v>
      </c>
      <c r="AI50" s="1">
        <f>[1]Results!AL1411</f>
        <v>-2.3544055594015845E-8</v>
      </c>
      <c r="AJ50" s="1">
        <f>[1]Results!AM1411</f>
        <v>-4.5876291654423085E-8</v>
      </c>
      <c r="AK50" s="1">
        <f>[1]Results!AN1411</f>
        <v>-2.2354973427951563E-8</v>
      </c>
      <c r="AL50" s="1">
        <f>[1]Results!AO1411</f>
        <v>0</v>
      </c>
    </row>
    <row r="51" spans="1:38" x14ac:dyDescent="0.35">
      <c r="A51" s="3" t="str">
        <f>[1]Results!E1412</f>
        <v>SPEND_G_VAL_2</v>
      </c>
      <c r="B51" t="str">
        <f>[1]Results!C1412</f>
        <v>Dépenses publiques</v>
      </c>
      <c r="C51" s="1">
        <f>[1]Results!F1412</f>
        <v>1177848.439</v>
      </c>
      <c r="D51" s="1">
        <f>[1]Results!G1412</f>
        <v>1216154.73</v>
      </c>
      <c r="E51" s="1">
        <f>[1]Results!H1412</f>
        <v>1251955.9480000001</v>
      </c>
      <c r="F51" s="1">
        <f>[1]Results!I1412</f>
        <v>1289668.838</v>
      </c>
      <c r="G51" s="1">
        <f>[1]Results!J1412</f>
        <v>1328807.2609999999</v>
      </c>
      <c r="H51" s="1">
        <f>[1]Results!K1412</f>
        <v>1366774.8389999999</v>
      </c>
      <c r="I51" s="1">
        <f>[1]Results!L1412</f>
        <v>1405142.841</v>
      </c>
      <c r="J51" s="1">
        <f>[1]Results!M1412</f>
        <v>1448096.3870000001</v>
      </c>
      <c r="K51" s="1">
        <f>[1]Results!N1412</f>
        <v>1498916.534</v>
      </c>
      <c r="L51" s="1">
        <f>[1]Results!O1412</f>
        <v>1552694.3259999999</v>
      </c>
      <c r="M51" s="1">
        <f>[1]Results!P1412</f>
        <v>1613149.7560000001</v>
      </c>
      <c r="N51" s="1">
        <f>[1]Results!Q1412</f>
        <v>1671445.4550000001</v>
      </c>
      <c r="O51" s="1">
        <f>[1]Results!R1412</f>
        <v>1721250.2749999999</v>
      </c>
      <c r="P51" s="1">
        <f>[1]Results!S1412</f>
        <v>1769018.814</v>
      </c>
      <c r="Q51" s="1">
        <f>[1]Results!T1412</f>
        <v>1814298.2350000001</v>
      </c>
      <c r="R51" s="1">
        <f>[1]Results!U1412</f>
        <v>1856819.2050000001</v>
      </c>
      <c r="S51" s="1">
        <f>[1]Results!V1412</f>
        <v>1897040.6850000001</v>
      </c>
      <c r="T51" s="1">
        <f>[1]Results!W1412</f>
        <v>1935318.7779999999</v>
      </c>
      <c r="U51" s="1">
        <f>[1]Results!X1412</f>
        <v>1971259.6310000001</v>
      </c>
      <c r="V51" s="1">
        <f>[1]Results!Y1412</f>
        <v>2004616.1839999999</v>
      </c>
      <c r="W51" s="1">
        <f>[1]Results!Z1412</f>
        <v>2034117.0530000001</v>
      </c>
      <c r="X51" s="1">
        <f>[1]Results!AA1412</f>
        <v>2062560.3689999999</v>
      </c>
      <c r="Y51" s="1">
        <f>[1]Results!AB1412</f>
        <v>2088987.8589999999</v>
      </c>
      <c r="Z51" s="1">
        <f>[1]Results!AC1412</f>
        <v>2113348.0129999998</v>
      </c>
      <c r="AA51" s="1">
        <f>[1]Results!AD1412</f>
        <v>2135710.6519999998</v>
      </c>
      <c r="AB51" s="1">
        <f>[1]Results!AE1412</f>
        <v>2151657.19</v>
      </c>
      <c r="AC51" s="1">
        <f>[1]Results!AF1412</f>
        <v>2168523.6549999998</v>
      </c>
      <c r="AD51" s="1">
        <f>[1]Results!AG1412</f>
        <v>2184646.9249999998</v>
      </c>
      <c r="AE51" s="1">
        <f>[1]Results!AH1412</f>
        <v>2198801.5419999999</v>
      </c>
      <c r="AF51" s="1">
        <f>[1]Results!AI1412</f>
        <v>2210661.0619999999</v>
      </c>
      <c r="AG51" s="1">
        <f>[1]Results!AJ1412</f>
        <v>2219957.801</v>
      </c>
      <c r="AH51" s="1">
        <f>[1]Results!AK1412</f>
        <v>2226337.59</v>
      </c>
      <c r="AI51" s="1">
        <f>[1]Results!AL1412</f>
        <v>2229748.1860000002</v>
      </c>
      <c r="AJ51" s="1">
        <f>[1]Results!AM1412</f>
        <v>2228747.3829999999</v>
      </c>
      <c r="AK51" s="1">
        <f>[1]Results!AN1412</f>
        <v>2222942.0249999999</v>
      </c>
      <c r="AL51" s="1">
        <f>[1]Results!AO1412</f>
        <v>2211932.1519999998</v>
      </c>
    </row>
    <row r="52" spans="1:38" x14ac:dyDescent="0.35">
      <c r="A52" s="3" t="str">
        <f>[1]Results!E1413</f>
        <v>INC_G_VAL_2</v>
      </c>
      <c r="B52" t="str">
        <f>[1]Results!C1413</f>
        <v>Recettes publiques</v>
      </c>
      <c r="C52" s="1">
        <f>[1]Results!F1413</f>
        <v>1010641.04</v>
      </c>
      <c r="D52" s="1">
        <f>[1]Results!G1413</f>
        <v>1047012.963</v>
      </c>
      <c r="E52" s="1">
        <f>[1]Results!H1413</f>
        <v>1088101.075</v>
      </c>
      <c r="F52" s="1">
        <f>[1]Results!I1413</f>
        <v>1133936.969</v>
      </c>
      <c r="G52" s="1">
        <f>[1]Results!J1413</f>
        <v>1183785.1880000001</v>
      </c>
      <c r="H52" s="1">
        <f>[1]Results!K1413</f>
        <v>1237494.2390000001</v>
      </c>
      <c r="I52" s="1">
        <f>[1]Results!L1413</f>
        <v>1294974.834</v>
      </c>
      <c r="J52" s="1">
        <f>[1]Results!M1413</f>
        <v>1355743.378</v>
      </c>
      <c r="K52" s="1">
        <f>[1]Results!N1413</f>
        <v>1421543.3629999999</v>
      </c>
      <c r="L52" s="1">
        <f>[1]Results!O1413</f>
        <v>1498419.04</v>
      </c>
      <c r="M52" s="1">
        <f>[1]Results!P1413</f>
        <v>1587061.3359999999</v>
      </c>
      <c r="N52" s="1">
        <f>[1]Results!Q1413</f>
        <v>1679440.702</v>
      </c>
      <c r="O52" s="1">
        <f>[1]Results!R1413</f>
        <v>1771687.993</v>
      </c>
      <c r="P52" s="1">
        <f>[1]Results!S1413</f>
        <v>1861020.933</v>
      </c>
      <c r="Q52" s="1">
        <f>[1]Results!T1413</f>
        <v>1946165.9750000001</v>
      </c>
      <c r="R52" s="1">
        <f>[1]Results!U1413</f>
        <v>2026629.44</v>
      </c>
      <c r="S52" s="1">
        <f>[1]Results!V1413</f>
        <v>2102441.2409999999</v>
      </c>
      <c r="T52" s="1">
        <f>[1]Results!W1413</f>
        <v>2174433.034</v>
      </c>
      <c r="U52" s="1">
        <f>[1]Results!X1413</f>
        <v>2243638.5109999999</v>
      </c>
      <c r="V52" s="1">
        <f>[1]Results!Y1413</f>
        <v>2311186.8790000002</v>
      </c>
      <c r="W52" s="1">
        <f>[1]Results!Z1413</f>
        <v>2377586.4300000002</v>
      </c>
      <c r="X52" s="1">
        <f>[1]Results!AA1413</f>
        <v>2444258.1039999998</v>
      </c>
      <c r="Y52" s="1">
        <f>[1]Results!AB1413</f>
        <v>2512267.1460000002</v>
      </c>
      <c r="Z52" s="1">
        <f>[1]Results!AC1413</f>
        <v>2583109.81</v>
      </c>
      <c r="AA52" s="1">
        <f>[1]Results!AD1413</f>
        <v>2658238.5380000002</v>
      </c>
      <c r="AB52" s="1">
        <f>[1]Results!AE1413</f>
        <v>2738028.4870000002</v>
      </c>
      <c r="AC52" s="1">
        <f>[1]Results!AF1413</f>
        <v>2823540.66</v>
      </c>
      <c r="AD52" s="1">
        <f>[1]Results!AG1413</f>
        <v>2916629.59</v>
      </c>
      <c r="AE52" s="1">
        <f>[1]Results!AH1413</f>
        <v>3019617.6320000002</v>
      </c>
      <c r="AF52" s="1">
        <f>[1]Results!AI1413</f>
        <v>3134092.1809999999</v>
      </c>
      <c r="AG52" s="1">
        <f>[1]Results!AJ1413</f>
        <v>3260875.44</v>
      </c>
      <c r="AH52" s="1">
        <f>[1]Results!AK1413</f>
        <v>3400231.9270000001</v>
      </c>
      <c r="AI52" s="1">
        <f>[1]Results!AL1413</f>
        <v>3552475.2220000001</v>
      </c>
      <c r="AJ52" s="1">
        <f>[1]Results!AM1413</f>
        <v>3717578.6540000001</v>
      </c>
      <c r="AK52" s="1">
        <f>[1]Results!AN1413</f>
        <v>3895167.8960000002</v>
      </c>
      <c r="AL52" s="1">
        <f>[1]Results!AO1413</f>
        <v>4084462.6260000002</v>
      </c>
    </row>
    <row r="53" spans="1:38" x14ac:dyDescent="0.35">
      <c r="A53" s="3" t="str">
        <f>[1]Results!E1414</f>
        <v>Bal_G_tot_VAL_2</v>
      </c>
      <c r="B53" t="str">
        <f>[1]Results!C1414</f>
        <v>Solde public</v>
      </c>
      <c r="C53" s="1">
        <f>[1]Results!F1414</f>
        <v>-65230.331310000001</v>
      </c>
      <c r="D53" s="1">
        <f>[1]Results!G1414</f>
        <v>-63903.182500000003</v>
      </c>
      <c r="E53" s="1">
        <f>[1]Results!H1414</f>
        <v>-55421.129459999996</v>
      </c>
      <c r="F53" s="1">
        <f>[1]Results!I1414</f>
        <v>-44527.06985</v>
      </c>
      <c r="G53" s="1">
        <f>[1]Results!J1414</f>
        <v>-31590.919839999999</v>
      </c>
      <c r="H53" s="1">
        <f>[1]Results!K1414</f>
        <v>-14269.900149999999</v>
      </c>
      <c r="I53" s="1">
        <f>[1]Results!L1414</f>
        <v>5556.1871680000004</v>
      </c>
      <c r="J53" s="1">
        <f>[1]Results!M1414</f>
        <v>23093.375749999999</v>
      </c>
      <c r="K53" s="1">
        <f>[1]Results!N1414</f>
        <v>36918.544739999998</v>
      </c>
      <c r="L53" s="1">
        <f>[1]Results!O1414</f>
        <v>58170.503539999998</v>
      </c>
      <c r="M53" s="1">
        <f>[1]Results!P1414</f>
        <v>83448.843789999999</v>
      </c>
      <c r="N53" s="1">
        <f>[1]Results!Q1414</f>
        <v>113360.06879999999</v>
      </c>
      <c r="O53" s="1">
        <f>[1]Results!R1414</f>
        <v>150134.53649999999</v>
      </c>
      <c r="P53" s="1">
        <f>[1]Results!S1414</f>
        <v>184192.2096</v>
      </c>
      <c r="Q53" s="1">
        <f>[1]Results!T1414</f>
        <v>214848.2213</v>
      </c>
      <c r="R53" s="1">
        <f>[1]Results!U1414</f>
        <v>242048.30530000001</v>
      </c>
      <c r="S53" s="1">
        <f>[1]Results!V1414</f>
        <v>265536.21090000001</v>
      </c>
      <c r="T53" s="1">
        <f>[1]Results!W1414</f>
        <v>285973.10009999998</v>
      </c>
      <c r="U53" s="1">
        <f>[1]Results!X1414</f>
        <v>304939.06939999998</v>
      </c>
      <c r="V53" s="1">
        <f>[1]Results!Y1414</f>
        <v>323883.9302</v>
      </c>
      <c r="W53" s="1">
        <f>[1]Results!Z1414</f>
        <v>344588.41570000001</v>
      </c>
      <c r="X53" s="1">
        <f>[1]Results!AA1414</f>
        <v>365587.35259999998</v>
      </c>
      <c r="Y53" s="1">
        <f>[1]Results!AB1414</f>
        <v>388889.538</v>
      </c>
      <c r="Z53" s="1">
        <f>[1]Results!AC1414</f>
        <v>415927.57079999999</v>
      </c>
      <c r="AA53" s="1">
        <f>[1]Results!AD1414</f>
        <v>447897.28129999997</v>
      </c>
      <c r="AB53" s="1">
        <f>[1]Results!AE1414</f>
        <v>489345.82760000002</v>
      </c>
      <c r="AC53" s="1">
        <f>[1]Results!AF1414</f>
        <v>533524.24549999996</v>
      </c>
      <c r="AD53" s="1">
        <f>[1]Results!AG1414</f>
        <v>583813.69180000003</v>
      </c>
      <c r="AE53" s="1">
        <f>[1]Results!AH1414</f>
        <v>643456.43359999999</v>
      </c>
      <c r="AF53" s="1">
        <f>[1]Results!AI1414</f>
        <v>713898.64</v>
      </c>
      <c r="AG53" s="1">
        <f>[1]Results!AJ1414</f>
        <v>795690.22849999997</v>
      </c>
      <c r="AH53" s="1">
        <f>[1]Results!AK1414</f>
        <v>888882.41449999996</v>
      </c>
      <c r="AI53" s="1">
        <f>[1]Results!AL1414</f>
        <v>993270.99280000001</v>
      </c>
      <c r="AJ53" s="1">
        <f>[1]Results!AM1414</f>
        <v>1109711.679</v>
      </c>
      <c r="AK53" s="1">
        <f>[1]Results!AN1414</f>
        <v>1237620.6939999999</v>
      </c>
      <c r="AL53" s="1">
        <f>[1]Results!AO1414</f>
        <v>1376044.2620000001</v>
      </c>
    </row>
    <row r="54" spans="1:38" x14ac:dyDescent="0.35">
      <c r="A54" s="3" t="str">
        <f>[1]Results!E1415</f>
        <v>DEBT_G_VAL_2</v>
      </c>
      <c r="B54" t="str">
        <f>[1]Results!C1415</f>
        <v>Dette publique</v>
      </c>
      <c r="C54" s="1">
        <f>[1]Results!F1415</f>
        <v>2104771.6850000001</v>
      </c>
      <c r="D54" s="1">
        <f>[1]Results!G1415</f>
        <v>2168674.8670000001</v>
      </c>
      <c r="E54" s="1">
        <f>[1]Results!H1415</f>
        <v>2224095.997</v>
      </c>
      <c r="F54" s="1">
        <f>[1]Results!I1415</f>
        <v>2268623.0669999998</v>
      </c>
      <c r="G54" s="1">
        <f>[1]Results!J1415</f>
        <v>2300213.986</v>
      </c>
      <c r="H54" s="1">
        <f>[1]Results!K1415</f>
        <v>2314483.8870000001</v>
      </c>
      <c r="I54" s="1">
        <f>[1]Results!L1415</f>
        <v>2308927.699</v>
      </c>
      <c r="J54" s="1">
        <f>[1]Results!M1415</f>
        <v>2285834.324</v>
      </c>
      <c r="K54" s="1">
        <f>[1]Results!N1415</f>
        <v>2248915.7790000001</v>
      </c>
      <c r="L54" s="1">
        <f>[1]Results!O1415</f>
        <v>2190745.2749999999</v>
      </c>
      <c r="M54" s="1">
        <f>[1]Results!P1415</f>
        <v>2107296.432</v>
      </c>
      <c r="N54" s="1">
        <f>[1]Results!Q1415</f>
        <v>1993936.3629999999</v>
      </c>
      <c r="O54" s="1">
        <f>[1]Results!R1415</f>
        <v>1843801.8259999999</v>
      </c>
      <c r="P54" s="1">
        <f>[1]Results!S1415</f>
        <v>1659609.6170000001</v>
      </c>
      <c r="Q54" s="1">
        <f>[1]Results!T1415</f>
        <v>1444761.395</v>
      </c>
      <c r="R54" s="1">
        <f>[1]Results!U1415</f>
        <v>1202713.0900000001</v>
      </c>
      <c r="S54" s="1">
        <f>[1]Results!V1415</f>
        <v>937176.87910000002</v>
      </c>
      <c r="T54" s="1">
        <f>[1]Results!W1415</f>
        <v>651203.77910000004</v>
      </c>
      <c r="U54" s="1">
        <f>[1]Results!X1415</f>
        <v>346264.70970000001</v>
      </c>
      <c r="V54" s="1">
        <f>[1]Results!Y1415</f>
        <v>22380.77951</v>
      </c>
      <c r="W54" s="1">
        <f>[1]Results!Z1415</f>
        <v>-322207.63620000001</v>
      </c>
      <c r="X54" s="1">
        <f>[1]Results!AA1415</f>
        <v>-687794.98880000005</v>
      </c>
      <c r="Y54" s="1">
        <f>[1]Results!AB1415</f>
        <v>-1076684.527</v>
      </c>
      <c r="Z54" s="1">
        <f>[1]Results!AC1415</f>
        <v>-1492612.0970000001</v>
      </c>
      <c r="AA54" s="1">
        <f>[1]Results!AD1415</f>
        <v>-1940509.379</v>
      </c>
      <c r="AB54" s="1">
        <f>[1]Results!AE1415</f>
        <v>-2429855.2059999998</v>
      </c>
      <c r="AC54" s="1">
        <f>[1]Results!AF1415</f>
        <v>-2963379.452</v>
      </c>
      <c r="AD54" s="1">
        <f>[1]Results!AG1415</f>
        <v>-3547193.1439999999</v>
      </c>
      <c r="AE54" s="1">
        <f>[1]Results!AH1415</f>
        <v>-4190649.577</v>
      </c>
      <c r="AF54" s="1">
        <f>[1]Results!AI1415</f>
        <v>-4904548.2170000002</v>
      </c>
      <c r="AG54" s="1">
        <f>[1]Results!AJ1415</f>
        <v>-5700238.4460000005</v>
      </c>
      <c r="AH54" s="1">
        <f>[1]Results!AK1415</f>
        <v>-6589120.8600000003</v>
      </c>
      <c r="AI54" s="1">
        <f>[1]Results!AL1415</f>
        <v>-7582391.8530000001</v>
      </c>
      <c r="AJ54" s="1">
        <f>[1]Results!AM1415</f>
        <v>-8692103.5319999997</v>
      </c>
      <c r="AK54" s="1">
        <f>[1]Results!AN1415</f>
        <v>-9929724.2259999998</v>
      </c>
      <c r="AL54" s="1">
        <f>[1]Results!AO1415</f>
        <v>-11305768.49</v>
      </c>
    </row>
    <row r="55" spans="1:38" x14ac:dyDescent="0.35"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1:38" x14ac:dyDescent="0.35">
      <c r="A56" s="10" t="s">
        <v>3</v>
      </c>
      <c r="B56" t="s">
        <v>4</v>
      </c>
      <c r="C56" s="1">
        <f>[1]Results!F1789</f>
        <v>1.001631393</v>
      </c>
      <c r="D56" s="1">
        <f>[1]Results!G1789</f>
        <v>1.0206068930000001</v>
      </c>
      <c r="E56" s="1">
        <f>[1]Results!H1789</f>
        <v>1.0400869129999999</v>
      </c>
      <c r="F56" s="1">
        <f>[1]Results!I1789</f>
        <v>1.0611078780000001</v>
      </c>
      <c r="G56" s="1">
        <f>[1]Results!J1789</f>
        <v>1.081372328</v>
      </c>
      <c r="H56" s="1">
        <f>[1]Results!K1789</f>
        <v>1.10244509</v>
      </c>
      <c r="I56" s="1">
        <f>[1]Results!L1789</f>
        <v>1.124501167</v>
      </c>
      <c r="J56" s="1">
        <f>[1]Results!M1789</f>
        <v>1.1475584809999999</v>
      </c>
      <c r="K56" s="1">
        <f>[1]Results!N1789</f>
        <v>1.171561689</v>
      </c>
      <c r="L56" s="1">
        <f>[1]Results!O1789</f>
        <v>1.1964528560000001</v>
      </c>
      <c r="M56" s="1">
        <f>[1]Results!P1789</f>
        <v>1.2219513470000001</v>
      </c>
      <c r="N56" s="1">
        <f>[1]Results!Q1789</f>
        <v>1.2472836780000001</v>
      </c>
      <c r="O56" s="1">
        <f>[1]Results!R1789</f>
        <v>1.271728111</v>
      </c>
      <c r="P56" s="1">
        <f>[1]Results!S1789</f>
        <v>1.2947383459999999</v>
      </c>
      <c r="Q56" s="1">
        <f>[1]Results!T1789</f>
        <v>1.3160308469999999</v>
      </c>
      <c r="R56" s="1">
        <f>[1]Results!U1789</f>
        <v>1.335492195</v>
      </c>
      <c r="S56" s="1">
        <f>[1]Results!V1789</f>
        <v>1.3530612639999999</v>
      </c>
      <c r="T56" s="1">
        <f>[1]Results!W1789</f>
        <v>1.368788994</v>
      </c>
      <c r="U56" s="1">
        <f>[1]Results!X1789</f>
        <v>1.3829125659999999</v>
      </c>
      <c r="V56" s="1">
        <f>[1]Results!Y1789</f>
        <v>1.395777327</v>
      </c>
      <c r="W56" s="1">
        <f>[1]Results!Z1789</f>
        <v>1.4078747439999999</v>
      </c>
      <c r="X56" s="1">
        <f>[1]Results!AA1789</f>
        <v>1.419596506</v>
      </c>
      <c r="Y56" s="1">
        <f>[1]Results!AB1789</f>
        <v>1.431409087</v>
      </c>
      <c r="Z56" s="1">
        <f>[1]Results!AC1789</f>
        <v>1.4438214009999999</v>
      </c>
      <c r="AA56" s="1">
        <f>[1]Results!AD1789</f>
        <v>1.45739839</v>
      </c>
      <c r="AB56" s="1">
        <f>[1]Results!AE1789</f>
        <v>1.4728744469999999</v>
      </c>
      <c r="AC56" s="1">
        <f>[1]Results!AF1789</f>
        <v>1.4904219540000001</v>
      </c>
      <c r="AD56" s="1">
        <f>[1]Results!AG1789</f>
        <v>1.5103327879999999</v>
      </c>
      <c r="AE56" s="1">
        <f>[1]Results!AH1789</f>
        <v>1.532888467</v>
      </c>
      <c r="AF56" s="1">
        <f>[1]Results!AI1789</f>
        <v>1.5582123889999999</v>
      </c>
      <c r="AG56" s="1">
        <f>[1]Results!AJ1789</f>
        <v>1.586369691</v>
      </c>
      <c r="AH56" s="1">
        <f>[1]Results!AK1789</f>
        <v>1.6173420489999999</v>
      </c>
      <c r="AI56" s="1">
        <f>[1]Results!AL1789</f>
        <v>1.6510394230000001</v>
      </c>
      <c r="AJ56" s="1">
        <f>[1]Results!AM1789</f>
        <v>1.687307001</v>
      </c>
      <c r="AK56" s="1">
        <f>[1]Results!AN1789</f>
        <v>1.72592477</v>
      </c>
      <c r="AL56" s="1">
        <f>[1]Results!AO1789</f>
        <v>1.766609908</v>
      </c>
    </row>
    <row r="57" spans="1:38" x14ac:dyDescent="0.35">
      <c r="A57" s="10"/>
      <c r="B57" t="s">
        <v>6</v>
      </c>
      <c r="C57" s="1">
        <f>[1]Results!F1760</f>
        <v>1.001631393</v>
      </c>
      <c r="D57" s="1">
        <f>[1]Results!G1760</f>
        <v>1.0206068930000001</v>
      </c>
      <c r="E57" s="1">
        <f>[1]Results!H1760</f>
        <v>1.0400869129999999</v>
      </c>
      <c r="F57" s="1">
        <f>[1]Results!I1760</f>
        <v>1.0611078780000001</v>
      </c>
      <c r="G57" s="1">
        <f>[1]Results!J1760</f>
        <v>1.081372328</v>
      </c>
      <c r="H57" s="1">
        <f>[1]Results!K1760</f>
        <v>1.1024450910000001</v>
      </c>
      <c r="I57" s="1">
        <f>[1]Results!L1760</f>
        <v>1.1245011680000001</v>
      </c>
      <c r="J57" s="1">
        <f>[1]Results!M1760</f>
        <v>1.1524145020000001</v>
      </c>
      <c r="K57" s="1">
        <f>[1]Results!N1760</f>
        <v>1.1835986860000001</v>
      </c>
      <c r="L57" s="1">
        <f>[1]Results!O1760</f>
        <v>1.219522225</v>
      </c>
      <c r="M57" s="1">
        <f>[1]Results!P1760</f>
        <v>1.2611618469999999</v>
      </c>
      <c r="N57" s="1">
        <f>[1]Results!Q1760</f>
        <v>1.2983930910000001</v>
      </c>
      <c r="O57" s="1">
        <f>[1]Results!R1760</f>
        <v>1.334762201</v>
      </c>
      <c r="P57" s="1">
        <f>[1]Results!S1760</f>
        <v>1.36972611</v>
      </c>
      <c r="Q57" s="1">
        <f>[1]Results!T1760</f>
        <v>1.402850232</v>
      </c>
      <c r="R57" s="1">
        <f>[1]Results!U1760</f>
        <v>1.433794263</v>
      </c>
      <c r="S57" s="1">
        <f>[1]Results!V1760</f>
        <v>1.4631108420000001</v>
      </c>
      <c r="T57" s="1">
        <f>[1]Results!W1760</f>
        <v>1.490602899</v>
      </c>
      <c r="U57" s="1">
        <f>[1]Results!X1760</f>
        <v>1.51603708</v>
      </c>
      <c r="V57" s="1">
        <f>[1]Results!Y1760</f>
        <v>1.5392313</v>
      </c>
      <c r="W57" s="1">
        <f>[1]Results!Z1760</f>
        <v>1.560656228</v>
      </c>
      <c r="X57" s="1">
        <f>[1]Results!AA1760</f>
        <v>1.57980839</v>
      </c>
      <c r="Y57" s="1">
        <f>[1]Results!AB1760</f>
        <v>1.5977679950000001</v>
      </c>
      <c r="Z57" s="1">
        <f>[1]Results!AC1760</f>
        <v>1.614916555</v>
      </c>
      <c r="AA57" s="1">
        <f>[1]Results!AD1760</f>
        <v>1.6317403930000001</v>
      </c>
      <c r="AB57" s="1">
        <f>[1]Results!AE1760</f>
        <v>1.6489939469999999</v>
      </c>
      <c r="AC57" s="1">
        <f>[1]Results!AF1760</f>
        <v>1.6668398980000001</v>
      </c>
      <c r="AD57" s="1">
        <f>[1]Results!AG1760</f>
        <v>1.6866412500000001</v>
      </c>
      <c r="AE57" s="1">
        <f>[1]Results!AH1760</f>
        <v>1.708720534</v>
      </c>
      <c r="AF57" s="1">
        <f>[1]Results!AI1760</f>
        <v>1.733258186</v>
      </c>
      <c r="AG57" s="1">
        <f>[1]Results!AJ1760</f>
        <v>1.760409686</v>
      </c>
      <c r="AH57" s="1">
        <f>[1]Results!AK1760</f>
        <v>1.7902401050000001</v>
      </c>
      <c r="AI57" s="1">
        <f>[1]Results!AL1760</f>
        <v>1.823216776</v>
      </c>
      <c r="AJ57" s="1">
        <f>[1]Results!AM1760</f>
        <v>1.8592909280000001</v>
      </c>
      <c r="AK57" s="1">
        <f>[1]Results!AN1760</f>
        <v>1.8983333520000001</v>
      </c>
      <c r="AL57" s="1">
        <f>[1]Results!AO1760</f>
        <v>1.940142933</v>
      </c>
    </row>
    <row r="58" spans="1:38" x14ac:dyDescent="0.35"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spans="1:38" x14ac:dyDescent="0.35">
      <c r="A59" s="10" t="s">
        <v>1</v>
      </c>
      <c r="B59" t="str">
        <f>B56</f>
        <v>Baseline</v>
      </c>
      <c r="D59" s="1">
        <f t="shared" ref="D59:AL59" si="0">(D56/C56-1)*100</f>
        <v>1.8944593922087805</v>
      </c>
      <c r="E59" s="1">
        <f t="shared" si="0"/>
        <v>1.9086702366608366</v>
      </c>
      <c r="F59" s="1">
        <f t="shared" si="0"/>
        <v>2.0210777327606122</v>
      </c>
      <c r="G59" s="1">
        <f t="shared" si="0"/>
        <v>1.9097445622771936</v>
      </c>
      <c r="H59" s="1">
        <f t="shared" si="0"/>
        <v>1.9487054971134787</v>
      </c>
      <c r="I59" s="1">
        <f t="shared" si="0"/>
        <v>2.0006508442066639</v>
      </c>
      <c r="J59" s="1">
        <f t="shared" si="0"/>
        <v>2.0504482055375028</v>
      </c>
      <c r="K59" s="1">
        <f t="shared" si="0"/>
        <v>2.0916762324028504</v>
      </c>
      <c r="L59" s="1">
        <f t="shared" si="0"/>
        <v>2.124614284822357</v>
      </c>
      <c r="M59" s="1">
        <f t="shared" si="0"/>
        <v>2.1311739005953845</v>
      </c>
      <c r="N59" s="1">
        <f t="shared" si="0"/>
        <v>2.0731047158459415</v>
      </c>
      <c r="O59" s="1">
        <f t="shared" si="0"/>
        <v>1.9598134274631196</v>
      </c>
      <c r="P59" s="1">
        <f t="shared" si="0"/>
        <v>1.8093674898721934</v>
      </c>
      <c r="Q59" s="1">
        <f t="shared" si="0"/>
        <v>1.6445408499548675</v>
      </c>
      <c r="R59" s="1">
        <f t="shared" si="0"/>
        <v>1.4787911730461234</v>
      </c>
      <c r="S59" s="1">
        <f t="shared" si="0"/>
        <v>1.3155501069775921</v>
      </c>
      <c r="T59" s="1">
        <f t="shared" si="0"/>
        <v>1.1623812179431425</v>
      </c>
      <c r="U59" s="1">
        <f t="shared" si="0"/>
        <v>1.0318297459951609</v>
      </c>
      <c r="V59" s="1">
        <f t="shared" si="0"/>
        <v>0.93026568101921558</v>
      </c>
      <c r="W59" s="1">
        <f t="shared" si="0"/>
        <v>0.86671539693234934</v>
      </c>
      <c r="X59" s="1">
        <f t="shared" si="0"/>
        <v>0.83258557268359734</v>
      </c>
      <c r="Y59" s="1">
        <f t="shared" si="0"/>
        <v>0.83210834558085089</v>
      </c>
      <c r="Z59" s="1">
        <f t="shared" si="0"/>
        <v>0.86713952794683635</v>
      </c>
      <c r="AA59" s="1">
        <f t="shared" si="0"/>
        <v>0.94035100121085957</v>
      </c>
      <c r="AB59" s="1">
        <f t="shared" si="0"/>
        <v>1.0618961229948765</v>
      </c>
      <c r="AC59" s="1">
        <f t="shared" si="0"/>
        <v>1.1913783307016867</v>
      </c>
      <c r="AD59" s="1">
        <f t="shared" si="0"/>
        <v>1.3359192641092754</v>
      </c>
      <c r="AE59" s="1">
        <f t="shared" si="0"/>
        <v>1.4934244412364572</v>
      </c>
      <c r="AF59" s="1">
        <f t="shared" si="0"/>
        <v>1.6520394369957669</v>
      </c>
      <c r="AG59" s="1">
        <f t="shared" si="0"/>
        <v>1.8070259355382534</v>
      </c>
      <c r="AH59" s="1">
        <f t="shared" si="0"/>
        <v>1.9524048004520234</v>
      </c>
      <c r="AI59" s="1">
        <f t="shared" si="0"/>
        <v>2.0835032404453502</v>
      </c>
      <c r="AJ59" s="1">
        <f t="shared" si="0"/>
        <v>2.1966512425306117</v>
      </c>
      <c r="AK59" s="1">
        <f t="shared" si="0"/>
        <v>2.2887221458284035</v>
      </c>
      <c r="AL59" s="1">
        <f t="shared" si="0"/>
        <v>2.3572949822140865</v>
      </c>
    </row>
    <row r="60" spans="1:38" x14ac:dyDescent="0.35">
      <c r="A60" s="10"/>
      <c r="B60" t="str">
        <f>B57</f>
        <v>NZ50</v>
      </c>
      <c r="D60" s="1">
        <f t="shared" ref="D60:AL60" si="1">(D57/C57-1)*100</f>
        <v>1.8944593922087805</v>
      </c>
      <c r="E60" s="1">
        <f t="shared" si="1"/>
        <v>1.9086702366608366</v>
      </c>
      <c r="F60" s="1">
        <f t="shared" si="1"/>
        <v>2.0210777327606122</v>
      </c>
      <c r="G60" s="1">
        <f t="shared" si="1"/>
        <v>1.9097445622771936</v>
      </c>
      <c r="H60" s="1">
        <f t="shared" si="1"/>
        <v>1.948705589588573</v>
      </c>
      <c r="I60" s="1">
        <f t="shared" si="1"/>
        <v>2.0006508423919378</v>
      </c>
      <c r="J60" s="1">
        <f t="shared" si="1"/>
        <v>2.4822859054602464</v>
      </c>
      <c r="K60" s="1">
        <f t="shared" si="1"/>
        <v>2.7059867734986254</v>
      </c>
      <c r="L60" s="1">
        <f t="shared" si="1"/>
        <v>3.0351114296522486</v>
      </c>
      <c r="M60" s="1">
        <f t="shared" si="1"/>
        <v>3.4144209220951183</v>
      </c>
      <c r="N60" s="1">
        <f t="shared" si="1"/>
        <v>2.9521384656984617</v>
      </c>
      <c r="O60" s="1">
        <f t="shared" si="1"/>
        <v>2.8010862235865019</v>
      </c>
      <c r="P60" s="1">
        <f t="shared" si="1"/>
        <v>2.6194860008625698</v>
      </c>
      <c r="Q60" s="1">
        <f t="shared" si="1"/>
        <v>2.4183025904354061</v>
      </c>
      <c r="R60" s="1">
        <f t="shared" si="1"/>
        <v>2.2057971901878748</v>
      </c>
      <c r="S60" s="1">
        <f t="shared" si="1"/>
        <v>2.0446851934432742</v>
      </c>
      <c r="T60" s="1">
        <f t="shared" si="1"/>
        <v>1.8790139619510704</v>
      </c>
      <c r="U60" s="1">
        <f t="shared" si="1"/>
        <v>1.7063015922659908</v>
      </c>
      <c r="V60" s="1">
        <f t="shared" si="1"/>
        <v>1.529924320848397</v>
      </c>
      <c r="W60" s="1">
        <f t="shared" si="1"/>
        <v>1.3919238778473453</v>
      </c>
      <c r="X60" s="1">
        <f t="shared" si="1"/>
        <v>1.227186465307839</v>
      </c>
      <c r="Y60" s="1">
        <f t="shared" si="1"/>
        <v>1.1368217255764979</v>
      </c>
      <c r="Z60" s="1">
        <f t="shared" si="1"/>
        <v>1.0732822320677293</v>
      </c>
      <c r="AA60" s="1">
        <f t="shared" si="1"/>
        <v>1.0417775424935272</v>
      </c>
      <c r="AB60" s="1">
        <f t="shared" si="1"/>
        <v>1.0573712628562548</v>
      </c>
      <c r="AC60" s="1">
        <f t="shared" si="1"/>
        <v>1.0822326566126694</v>
      </c>
      <c r="AD60" s="1">
        <f t="shared" si="1"/>
        <v>1.1879576451079066</v>
      </c>
      <c r="AE60" s="1">
        <f t="shared" si="1"/>
        <v>1.3090681850689956</v>
      </c>
      <c r="AF60" s="1">
        <f t="shared" si="1"/>
        <v>1.4360248801223774</v>
      </c>
      <c r="AG60" s="1">
        <f t="shared" si="1"/>
        <v>1.5665006067364873</v>
      </c>
      <c r="AH60" s="1">
        <f t="shared" si="1"/>
        <v>1.6945157276304634</v>
      </c>
      <c r="AI60" s="1">
        <f t="shared" si="1"/>
        <v>1.842025039428985</v>
      </c>
      <c r="AJ60" s="1">
        <f t="shared" si="1"/>
        <v>1.9785991701515737</v>
      </c>
      <c r="AK60" s="1">
        <f t="shared" si="1"/>
        <v>2.0998555638625627</v>
      </c>
      <c r="AL60" s="1">
        <f t="shared" si="1"/>
        <v>2.2024362031015876</v>
      </c>
    </row>
    <row r="61" spans="1:38" x14ac:dyDescent="0.35">
      <c r="A61" s="7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pans="1:38" x14ac:dyDescent="0.35">
      <c r="A62" s="10" t="s">
        <v>2</v>
      </c>
      <c r="B62" t="str">
        <f>B59</f>
        <v>Baseline</v>
      </c>
      <c r="C62" s="6">
        <f>[1]Emissions!B820</f>
        <v>347.93402889999999</v>
      </c>
      <c r="D62" s="6">
        <f>[1]Emissions!C820</f>
        <v>348.1185562</v>
      </c>
      <c r="E62" s="6">
        <f>[1]Emissions!D820</f>
        <v>348.4012262</v>
      </c>
      <c r="F62" s="6">
        <f>[1]Emissions!E820</f>
        <v>348.46053569999998</v>
      </c>
      <c r="G62" s="6">
        <f>[1]Emissions!F820</f>
        <v>350.55850340000001</v>
      </c>
      <c r="H62" s="6">
        <f>[1]Emissions!G820</f>
        <v>354.22566640000002</v>
      </c>
      <c r="I62" s="6">
        <f>[1]Emissions!H820</f>
        <v>359.2672523</v>
      </c>
      <c r="J62" s="6">
        <f>[1]Emissions!I820</f>
        <v>365.38696390000001</v>
      </c>
      <c r="K62" s="6">
        <f>[1]Emissions!J820</f>
        <v>372.27858609999998</v>
      </c>
      <c r="L62" s="6">
        <f>[1]Emissions!K820</f>
        <v>379.7610621</v>
      </c>
      <c r="M62" s="6">
        <f>[1]Emissions!L820</f>
        <v>387.56007249999999</v>
      </c>
      <c r="N62" s="6">
        <f>[1]Emissions!M820</f>
        <v>395.77780089999999</v>
      </c>
      <c r="O62" s="6">
        <f>[1]Emissions!N820</f>
        <v>403.40393130000001</v>
      </c>
      <c r="P62" s="6">
        <f>[1]Emissions!O820</f>
        <v>410.54680990000003</v>
      </c>
      <c r="Q62" s="6">
        <f>[1]Emissions!P820</f>
        <v>417.35888</v>
      </c>
      <c r="R62" s="6">
        <f>[1]Emissions!Q820</f>
        <v>424.01012059999999</v>
      </c>
      <c r="S62" s="6">
        <f>[1]Emissions!R820</f>
        <v>430.71143949999998</v>
      </c>
      <c r="T62" s="6">
        <f>[1]Emissions!S820</f>
        <v>437.73040650000002</v>
      </c>
      <c r="U62" s="6">
        <f>[1]Emissions!T820</f>
        <v>445.20018800000003</v>
      </c>
      <c r="V62" s="6">
        <f>[1]Emissions!U820</f>
        <v>453.24204689999999</v>
      </c>
      <c r="W62" s="6">
        <f>[1]Emissions!V820</f>
        <v>461.93873409999998</v>
      </c>
      <c r="X62" s="6">
        <f>[1]Emissions!W820</f>
        <v>471.50871009999997</v>
      </c>
      <c r="Y62" s="6">
        <f>[1]Emissions!X820</f>
        <v>482.10802960000001</v>
      </c>
      <c r="Z62" s="6">
        <f>[1]Emissions!Y820</f>
        <v>493.88295010000002</v>
      </c>
      <c r="AA62" s="6">
        <f>[1]Emissions!Z820</f>
        <v>506.95837699999998</v>
      </c>
      <c r="AB62" s="6">
        <f>[1]Emissions!AA820</f>
        <v>521.31538620000003</v>
      </c>
      <c r="AC62" s="6">
        <f>[1]Emissions!AB820</f>
        <v>533.14167620000001</v>
      </c>
      <c r="AD62" s="6">
        <f>[1]Emissions!AC820</f>
        <v>544.70908989999998</v>
      </c>
      <c r="AE62" s="6">
        <f>[1]Emissions!AD820</f>
        <v>557.02873390000002</v>
      </c>
      <c r="AF62" s="6">
        <f>[1]Emissions!AE820</f>
        <v>570.31030410000005</v>
      </c>
      <c r="AG62" s="6">
        <f>[1]Emissions!AF820</f>
        <v>584.45929379999995</v>
      </c>
      <c r="AH62" s="6">
        <f>[1]Emissions!AG820</f>
        <v>599.31063029999996</v>
      </c>
      <c r="AI62" s="6">
        <f>[1]Emissions!AH820</f>
        <v>614.69996800000001</v>
      </c>
      <c r="AJ62" s="6">
        <f>[1]Emissions!AI820</f>
        <v>630.46632069999998</v>
      </c>
      <c r="AK62" s="6">
        <f>[1]Emissions!AJ820</f>
        <v>646.44886740000004</v>
      </c>
      <c r="AL62" s="6">
        <f>[1]Emissions!AK820</f>
        <v>662.48383439999998</v>
      </c>
    </row>
    <row r="63" spans="1:38" x14ac:dyDescent="0.35">
      <c r="A63" s="10"/>
      <c r="B63" t="str">
        <f>B60</f>
        <v>NZ50</v>
      </c>
      <c r="C63" s="6">
        <f>[1]Emissions!B825</f>
        <v>347.93405150000001</v>
      </c>
      <c r="D63" s="6">
        <f>[1]Emissions!C825</f>
        <v>348.11857830000002</v>
      </c>
      <c r="E63" s="6">
        <f>[1]Emissions!D825</f>
        <v>348.4012477</v>
      </c>
      <c r="F63" s="6">
        <f>[1]Emissions!E825</f>
        <v>348.46055669999998</v>
      </c>
      <c r="G63" s="6">
        <f>[1]Emissions!F825</f>
        <v>350.5585241</v>
      </c>
      <c r="H63" s="6">
        <f>[1]Emissions!G825</f>
        <v>354.22568710000002</v>
      </c>
      <c r="I63" s="6">
        <f>[1]Emissions!H825</f>
        <v>359.26727349999999</v>
      </c>
      <c r="J63" s="6">
        <f>[1]Emissions!I825</f>
        <v>362.08665200000002</v>
      </c>
      <c r="K63" s="6">
        <f>[1]Emissions!J825</f>
        <v>362.52394659999999</v>
      </c>
      <c r="L63" s="6">
        <f>[1]Emissions!K825</f>
        <v>362.0522474</v>
      </c>
      <c r="M63" s="6">
        <f>[1]Emissions!L825</f>
        <v>358.54333259999999</v>
      </c>
      <c r="N63" s="6">
        <f>[1]Emissions!M825</f>
        <v>358.0148858</v>
      </c>
      <c r="O63" s="6">
        <f>[1]Emissions!N825</f>
        <v>358.59566510000002</v>
      </c>
      <c r="P63" s="6">
        <f>[1]Emissions!O825</f>
        <v>359.87306260000003</v>
      </c>
      <c r="Q63" s="6">
        <f>[1]Emissions!P825</f>
        <v>361.67022589999999</v>
      </c>
      <c r="R63" s="6">
        <f>[1]Emissions!Q825</f>
        <v>363.86001479999999</v>
      </c>
      <c r="S63" s="6">
        <f>[1]Emissions!R825</f>
        <v>363.68957690000002</v>
      </c>
      <c r="T63" s="6">
        <f>[1]Emissions!S825</f>
        <v>363.33984249999997</v>
      </c>
      <c r="U63" s="6">
        <f>[1]Emissions!T825</f>
        <v>362.00625489999999</v>
      </c>
      <c r="V63" s="6">
        <f>[1]Emissions!U825</f>
        <v>357.94438020000001</v>
      </c>
      <c r="W63" s="6">
        <f>[1]Emissions!V825</f>
        <v>353.51968099999999</v>
      </c>
      <c r="X63" s="6">
        <f>[1]Emissions!W825</f>
        <v>349.1585086</v>
      </c>
      <c r="Y63" s="6">
        <f>[1]Emissions!X825</f>
        <v>344.97069520000002</v>
      </c>
      <c r="Z63" s="6">
        <f>[1]Emissions!Y825</f>
        <v>341.12120540000001</v>
      </c>
      <c r="AA63" s="6">
        <f>[1]Emissions!Z825</f>
        <v>337.8173122</v>
      </c>
      <c r="AB63" s="6">
        <f>[1]Emissions!AA825</f>
        <v>335.2037843</v>
      </c>
      <c r="AC63" s="6">
        <f>[1]Emissions!AB825</f>
        <v>330.95139019999999</v>
      </c>
      <c r="AD63" s="6">
        <f>[1]Emissions!AC825</f>
        <v>326.91266619999999</v>
      </c>
      <c r="AE63" s="6">
        <f>[1]Emissions!AD825</f>
        <v>323.78650920000001</v>
      </c>
      <c r="AF63" s="6">
        <f>[1]Emissions!AE825</f>
        <v>321.6804424</v>
      </c>
      <c r="AG63" s="6">
        <f>[1]Emissions!AF825</f>
        <v>320.48731479999998</v>
      </c>
      <c r="AH63" s="6">
        <f>[1]Emissions!AG825</f>
        <v>320.1617286</v>
      </c>
      <c r="AI63" s="6">
        <f>[1]Emissions!AH825</f>
        <v>320.55651549999999</v>
      </c>
      <c r="AJ63" s="6">
        <f>[1]Emissions!AI825</f>
        <v>321.53348080000001</v>
      </c>
      <c r="AK63" s="6">
        <f>[1]Emissions!AJ825</f>
        <v>322.97440810000001</v>
      </c>
      <c r="AL63" s="6">
        <f>[1]Emissions!AK825</f>
        <v>324.7823065</v>
      </c>
    </row>
    <row r="64" spans="1:38" x14ac:dyDescent="0.35">
      <c r="A64" s="9"/>
      <c r="B64" t="s">
        <v>27</v>
      </c>
      <c r="C64" s="6">
        <f>[1]Emissions!B829</f>
        <v>119.49049309999999</v>
      </c>
      <c r="D64" s="6">
        <f>[1]Emissions!C829</f>
        <v>118.4060939</v>
      </c>
      <c r="E64" s="6">
        <f>[1]Emissions!D829</f>
        <v>117.2074891</v>
      </c>
      <c r="F64" s="6">
        <f>[1]Emissions!E829</f>
        <v>116.0495744</v>
      </c>
      <c r="G64" s="6">
        <f>[1]Emissions!F829</f>
        <v>115.53652200000001</v>
      </c>
      <c r="H64" s="6">
        <f>[1]Emissions!G829</f>
        <v>115.423315</v>
      </c>
      <c r="I64" s="6">
        <f>[1]Emissions!H829</f>
        <v>115.5349813</v>
      </c>
      <c r="J64" s="6">
        <f>[1]Emissions!I829</f>
        <v>115.21380980000001</v>
      </c>
      <c r="K64" s="6">
        <f>[1]Emissions!J829</f>
        <v>114.3087293</v>
      </c>
      <c r="L64" s="6">
        <f>[1]Emissions!K829</f>
        <v>113.0608306</v>
      </c>
      <c r="M64" s="6">
        <f>[1]Emissions!L829</f>
        <v>111.2713236</v>
      </c>
      <c r="N64" s="6">
        <f>[1]Emissions!M829</f>
        <v>110.47662680000001</v>
      </c>
      <c r="O64" s="6">
        <f>[1]Emissions!N829</f>
        <v>110.1503191</v>
      </c>
      <c r="P64" s="6">
        <f>[1]Emissions!O829</f>
        <v>110.0191755</v>
      </c>
      <c r="Q64" s="6">
        <f>[1]Emissions!P829</f>
        <v>109.9371585</v>
      </c>
      <c r="R64" s="6">
        <f>[1]Emissions!Q829</f>
        <v>109.8290952</v>
      </c>
      <c r="S64" s="6">
        <f>[1]Emissions!R829</f>
        <v>109.073196</v>
      </c>
      <c r="T64" s="6">
        <f>[1]Emissions!S829</f>
        <v>108.1409124</v>
      </c>
      <c r="U64" s="6">
        <f>[1]Emissions!T829</f>
        <v>106.6330718</v>
      </c>
      <c r="V64" s="6">
        <f>[1]Emissions!U829</f>
        <v>103.6838406</v>
      </c>
      <c r="W64" s="6">
        <f>[1]Emissions!V829</f>
        <v>100.3883196</v>
      </c>
      <c r="X64" s="6">
        <f>[1]Emissions!W829</f>
        <v>96.873193659999998</v>
      </c>
      <c r="Y64" s="6">
        <f>[1]Emissions!X829</f>
        <v>93.148387929999998</v>
      </c>
      <c r="Z64" s="6">
        <f>[1]Emissions!Y829</f>
        <v>89.253319180000005</v>
      </c>
      <c r="AA64" s="6">
        <f>[1]Emissions!Z829</f>
        <v>85.245870769999996</v>
      </c>
      <c r="AB64" s="6">
        <f>[1]Emissions!AA829</f>
        <v>81.143658610000003</v>
      </c>
      <c r="AC64" s="6">
        <f>[1]Emissions!AB829</f>
        <v>77.084515589999995</v>
      </c>
      <c r="AD64" s="6">
        <f>[1]Emissions!AC829</f>
        <v>73.11046589</v>
      </c>
      <c r="AE64" s="6">
        <f>[1]Emissions!AD829</f>
        <v>69.24558073</v>
      </c>
      <c r="AF64" s="6">
        <f>[1]Emissions!AE829</f>
        <v>65.525256150000004</v>
      </c>
      <c r="AG64" s="6">
        <f>[1]Emissions!AF829</f>
        <v>61.98242235</v>
      </c>
      <c r="AH64" s="6">
        <f>[1]Emissions!AG829</f>
        <v>58.66571965</v>
      </c>
      <c r="AI64" s="6">
        <f>[1]Emissions!AH829</f>
        <v>55.582292619999997</v>
      </c>
      <c r="AJ64" s="6">
        <f>[1]Emissions!AI829</f>
        <v>52.740347939999999</v>
      </c>
      <c r="AK64" s="6">
        <f>[1]Emissions!AJ829</f>
        <v>50.146187249999997</v>
      </c>
      <c r="AL64" s="6">
        <f>[1]Emissions!AK829</f>
        <v>47.801817300000003</v>
      </c>
    </row>
    <row r="65" spans="1:38" x14ac:dyDescent="0.35">
      <c r="A65" s="9"/>
      <c r="B65" t="s">
        <v>28</v>
      </c>
      <c r="C65" s="6">
        <f>SUM(C66:C68)</f>
        <v>228.44355844039998</v>
      </c>
      <c r="D65" s="6">
        <f t="shared" ref="D65:AL65" si="2">SUM(D66:D68)</f>
        <v>229.712484367</v>
      </c>
      <c r="E65" s="6">
        <f t="shared" si="2"/>
        <v>231.19375857459997</v>
      </c>
      <c r="F65" s="6">
        <f t="shared" si="2"/>
        <v>232.41098222700001</v>
      </c>
      <c r="G65" s="6">
        <f t="shared" si="2"/>
        <v>235.02200215889999</v>
      </c>
      <c r="H65" s="6">
        <f t="shared" si="2"/>
        <v>238.8023721118</v>
      </c>
      <c r="I65" s="6">
        <f t="shared" si="2"/>
        <v>243.7322922036</v>
      </c>
      <c r="J65" s="6">
        <f t="shared" si="2"/>
        <v>246.8728421472</v>
      </c>
      <c r="K65" s="6">
        <f t="shared" si="2"/>
        <v>248.21521730680001</v>
      </c>
      <c r="L65" s="6">
        <f t="shared" si="2"/>
        <v>248.9914167986</v>
      </c>
      <c r="M65" s="6">
        <f t="shared" si="2"/>
        <v>247.2720089945</v>
      </c>
      <c r="N65" s="6">
        <f t="shared" si="2"/>
        <v>247.53825901590002</v>
      </c>
      <c r="O65" s="6">
        <f t="shared" si="2"/>
        <v>248.4453460034</v>
      </c>
      <c r="P65" s="6">
        <f t="shared" si="2"/>
        <v>249.85388710379999</v>
      </c>
      <c r="Q65" s="6">
        <f t="shared" si="2"/>
        <v>251.7330673372</v>
      </c>
      <c r="R65" s="6">
        <f t="shared" si="2"/>
        <v>254.03091960699999</v>
      </c>
      <c r="S65" s="6">
        <f t="shared" si="2"/>
        <v>254.6163809096</v>
      </c>
      <c r="T65" s="6">
        <f t="shared" si="2"/>
        <v>255.1989300701</v>
      </c>
      <c r="U65" s="6">
        <f t="shared" si="2"/>
        <v>255.3731831314</v>
      </c>
      <c r="V65" s="6">
        <f t="shared" si="2"/>
        <v>254.26053955039998</v>
      </c>
      <c r="W65" s="6">
        <f t="shared" si="2"/>
        <v>253.1313614268</v>
      </c>
      <c r="X65" s="6">
        <f t="shared" si="2"/>
        <v>252.28531492989998</v>
      </c>
      <c r="Y65" s="6">
        <f t="shared" si="2"/>
        <v>251.82230730589998</v>
      </c>
      <c r="Z65" s="6">
        <f t="shared" si="2"/>
        <v>251.86788627000001</v>
      </c>
      <c r="AA65" s="6">
        <f t="shared" si="2"/>
        <v>252.57144142850001</v>
      </c>
      <c r="AB65" s="6">
        <f t="shared" si="2"/>
        <v>254.0601257072</v>
      </c>
      <c r="AC65" s="6">
        <f t="shared" si="2"/>
        <v>253.8668746848</v>
      </c>
      <c r="AD65" s="6">
        <f t="shared" si="2"/>
        <v>253.8022002989</v>
      </c>
      <c r="AE65" s="6">
        <f t="shared" si="2"/>
        <v>254.54092848209999</v>
      </c>
      <c r="AF65" s="6">
        <f t="shared" si="2"/>
        <v>256.15518623179997</v>
      </c>
      <c r="AG65" s="6">
        <f t="shared" si="2"/>
        <v>258.50489245</v>
      </c>
      <c r="AH65" s="6">
        <f t="shared" si="2"/>
        <v>261.49600899900003</v>
      </c>
      <c r="AI65" s="6">
        <f t="shared" si="2"/>
        <v>264.9742229213</v>
      </c>
      <c r="AJ65" s="6">
        <f t="shared" si="2"/>
        <v>268.7931328322</v>
      </c>
      <c r="AK65" s="6">
        <f t="shared" si="2"/>
        <v>272.828220875</v>
      </c>
      <c r="AL65" s="6">
        <f t="shared" si="2"/>
        <v>276.98048920510001</v>
      </c>
    </row>
    <row r="66" spans="1:38" x14ac:dyDescent="0.35">
      <c r="A66" s="9"/>
      <c r="C66" s="5">
        <f>[1]Emissions!B826</f>
        <v>213.19625719999999</v>
      </c>
      <c r="D66" s="5">
        <f>[1]Emissions!C826</f>
        <v>214.2200924</v>
      </c>
      <c r="E66" s="5">
        <f>[1]Emissions!D826</f>
        <v>215.42242429999999</v>
      </c>
      <c r="F66" s="5">
        <f>[1]Emissions!E826</f>
        <v>216.339001</v>
      </c>
      <c r="G66" s="5">
        <f>[1]Emissions!F826</f>
        <v>218.6254557</v>
      </c>
      <c r="H66" s="5">
        <f>[1]Emissions!G826</f>
        <v>222.05713449999999</v>
      </c>
      <c r="I66" s="5">
        <f>[1]Emissions!H826</f>
        <v>226.61267910000001</v>
      </c>
      <c r="J66" s="5">
        <f>[1]Emissions!I826</f>
        <v>229.42028669999999</v>
      </c>
      <c r="K66" s="5">
        <f>[1]Emissions!J826</f>
        <v>230.4384866</v>
      </c>
      <c r="L66" s="5">
        <f>[1]Emissions!K826</f>
        <v>230.8493105</v>
      </c>
      <c r="M66" s="5">
        <f>[1]Emissions!L826</f>
        <v>228.77439759999999</v>
      </c>
      <c r="N66" s="5">
        <f>[1]Emissions!M826</f>
        <v>228.71632410000001</v>
      </c>
      <c r="O66" s="5">
        <f>[1]Emissions!N826</f>
        <v>229.31982970000001</v>
      </c>
      <c r="P66" s="5">
        <f>[1]Emissions!O826</f>
        <v>230.4337166</v>
      </c>
      <c r="Q66" s="5">
        <f>[1]Emissions!P826</f>
        <v>232.0154354</v>
      </c>
      <c r="R66" s="5">
        <f>[1]Emissions!Q826</f>
        <v>234.0060431</v>
      </c>
      <c r="S66" s="5">
        <f>[1]Emissions!R826</f>
        <v>234.26993580000001</v>
      </c>
      <c r="T66" s="5">
        <f>[1]Emissions!S826</f>
        <v>234.5163335</v>
      </c>
      <c r="U66" s="5">
        <f>[1]Emissions!T826</f>
        <v>234.33503959999999</v>
      </c>
      <c r="V66" s="5">
        <f>[1]Emissions!U826</f>
        <v>232.84247619999999</v>
      </c>
      <c r="W66" s="5">
        <f>[1]Emissions!V826</f>
        <v>231.306432</v>
      </c>
      <c r="X66" s="5">
        <f>[1]Emissions!W826</f>
        <v>230.01748449999999</v>
      </c>
      <c r="Y66" s="5">
        <f>[1]Emissions!X826</f>
        <v>229.0692675</v>
      </c>
      <c r="Z66" s="5">
        <f>[1]Emissions!Y826</f>
        <v>228.58399170000001</v>
      </c>
      <c r="AA66" s="5">
        <f>[1]Emissions!Z826</f>
        <v>228.70989019999999</v>
      </c>
      <c r="AB66" s="5">
        <f>[1]Emissions!AA826</f>
        <v>229.57722899999999</v>
      </c>
      <c r="AC66" s="5">
        <f>[1]Emissions!AB826</f>
        <v>228.7417504</v>
      </c>
      <c r="AD66" s="5">
        <f>[1]Emissions!AC826</f>
        <v>228.00904629999999</v>
      </c>
      <c r="AE66" s="5">
        <f>[1]Emissions!AD826</f>
        <v>228.04966719999999</v>
      </c>
      <c r="AF66" s="5">
        <f>[1]Emissions!AE826</f>
        <v>228.93671359999999</v>
      </c>
      <c r="AG66" s="5">
        <f>[1]Emissions!AF826</f>
        <v>230.53479960000001</v>
      </c>
      <c r="AH66" s="5">
        <f>[1]Emissions!AG826</f>
        <v>232.75287560000001</v>
      </c>
      <c r="AI66" s="5">
        <f>[1]Emissions!AH826</f>
        <v>235.44055520000001</v>
      </c>
      <c r="AJ66" s="5">
        <f>[1]Emissions!AI826</f>
        <v>238.45650749999999</v>
      </c>
      <c r="AK66" s="5">
        <f>[1]Emissions!AJ826</f>
        <v>241.68160040000001</v>
      </c>
      <c r="AL66" s="5">
        <f>[1]Emissions!AK826</f>
        <v>245.02226099999999</v>
      </c>
    </row>
    <row r="67" spans="1:38" x14ac:dyDescent="0.35">
      <c r="A67" s="9"/>
      <c r="C67" s="5">
        <f>[1]Emissions!B827</f>
        <v>2.75269904E-2</v>
      </c>
      <c r="D67" s="5">
        <f>[1]Emissions!C827</f>
        <v>2.7983157000000002E-2</v>
      </c>
      <c r="E67" s="5">
        <f>[1]Emissions!D827</f>
        <v>2.8522094599999999E-2</v>
      </c>
      <c r="F67" s="5">
        <f>[1]Emissions!E827</f>
        <v>2.9138687E-2</v>
      </c>
      <c r="G67" s="5">
        <f>[1]Emissions!F827</f>
        <v>2.9822178899999999E-2</v>
      </c>
      <c r="H67" s="5">
        <f>[1]Emissions!G827</f>
        <v>3.05646418E-2</v>
      </c>
      <c r="I67" s="5">
        <f>[1]Emissions!H827</f>
        <v>3.1352993599999997E-2</v>
      </c>
      <c r="J67" s="5">
        <f>[1]Emissions!I827</f>
        <v>3.2039007199999997E-2</v>
      </c>
      <c r="K67" s="5">
        <f>[1]Emissions!J827</f>
        <v>3.2740006799999999E-2</v>
      </c>
      <c r="L67" s="5">
        <f>[1]Emissions!K827</f>
        <v>3.3611558600000001E-2</v>
      </c>
      <c r="M67" s="5">
        <f>[1]Emissions!L827</f>
        <v>3.4496304499999998E-2</v>
      </c>
      <c r="N67" s="5">
        <f>[1]Emissions!M827</f>
        <v>3.5263065900000001E-2</v>
      </c>
      <c r="O67" s="5">
        <f>[1]Emissions!N827</f>
        <v>3.5933543399999997E-2</v>
      </c>
      <c r="P67" s="5">
        <f>[1]Emissions!O827</f>
        <v>3.6531643799999999E-2</v>
      </c>
      <c r="Q67" s="5">
        <f>[1]Emissions!P827</f>
        <v>3.7086717200000001E-2</v>
      </c>
      <c r="R67" s="5">
        <f>[1]Emissions!Q827</f>
        <v>3.7617436999999997E-2</v>
      </c>
      <c r="S67" s="5">
        <f>[1]Emissions!R827</f>
        <v>3.8137239599999997E-2</v>
      </c>
      <c r="T67" s="5">
        <f>[1]Emissions!S827</f>
        <v>3.8658980099999997E-2</v>
      </c>
      <c r="U67" s="5">
        <f>[1]Emissions!T827</f>
        <v>3.9201231400000001E-2</v>
      </c>
      <c r="V67" s="5">
        <f>[1]Emissions!U827</f>
        <v>3.9779760400000003E-2</v>
      </c>
      <c r="W67" s="5">
        <f>[1]Emissions!V827</f>
        <v>4.0402506800000001E-2</v>
      </c>
      <c r="X67" s="5">
        <f>[1]Emissions!W827</f>
        <v>4.1089289899999999E-2</v>
      </c>
      <c r="Y67" s="5">
        <f>[1]Emissions!X827</f>
        <v>4.1854125899999997E-2</v>
      </c>
      <c r="Z67" s="5">
        <f>[1]Emissions!Y827</f>
        <v>4.2705949999999999E-2</v>
      </c>
      <c r="AA67" s="5">
        <f>[1]Emissions!Z827</f>
        <v>4.36480385E-2</v>
      </c>
      <c r="AB67" s="5">
        <f>[1]Emissions!AA827</f>
        <v>4.4665767199999998E-2</v>
      </c>
      <c r="AC67" s="5">
        <f>[1]Emissions!AB827</f>
        <v>4.5759964799999997E-2</v>
      </c>
      <c r="AD67" s="5">
        <f>[1]Emissions!AC827</f>
        <v>4.6947088900000003E-2</v>
      </c>
      <c r="AE67" s="5">
        <f>[1]Emissions!AD827</f>
        <v>4.8231732100000001E-2</v>
      </c>
      <c r="AF67" s="5">
        <f>[1]Emissions!AE827</f>
        <v>4.9607021799999998E-2</v>
      </c>
      <c r="AG67" s="5">
        <f>[1]Emissions!AF827</f>
        <v>5.1059210000000001E-2</v>
      </c>
      <c r="AH67" s="5">
        <f>[1]Emissions!AG827</f>
        <v>5.2574439000000001E-2</v>
      </c>
      <c r="AI67" s="5">
        <f>[1]Emissions!AH827</f>
        <v>5.4140661299999997E-2</v>
      </c>
      <c r="AJ67" s="5">
        <f>[1]Emissions!AI827</f>
        <v>5.5744922199999998E-2</v>
      </c>
      <c r="AK67" s="5">
        <f>[1]Emissions!AJ827</f>
        <v>5.7373615000000003E-2</v>
      </c>
      <c r="AL67" s="5">
        <f>[1]Emissions!AK827</f>
        <v>5.9012395099999997E-2</v>
      </c>
    </row>
    <row r="68" spans="1:38" x14ac:dyDescent="0.35">
      <c r="C68" s="5">
        <f>[1]Emissions!B828</f>
        <v>15.21977425</v>
      </c>
      <c r="D68" s="5">
        <f>[1]Emissions!C828</f>
        <v>15.46440881</v>
      </c>
      <c r="E68" s="5">
        <f>[1]Emissions!D828</f>
        <v>15.74281218</v>
      </c>
      <c r="F68" s="5">
        <f>[1]Emissions!E828</f>
        <v>16.042842539999999</v>
      </c>
      <c r="G68" s="5">
        <f>[1]Emissions!F828</f>
        <v>16.36672428</v>
      </c>
      <c r="H68" s="5">
        <f>[1]Emissions!G828</f>
        <v>16.714672969999999</v>
      </c>
      <c r="I68" s="5">
        <f>[1]Emissions!H828</f>
        <v>17.08826011</v>
      </c>
      <c r="J68" s="5">
        <f>[1]Emissions!I828</f>
        <v>17.42051644</v>
      </c>
      <c r="K68" s="5">
        <f>[1]Emissions!J828</f>
        <v>17.743990700000001</v>
      </c>
      <c r="L68" s="5">
        <f>[1]Emissions!K828</f>
        <v>18.108494740000001</v>
      </c>
      <c r="M68" s="5">
        <f>[1]Emissions!L828</f>
        <v>18.463115089999999</v>
      </c>
      <c r="N68" s="5">
        <f>[1]Emissions!M828</f>
        <v>18.786671850000001</v>
      </c>
      <c r="O68" s="5">
        <f>[1]Emissions!N828</f>
        <v>19.089582759999999</v>
      </c>
      <c r="P68" s="5">
        <f>[1]Emissions!O828</f>
        <v>19.383638860000001</v>
      </c>
      <c r="Q68" s="5">
        <f>[1]Emissions!P828</f>
        <v>19.680545219999999</v>
      </c>
      <c r="R68" s="5">
        <f>[1]Emissions!Q828</f>
        <v>19.98725907</v>
      </c>
      <c r="S68" s="5">
        <f>[1]Emissions!R828</f>
        <v>20.30830787</v>
      </c>
      <c r="T68" s="5">
        <f>[1]Emissions!S828</f>
        <v>20.64393759</v>
      </c>
      <c r="U68" s="5">
        <f>[1]Emissions!T828</f>
        <v>20.9989423</v>
      </c>
      <c r="V68" s="5">
        <f>[1]Emissions!U828</f>
        <v>21.378283589999999</v>
      </c>
      <c r="W68" s="5">
        <f>[1]Emissions!V828</f>
        <v>21.784526920000001</v>
      </c>
      <c r="X68" s="5">
        <f>[1]Emissions!W828</f>
        <v>22.226741140000001</v>
      </c>
      <c r="Y68" s="5">
        <f>[1]Emissions!X828</f>
        <v>22.71118568</v>
      </c>
      <c r="Z68" s="5">
        <f>[1]Emissions!Y828</f>
        <v>23.241188619999999</v>
      </c>
      <c r="AA68" s="5">
        <f>[1]Emissions!Z828</f>
        <v>23.817903189999999</v>
      </c>
      <c r="AB68" s="5">
        <f>[1]Emissions!AA828</f>
        <v>24.43823094</v>
      </c>
      <c r="AC68" s="5">
        <f>[1]Emissions!AB828</f>
        <v>25.07936432</v>
      </c>
      <c r="AD68" s="5">
        <f>[1]Emissions!AC828</f>
        <v>25.746206910000001</v>
      </c>
      <c r="AE68" s="5">
        <f>[1]Emissions!AD828</f>
        <v>26.443029549999999</v>
      </c>
      <c r="AF68" s="5">
        <f>[1]Emissions!AE828</f>
        <v>27.168865610000001</v>
      </c>
      <c r="AG68" s="5">
        <f>[1]Emissions!AF828</f>
        <v>27.919033639999999</v>
      </c>
      <c r="AH68" s="5">
        <f>[1]Emissions!AG828</f>
        <v>28.690558960000001</v>
      </c>
      <c r="AI68" s="5">
        <f>[1]Emissions!AH828</f>
        <v>29.479527059999999</v>
      </c>
      <c r="AJ68" s="5">
        <f>[1]Emissions!AI828</f>
        <v>30.280880410000002</v>
      </c>
      <c r="AK68" s="5">
        <f>[1]Emissions!AJ828</f>
        <v>31.089246859999999</v>
      </c>
      <c r="AL68" s="5">
        <f>[1]Emissions!AK828</f>
        <v>31.899215810000001</v>
      </c>
    </row>
    <row r="69" spans="1:38" x14ac:dyDescent="0.35">
      <c r="B69" t="s">
        <v>15</v>
      </c>
      <c r="C69" s="6">
        <f>[1]Results!F1551</f>
        <v>1965878.7479999999</v>
      </c>
      <c r="D69" s="6">
        <f>[1]Results!G1551</f>
        <v>2001863.0060000001</v>
      </c>
      <c r="E69" s="6">
        <f>[1]Results!H1551</f>
        <v>2041300.514</v>
      </c>
      <c r="F69" s="6">
        <f>[1]Results!I1551</f>
        <v>2084237.594</v>
      </c>
      <c r="G69" s="6">
        <f>[1]Results!J1551</f>
        <v>2130036.9210000001</v>
      </c>
      <c r="H69" s="6">
        <f>[1]Results!K1551</f>
        <v>2178308.128</v>
      </c>
      <c r="I69" s="6">
        <f>[1]Results!L1551</f>
        <v>2228162.6910000001</v>
      </c>
      <c r="J69" s="6">
        <f>[1]Results!M1551</f>
        <v>2279672.534</v>
      </c>
      <c r="K69" s="6">
        <f>[1]Results!N1551</f>
        <v>2332751.057</v>
      </c>
      <c r="L69" s="6">
        <f>[1]Results!O1551</f>
        <v>2387313.2439999999</v>
      </c>
      <c r="M69" s="6">
        <f>[1]Results!P1551</f>
        <v>2441966.6430000002</v>
      </c>
      <c r="N69" s="6">
        <f>[1]Results!Q1551</f>
        <v>2490955.1379999998</v>
      </c>
      <c r="O69" s="6">
        <f>[1]Results!R1551</f>
        <v>2535855.281</v>
      </c>
      <c r="P69" s="6">
        <f>[1]Results!S1551</f>
        <v>2577454.639</v>
      </c>
      <c r="Q69" s="6">
        <f>[1]Results!T1551</f>
        <v>2616849.986</v>
      </c>
      <c r="R69" s="6">
        <f>[1]Results!U1551</f>
        <v>2655146.0389999999</v>
      </c>
      <c r="S69" s="6">
        <f>[1]Results!V1551</f>
        <v>2693447.0120000001</v>
      </c>
      <c r="T69" s="6">
        <f>[1]Results!W1551</f>
        <v>2732886.497</v>
      </c>
      <c r="U69" s="6">
        <f>[1]Results!X1551</f>
        <v>2774427.5759999999</v>
      </c>
      <c r="V69" s="6">
        <f>[1]Results!Y1551</f>
        <v>2818719.872</v>
      </c>
      <c r="W69" s="6">
        <f>[1]Results!Z1551</f>
        <v>2866010.716</v>
      </c>
      <c r="X69" s="6">
        <f>[1]Results!AA1551</f>
        <v>2917233.6359999999</v>
      </c>
      <c r="Y69" s="6">
        <f>[1]Results!AB1551</f>
        <v>2972868.14</v>
      </c>
      <c r="Z69" s="6">
        <f>[1]Results!AC1551</f>
        <v>3033216.398</v>
      </c>
      <c r="AA69" s="6">
        <f>[1]Results!AD1551</f>
        <v>3098281.45</v>
      </c>
      <c r="AB69" s="6">
        <f>[1]Results!AE1551</f>
        <v>3167093.4840000002</v>
      </c>
      <c r="AC69" s="6">
        <f>[1]Results!AF1551</f>
        <v>3241099.0410000002</v>
      </c>
      <c r="AD69" s="6">
        <f>[1]Results!AG1551</f>
        <v>3319815.642</v>
      </c>
      <c r="AE69" s="6">
        <f>[1]Results!AH1551</f>
        <v>3403142.173</v>
      </c>
      <c r="AF69" s="6">
        <f>[1]Results!AI1551</f>
        <v>3490560.6269999999</v>
      </c>
      <c r="AG69" s="6">
        <f>[1]Results!AJ1551</f>
        <v>3581300.787</v>
      </c>
      <c r="AH69" s="6">
        <f>[1]Results!AK1551</f>
        <v>3674673.5440000002</v>
      </c>
      <c r="AI69" s="6">
        <f>[1]Results!AL1551</f>
        <v>3770091.0959999999</v>
      </c>
      <c r="AJ69" s="6">
        <f>[1]Results!AM1551</f>
        <v>3866959.12</v>
      </c>
      <c r="AK69" s="6">
        <f>[1]Results!AN1551</f>
        <v>3964659.5440000002</v>
      </c>
      <c r="AL69" s="6">
        <f>[1]Results!AO1551</f>
        <v>4062547.145</v>
      </c>
    </row>
    <row r="70" spans="1:38" x14ac:dyDescent="0.35">
      <c r="A70" t="s">
        <v>13</v>
      </c>
      <c r="B70" t="s">
        <v>7</v>
      </c>
      <c r="C70" s="6">
        <f>[1]Results!F1552</f>
        <v>36088.250619999999</v>
      </c>
      <c r="D70" s="6">
        <f>[1]Results!G1552</f>
        <v>36599.156560000003</v>
      </c>
      <c r="E70" s="6">
        <f>[1]Results!H1552</f>
        <v>37198.539510000002</v>
      </c>
      <c r="F70" s="6">
        <f>[1]Results!I1552</f>
        <v>37885.033380000001</v>
      </c>
      <c r="G70" s="6">
        <f>[1]Results!J1552</f>
        <v>38662.866829999999</v>
      </c>
      <c r="H70" s="6">
        <f>[1]Results!K1552</f>
        <v>39512.052949999998</v>
      </c>
      <c r="I70" s="6">
        <f>[1]Results!L1552</f>
        <v>40439.276669999999</v>
      </c>
      <c r="J70" s="6">
        <f>[1]Results!M1552</f>
        <v>41415.990080000003</v>
      </c>
      <c r="K70" s="6">
        <f>[1]Results!N1552</f>
        <v>42432.98878</v>
      </c>
      <c r="L70" s="6">
        <f>[1]Results!O1552</f>
        <v>43485.352039999998</v>
      </c>
      <c r="M70" s="6">
        <f>[1]Results!P1552</f>
        <v>44539.767200000002</v>
      </c>
      <c r="N70" s="6">
        <f>[1]Results!Q1552</f>
        <v>45448.296970000003</v>
      </c>
      <c r="O70" s="6">
        <f>[1]Results!R1552</f>
        <v>46262.513270000003</v>
      </c>
      <c r="P70" s="6">
        <f>[1]Results!S1552</f>
        <v>47003.275560000002</v>
      </c>
      <c r="Q70" s="6">
        <f>[1]Results!T1552</f>
        <v>47695.769260000001</v>
      </c>
      <c r="R70" s="6">
        <f>[1]Results!U1552</f>
        <v>48364.945650000001</v>
      </c>
      <c r="S70" s="6">
        <f>[1]Results!V1552</f>
        <v>49053.552029999999</v>
      </c>
      <c r="T70" s="6">
        <f>[1]Results!W1552</f>
        <v>49772.825109999998</v>
      </c>
      <c r="U70" s="6">
        <f>[1]Results!X1552</f>
        <v>50542.454510000003</v>
      </c>
      <c r="V70" s="6">
        <f>[1]Results!Y1552</f>
        <v>51376.677559999996</v>
      </c>
      <c r="W70" s="6">
        <f>[1]Results!Z1552</f>
        <v>52279.850579999998</v>
      </c>
      <c r="X70" s="6">
        <f>[1]Results!AA1552</f>
        <v>53277.041989999998</v>
      </c>
      <c r="Y70" s="6">
        <f>[1]Results!AB1552</f>
        <v>54379.324159999996</v>
      </c>
      <c r="Z70" s="6">
        <f>[1]Results!AC1552</f>
        <v>55594.444130000003</v>
      </c>
      <c r="AA70" s="6">
        <f>[1]Results!AD1552</f>
        <v>56923.861490000003</v>
      </c>
      <c r="AB70" s="6">
        <f>[1]Results!AE1552</f>
        <v>58343.548239999996</v>
      </c>
      <c r="AC70" s="6">
        <f>[1]Results!AF1552</f>
        <v>59740.719680000002</v>
      </c>
      <c r="AD70" s="6">
        <f>[1]Results!AG1552</f>
        <v>61208.130570000001</v>
      </c>
      <c r="AE70" s="6">
        <f>[1]Results!AH1552</f>
        <v>62775.345529999999</v>
      </c>
      <c r="AF70" s="6">
        <f>[1]Results!AI1552</f>
        <v>64436.31263</v>
      </c>
      <c r="AG70" s="6">
        <f>[1]Results!AJ1552</f>
        <v>66172.428740000003</v>
      </c>
      <c r="AH70" s="6">
        <f>[1]Results!AK1552</f>
        <v>67966.166870000001</v>
      </c>
      <c r="AI70" s="6">
        <f>[1]Results!AL1552</f>
        <v>69802.540869999997</v>
      </c>
      <c r="AJ70" s="6">
        <f>[1]Results!AM1552</f>
        <v>71666.641839999997</v>
      </c>
      <c r="AK70" s="6">
        <f>[1]Results!AN1552</f>
        <v>73543.360690000001</v>
      </c>
      <c r="AL70" s="6">
        <f>[1]Results!AO1552</f>
        <v>75417.328899999993</v>
      </c>
    </row>
    <row r="71" spans="1:38" x14ac:dyDescent="0.35">
      <c r="B71" t="s">
        <v>8</v>
      </c>
      <c r="C71" s="6">
        <f>[1]Results!F1555</f>
        <v>331623.40149999998</v>
      </c>
      <c r="D71" s="6">
        <f>[1]Results!G1555</f>
        <v>339640.93070000003</v>
      </c>
      <c r="E71" s="6">
        <f>[1]Results!H1555</f>
        <v>347958.80180000002</v>
      </c>
      <c r="F71" s="6">
        <f>[1]Results!I1555</f>
        <v>356835.26309999998</v>
      </c>
      <c r="G71" s="6">
        <f>[1]Results!J1555</f>
        <v>366240.96850000002</v>
      </c>
      <c r="H71" s="6">
        <f>[1]Results!K1555</f>
        <v>376106.3088</v>
      </c>
      <c r="I71" s="6">
        <f>[1]Results!L1555</f>
        <v>386439.08159999998</v>
      </c>
      <c r="J71" s="6">
        <f>[1]Results!M1555</f>
        <v>397209.09269999998</v>
      </c>
      <c r="K71" s="6">
        <f>[1]Results!N1555</f>
        <v>408404.4559</v>
      </c>
      <c r="L71" s="6">
        <f>[1]Results!O1555</f>
        <v>420028.57510000002</v>
      </c>
      <c r="M71" s="6">
        <f>[1]Results!P1555</f>
        <v>431644.08149999997</v>
      </c>
      <c r="N71" s="6">
        <f>[1]Results!Q1555</f>
        <v>441724.19880000001</v>
      </c>
      <c r="O71" s="6">
        <f>[1]Results!R1555</f>
        <v>451067.4031</v>
      </c>
      <c r="P71" s="6">
        <f>[1]Results!S1555</f>
        <v>459948.23430000001</v>
      </c>
      <c r="Q71" s="6">
        <f>[1]Results!T1555</f>
        <v>468674.2206</v>
      </c>
      <c r="R71" s="6">
        <f>[1]Results!U1555</f>
        <v>477503.91239999997</v>
      </c>
      <c r="S71" s="6">
        <f>[1]Results!V1555</f>
        <v>486676.53639999998</v>
      </c>
      <c r="T71" s="6">
        <f>[1]Results!W1555</f>
        <v>496412.7709</v>
      </c>
      <c r="U71" s="6">
        <f>[1]Results!X1555</f>
        <v>506884.20150000002</v>
      </c>
      <c r="V71" s="6">
        <f>[1]Results!Y1555</f>
        <v>518186.3652</v>
      </c>
      <c r="W71" s="6">
        <f>[1]Results!Z1555</f>
        <v>530371.61549999996</v>
      </c>
      <c r="X71" s="6">
        <f>[1]Results!AA1555</f>
        <v>543580.57239999995</v>
      </c>
      <c r="Y71" s="6">
        <f>[1]Results!AB1555</f>
        <v>557924.23</v>
      </c>
      <c r="Z71" s="6">
        <f>[1]Results!AC1555</f>
        <v>573460.61659999995</v>
      </c>
      <c r="AA71" s="6">
        <f>[1]Results!AD1555</f>
        <v>590176.62699999998</v>
      </c>
      <c r="AB71" s="6">
        <f>[1]Results!AE1555</f>
        <v>607937.99010000005</v>
      </c>
      <c r="AC71" s="6">
        <f>[1]Results!AF1555</f>
        <v>626315.19590000005</v>
      </c>
      <c r="AD71" s="6">
        <f>[1]Results!AG1555</f>
        <v>645467.70200000005</v>
      </c>
      <c r="AE71" s="6">
        <f>[1]Results!AH1555</f>
        <v>665501.22710000002</v>
      </c>
      <c r="AF71" s="6">
        <f>[1]Results!AI1555</f>
        <v>686304.83369999996</v>
      </c>
      <c r="AG71" s="6">
        <f>[1]Results!AJ1555</f>
        <v>707696.62109999999</v>
      </c>
      <c r="AH71" s="6">
        <f>[1]Results!AK1555</f>
        <v>729538.52590000001</v>
      </c>
      <c r="AI71" s="6">
        <f>[1]Results!AL1555</f>
        <v>751729.68649999995</v>
      </c>
      <c r="AJ71" s="6">
        <f>[1]Results!AM1555</f>
        <v>774168.45550000004</v>
      </c>
      <c r="AK71" s="6">
        <f>[1]Results!AN1555</f>
        <v>796748.37849999999</v>
      </c>
      <c r="AL71" s="6">
        <f>[1]Results!AO1555</f>
        <v>819356.42440000002</v>
      </c>
    </row>
    <row r="72" spans="1:38" x14ac:dyDescent="0.35">
      <c r="B72" t="s">
        <v>9</v>
      </c>
      <c r="C72" s="6">
        <f>[1]Results!F1567</f>
        <v>48463.943890000002</v>
      </c>
      <c r="D72" s="6">
        <f>[1]Results!G1567</f>
        <v>49472.66603</v>
      </c>
      <c r="E72" s="6">
        <f>[1]Results!H1567</f>
        <v>50490.311000000002</v>
      </c>
      <c r="F72" s="6">
        <f>[1]Results!I1567</f>
        <v>51558.177109999997</v>
      </c>
      <c r="G72" s="6">
        <f>[1]Results!J1567</f>
        <v>52703.044929999996</v>
      </c>
      <c r="H72" s="6">
        <f>[1]Results!K1567</f>
        <v>53920.507890000001</v>
      </c>
      <c r="I72" s="6">
        <f>[1]Results!L1567</f>
        <v>55199.831870000002</v>
      </c>
      <c r="J72" s="6">
        <f>[1]Results!M1567</f>
        <v>56530.709239999996</v>
      </c>
      <c r="K72" s="6">
        <f>[1]Results!N1567</f>
        <v>57905.955739999998</v>
      </c>
      <c r="L72" s="6">
        <f>[1]Results!O1567</f>
        <v>59320.625399999997</v>
      </c>
      <c r="M72" s="6">
        <f>[1]Results!P1567</f>
        <v>60714.258249999999</v>
      </c>
      <c r="N72" s="6">
        <f>[1]Results!Q1567</f>
        <v>61877.69586</v>
      </c>
      <c r="O72" s="6">
        <f>[1]Results!R1567</f>
        <v>62909.335480000002</v>
      </c>
      <c r="P72" s="6">
        <f>[1]Results!S1567</f>
        <v>63841.893759999999</v>
      </c>
      <c r="Q72" s="6">
        <f>[1]Results!T1567</f>
        <v>64715.317089999997</v>
      </c>
      <c r="R72" s="6">
        <f>[1]Results!U1567</f>
        <v>65566.153659999996</v>
      </c>
      <c r="S72" s="6">
        <f>[1]Results!V1567</f>
        <v>66429.422909999994</v>
      </c>
      <c r="T72" s="6">
        <f>[1]Results!W1567</f>
        <v>67338.838770000002</v>
      </c>
      <c r="U72" s="6">
        <f>[1]Results!X1567</f>
        <v>68321.762969999996</v>
      </c>
      <c r="V72" s="6">
        <f>[1]Results!Y1567</f>
        <v>69395.104670000001</v>
      </c>
      <c r="W72" s="6">
        <f>[1]Results!Z1567</f>
        <v>70567.666249999995</v>
      </c>
      <c r="X72" s="6">
        <f>[1]Results!AA1567</f>
        <v>71863.922330000001</v>
      </c>
      <c r="Y72" s="6">
        <f>[1]Results!AB1567</f>
        <v>73298.944029999999</v>
      </c>
      <c r="Z72" s="6">
        <f>[1]Results!AC1567</f>
        <v>74880.316430000006</v>
      </c>
      <c r="AA72" s="6">
        <f>[1]Results!AD1567</f>
        <v>76605.788149999993</v>
      </c>
      <c r="AB72" s="6">
        <f>[1]Results!AE1567</f>
        <v>78451.793260000006</v>
      </c>
      <c r="AC72" s="6">
        <f>[1]Results!AF1567</f>
        <v>80413.368950000004</v>
      </c>
      <c r="AD72" s="6">
        <f>[1]Results!AG1567</f>
        <v>82510.051990000007</v>
      </c>
      <c r="AE72" s="6">
        <f>[1]Results!AH1567</f>
        <v>84746.896770000007</v>
      </c>
      <c r="AF72" s="6">
        <f>[1]Results!AI1567</f>
        <v>87101.772870000001</v>
      </c>
      <c r="AG72" s="6">
        <f>[1]Results!AJ1567</f>
        <v>89544.376749999996</v>
      </c>
      <c r="AH72" s="6">
        <f>[1]Results!AK1567</f>
        <v>92050.752609999996</v>
      </c>
      <c r="AI72" s="6">
        <f>[1]Results!AL1567</f>
        <v>94602.267540000001</v>
      </c>
      <c r="AJ72" s="6">
        <f>[1]Results!AM1567</f>
        <v>97180.64529</v>
      </c>
      <c r="AK72" s="6">
        <f>[1]Results!AN1567</f>
        <v>99767.481629999995</v>
      </c>
      <c r="AL72" s="6">
        <f>[1]Results!AO1567</f>
        <v>102344.1443</v>
      </c>
    </row>
    <row r="73" spans="1:38" x14ac:dyDescent="0.35">
      <c r="B73" t="s">
        <v>10</v>
      </c>
      <c r="C73" s="6">
        <f>[1]Results!F1572</f>
        <v>1511094.946</v>
      </c>
      <c r="D73" s="6">
        <f>[1]Results!G1572</f>
        <v>1536960.925</v>
      </c>
      <c r="E73" s="6">
        <f>[1]Results!H1572</f>
        <v>1565918.358</v>
      </c>
      <c r="F73" s="6">
        <f>[1]Results!I1572</f>
        <v>1597629.7309999999</v>
      </c>
      <c r="G73" s="6">
        <f>[1]Results!J1572</f>
        <v>1631557.84</v>
      </c>
      <c r="H73" s="6">
        <f>[1]Results!K1572</f>
        <v>1667345.64</v>
      </c>
      <c r="I73" s="6">
        <f>[1]Results!L1572</f>
        <v>1704708.882</v>
      </c>
      <c r="J73" s="6">
        <f>[1]Results!M1572</f>
        <v>1743388.08</v>
      </c>
      <c r="K73" s="6">
        <f>[1]Results!N1572</f>
        <v>1783224.047</v>
      </c>
      <c r="L73" s="6">
        <f>[1]Results!O1572</f>
        <v>1824118.93</v>
      </c>
      <c r="M73" s="6">
        <f>[1]Results!P1572</f>
        <v>1865235.4720000001</v>
      </c>
      <c r="N73" s="6">
        <f>[1]Results!Q1572</f>
        <v>1902527.77</v>
      </c>
      <c r="O73" s="6">
        <f>[1]Results!R1572</f>
        <v>1936766.058</v>
      </c>
      <c r="P73" s="6">
        <f>[1]Results!S1572</f>
        <v>1968466.7679999999</v>
      </c>
      <c r="Q73" s="6">
        <f>[1]Results!T1572</f>
        <v>1998353.054</v>
      </c>
      <c r="R73" s="6">
        <f>[1]Results!U1572</f>
        <v>2027197.453</v>
      </c>
      <c r="S73" s="6">
        <f>[1]Results!V1572</f>
        <v>2055830.52</v>
      </c>
      <c r="T73" s="6">
        <f>[1]Results!W1572</f>
        <v>2085080.8840000001</v>
      </c>
      <c r="U73" s="6">
        <f>[1]Results!X1572</f>
        <v>2115671.6260000002</v>
      </c>
      <c r="V73" s="6">
        <f>[1]Results!Y1572</f>
        <v>2148122.7119999998</v>
      </c>
      <c r="W73" s="6">
        <f>[1]Results!Z1572</f>
        <v>2182629.9070000001</v>
      </c>
      <c r="X73" s="6">
        <f>[1]Results!AA1572</f>
        <v>2219942.1970000002</v>
      </c>
      <c r="Y73" s="6">
        <f>[1]Results!AB1572</f>
        <v>2260430.6740000001</v>
      </c>
      <c r="Z73" s="6">
        <f>[1]Results!AC1572</f>
        <v>2304362.5240000002</v>
      </c>
      <c r="AA73" s="6">
        <f>[1]Results!AD1572</f>
        <v>2351804.48</v>
      </c>
      <c r="AB73" s="6">
        <f>[1]Results!AE1572</f>
        <v>2402043.6869999999</v>
      </c>
      <c r="AC73" s="6">
        <f>[1]Results!AF1572</f>
        <v>2454684.33</v>
      </c>
      <c r="AD73" s="6">
        <f>[1]Results!AG1572</f>
        <v>2510260.7689999999</v>
      </c>
      <c r="AE73" s="6">
        <f>[1]Results!AH1572</f>
        <v>2569111.5350000001</v>
      </c>
      <c r="AF73" s="6">
        <f>[1]Results!AI1572</f>
        <v>2631044.8739999998</v>
      </c>
      <c r="AG73" s="6">
        <f>[1]Results!AJ1572</f>
        <v>2695571</v>
      </c>
      <c r="AH73" s="6">
        <f>[1]Results!AK1572</f>
        <v>2762187.2239999999</v>
      </c>
      <c r="AI73" s="6">
        <f>[1]Results!AL1572</f>
        <v>2830436.7940000002</v>
      </c>
      <c r="AJ73" s="6">
        <f>[1]Results!AM1572</f>
        <v>2899856.6880000001</v>
      </c>
      <c r="AK73" s="6">
        <f>[1]Results!AN1572</f>
        <v>2969966.952</v>
      </c>
      <c r="AL73" s="6">
        <f>[1]Results!AO1572</f>
        <v>3040269.406</v>
      </c>
    </row>
    <row r="74" spans="1:38" x14ac:dyDescent="0.35">
      <c r="B74" t="s">
        <v>12</v>
      </c>
      <c r="C74" s="6">
        <f>[1]Results!F1575</f>
        <v>-2035.722798</v>
      </c>
      <c r="D74" s="6">
        <f>[1]Results!G1575</f>
        <v>-2053.7774789999999</v>
      </c>
      <c r="E74" s="6">
        <f>[1]Results!H1575</f>
        <v>-2067.394229</v>
      </c>
      <c r="F74" s="6">
        <f>[1]Results!I1575</f>
        <v>-2082.0104160000001</v>
      </c>
      <c r="G74" s="6">
        <f>[1]Results!J1575</f>
        <v>-2094.6100329999999</v>
      </c>
      <c r="H74" s="6">
        <f>[1]Results!K1575</f>
        <v>-2116.4612179999999</v>
      </c>
      <c r="I74" s="6">
        <f>[1]Results!L1575</f>
        <v>-2130.8238700000002</v>
      </c>
      <c r="J74" s="6">
        <f>[1]Results!M1575</f>
        <v>-2150.845718</v>
      </c>
      <c r="K74" s="6">
        <f>[1]Results!N1575</f>
        <v>-2174.3065919999999</v>
      </c>
      <c r="L74" s="6">
        <f>[1]Results!O1575</f>
        <v>-2199.082973</v>
      </c>
      <c r="M74" s="6">
        <f>[1]Results!P1575</f>
        <v>-2224.8455359999998</v>
      </c>
      <c r="N74" s="6">
        <f>[1]Results!Q1575</f>
        <v>-2268.0081369999998</v>
      </c>
      <c r="O74" s="6">
        <f>[1]Results!R1575</f>
        <v>-2304.8994939999998</v>
      </c>
      <c r="P74" s="6">
        <f>[1]Results!S1575</f>
        <v>-2334.1573549999998</v>
      </c>
      <c r="Q74" s="6">
        <f>[1]Results!T1575</f>
        <v>-2357.4033300000001</v>
      </c>
      <c r="R74" s="6">
        <f>[1]Results!U1575</f>
        <v>-2376.4901260000001</v>
      </c>
      <c r="S74" s="6">
        <f>[1]Results!V1575</f>
        <v>-2393.2733480000002</v>
      </c>
      <c r="T74" s="6">
        <f>[1]Results!W1575</f>
        <v>-2407.5983630000001</v>
      </c>
      <c r="U74" s="6">
        <f>[1]Results!X1575</f>
        <v>-2422.2941700000001</v>
      </c>
      <c r="V74" s="6">
        <f>[1]Results!Y1575</f>
        <v>-2438.4689229999999</v>
      </c>
      <c r="W74" s="6">
        <f>[1]Results!Z1575</f>
        <v>-2456.6053830000001</v>
      </c>
      <c r="X74" s="6">
        <f>[1]Results!AA1575</f>
        <v>-2476.4011780000001</v>
      </c>
      <c r="Y74" s="6">
        <f>[1]Results!AB1575</f>
        <v>-2498.3712970000001</v>
      </c>
      <c r="Z74" s="6">
        <f>[1]Results!AC1575</f>
        <v>-2522.9898720000001</v>
      </c>
      <c r="AA74" s="6">
        <f>[1]Results!AD1575</f>
        <v>-2550.534588</v>
      </c>
      <c r="AB74" s="6">
        <f>[1]Results!AE1575</f>
        <v>-2581.297082</v>
      </c>
      <c r="AC74" s="6">
        <f>[1]Results!AF1575</f>
        <v>-2635.3934899999999</v>
      </c>
      <c r="AD74" s="6">
        <f>[1]Results!AG1575</f>
        <v>-2690.1130859999998</v>
      </c>
      <c r="AE74" s="6">
        <f>[1]Results!AH1575</f>
        <v>-2745.6737450000001</v>
      </c>
      <c r="AF74" s="6">
        <f>[1]Results!AI1575</f>
        <v>-2805.0012489999999</v>
      </c>
      <c r="AG74" s="6">
        <f>[1]Results!AJ1575</f>
        <v>-2868.8229919999999</v>
      </c>
      <c r="AH74" s="6">
        <f>[1]Results!AK1575</f>
        <v>-2936.3592589999998</v>
      </c>
      <c r="AI74" s="6">
        <f>[1]Results!AL1575</f>
        <v>-3006.6143900000002</v>
      </c>
      <c r="AJ74" s="6">
        <f>[1]Results!AM1575</f>
        <v>-3078.8441050000001</v>
      </c>
      <c r="AK74" s="6">
        <f>[1]Results!AN1575</f>
        <v>-3152.413219</v>
      </c>
      <c r="AL74" s="6">
        <f>[1]Results!AO1575</f>
        <v>-3226.703704</v>
      </c>
    </row>
    <row r="75" spans="1:38" x14ac:dyDescent="0.35">
      <c r="B75" t="s">
        <v>11</v>
      </c>
      <c r="C75" s="6">
        <f>[1]Results!F1580</f>
        <v>40643.929499999998</v>
      </c>
      <c r="D75" s="6">
        <f>[1]Results!G1580</f>
        <v>41243.105239999997</v>
      </c>
      <c r="E75" s="6">
        <f>[1]Results!H1580</f>
        <v>41801.897830000002</v>
      </c>
      <c r="F75" s="6">
        <f>[1]Results!I1580</f>
        <v>42411.399740000001</v>
      </c>
      <c r="G75" s="6">
        <f>[1]Results!J1580</f>
        <v>42966.810960000003</v>
      </c>
      <c r="H75" s="6">
        <f>[1]Results!K1580</f>
        <v>43540.080329999997</v>
      </c>
      <c r="I75" s="6">
        <f>[1]Results!L1580</f>
        <v>43506.442649999997</v>
      </c>
      <c r="J75" s="6">
        <f>[1]Results!M1580</f>
        <v>43279.508300000001</v>
      </c>
      <c r="K75" s="6">
        <f>[1]Results!N1580</f>
        <v>42957.916810000002</v>
      </c>
      <c r="L75" s="6">
        <f>[1]Results!O1580</f>
        <v>42558.844779999999</v>
      </c>
      <c r="M75" s="6">
        <f>[1]Results!P1580</f>
        <v>42057.908940000001</v>
      </c>
      <c r="N75" s="6">
        <f>[1]Results!Q1580</f>
        <v>41645.185120000002</v>
      </c>
      <c r="O75" s="6">
        <f>[1]Results!R1580</f>
        <v>41154.87113</v>
      </c>
      <c r="P75" s="6">
        <f>[1]Results!S1580</f>
        <v>40528.625419999997</v>
      </c>
      <c r="Q75" s="6">
        <f>[1]Results!T1580</f>
        <v>39769.02809</v>
      </c>
      <c r="R75" s="6">
        <f>[1]Results!U1580</f>
        <v>38890.063979999999</v>
      </c>
      <c r="S75" s="6">
        <f>[1]Results!V1580</f>
        <v>37850.253060000003</v>
      </c>
      <c r="T75" s="6">
        <f>[1]Results!W1580</f>
        <v>36688.776590000001</v>
      </c>
      <c r="U75" s="6">
        <f>[1]Results!X1580</f>
        <v>35429.824589999997</v>
      </c>
      <c r="V75" s="6">
        <f>[1]Results!Y1580</f>
        <v>34077.481699999997</v>
      </c>
      <c r="W75" s="6">
        <f>[1]Results!Z1580</f>
        <v>32618.28155</v>
      </c>
      <c r="X75" s="6">
        <f>[1]Results!AA1580</f>
        <v>31046.30359</v>
      </c>
      <c r="Y75" s="6">
        <f>[1]Results!AB1580</f>
        <v>29333.339599999999</v>
      </c>
      <c r="Z75" s="6">
        <f>[1]Results!AC1580</f>
        <v>27441.48705</v>
      </c>
      <c r="AA75" s="6">
        <f>[1]Results!AD1580</f>
        <v>25321.22885</v>
      </c>
      <c r="AB75" s="6">
        <f>[1]Results!AE1580</f>
        <v>22897.762589999998</v>
      </c>
      <c r="AC75" s="6">
        <f>[1]Results!AF1580</f>
        <v>22580.820240000001</v>
      </c>
      <c r="AD75" s="6">
        <f>[1]Results!AG1580</f>
        <v>23059.10226</v>
      </c>
      <c r="AE75" s="6">
        <f>[1]Results!AH1580</f>
        <v>23752.842550000001</v>
      </c>
      <c r="AF75" s="6">
        <f>[1]Results!AI1580</f>
        <v>24477.835459999998</v>
      </c>
      <c r="AG75" s="6">
        <f>[1]Results!AJ1580</f>
        <v>25185.18417</v>
      </c>
      <c r="AH75" s="6">
        <f>[1]Results!AK1580</f>
        <v>25867.233690000001</v>
      </c>
      <c r="AI75" s="6">
        <f>[1]Results!AL1580</f>
        <v>26526.42121</v>
      </c>
      <c r="AJ75" s="6">
        <f>[1]Results!AM1580</f>
        <v>27165.53384</v>
      </c>
      <c r="AK75" s="6">
        <f>[1]Results!AN1580</f>
        <v>27785.784370000001</v>
      </c>
      <c r="AL75" s="6">
        <f>[1]Results!AO1580</f>
        <v>28386.54448</v>
      </c>
    </row>
    <row r="77" spans="1:38" x14ac:dyDescent="0.35">
      <c r="B77" t="s">
        <v>15</v>
      </c>
      <c r="C77" s="6">
        <f>[1]Results!F1512</f>
        <v>1965878.7479999999</v>
      </c>
      <c r="D77" s="6">
        <f>[1]Results!G1512</f>
        <v>2001863.0060000001</v>
      </c>
      <c r="E77" s="6">
        <f>[1]Results!H1512</f>
        <v>2041300.514</v>
      </c>
      <c r="F77" s="6">
        <f>[1]Results!I1512</f>
        <v>2084237.594</v>
      </c>
      <c r="G77" s="6">
        <f>[1]Results!J1512</f>
        <v>2130036.9210000001</v>
      </c>
      <c r="H77" s="6">
        <f>[1]Results!K1512</f>
        <v>2178308.1290000002</v>
      </c>
      <c r="I77" s="6">
        <f>[1]Results!L1512</f>
        <v>2228162.6910000001</v>
      </c>
      <c r="J77" s="6">
        <f>[1]Results!M1512</f>
        <v>2272876.2680000002</v>
      </c>
      <c r="K77" s="6">
        <f>[1]Results!N1512</f>
        <v>2319417.2570000002</v>
      </c>
      <c r="L77" s="6">
        <f>[1]Results!O1512</f>
        <v>2376886.531</v>
      </c>
      <c r="M77" s="6">
        <f>[1]Results!P1512</f>
        <v>2435506.12</v>
      </c>
      <c r="N77" s="6">
        <f>[1]Results!Q1512</f>
        <v>2488248.4739999999</v>
      </c>
      <c r="O77" s="6">
        <f>[1]Results!R1512</f>
        <v>2536239.463</v>
      </c>
      <c r="P77" s="6">
        <f>[1]Results!S1512</f>
        <v>2580514.5279999999</v>
      </c>
      <c r="Q77" s="6">
        <f>[1]Results!T1512</f>
        <v>2622672.5520000001</v>
      </c>
      <c r="R77" s="6">
        <f>[1]Results!U1512</f>
        <v>2663743.588</v>
      </c>
      <c r="S77" s="6">
        <f>[1]Results!V1512</f>
        <v>2703915.2340000002</v>
      </c>
      <c r="T77" s="6">
        <f>[1]Results!W1512</f>
        <v>2744600.5010000002</v>
      </c>
      <c r="U77" s="6">
        <f>[1]Results!X1512</f>
        <v>2786860.2230000002</v>
      </c>
      <c r="V77" s="6">
        <f>[1]Results!Y1512</f>
        <v>2831492.6740000001</v>
      </c>
      <c r="W77" s="6">
        <f>[1]Results!Z1512</f>
        <v>2878811.58</v>
      </c>
      <c r="X77" s="6">
        <f>[1]Results!AA1512</f>
        <v>2929869.8640000001</v>
      </c>
      <c r="Y77" s="6">
        <f>[1]Results!AB1512</f>
        <v>2985256.6540000001</v>
      </c>
      <c r="Z77" s="6">
        <f>[1]Results!AC1512</f>
        <v>3045374.6490000002</v>
      </c>
      <c r="AA77" s="6">
        <f>[1]Results!AD1512</f>
        <v>3110363.4670000002</v>
      </c>
      <c r="AB77" s="6">
        <f>[1]Results!AE1512</f>
        <v>3179365.7110000001</v>
      </c>
      <c r="AC77" s="6">
        <f>[1]Results!AF1512</f>
        <v>3253894.0079999999</v>
      </c>
      <c r="AD77" s="6">
        <f>[1]Results!AG1512</f>
        <v>3333406.4849999999</v>
      </c>
      <c r="AE77" s="6">
        <f>[1]Results!AH1512</f>
        <v>3417819.04</v>
      </c>
      <c r="AF77" s="6">
        <f>[1]Results!AI1512</f>
        <v>3506704.5279999999</v>
      </c>
      <c r="AG77" s="6">
        <f>[1]Results!AJ1512</f>
        <v>3599377.7689999999</v>
      </c>
      <c r="AH77" s="6">
        <f>[1]Results!AK1512</f>
        <v>3695169.5440000002</v>
      </c>
      <c r="AI77" s="6">
        <f>[1]Results!AL1512</f>
        <v>3793482.2439999999</v>
      </c>
      <c r="AJ77" s="6">
        <f>[1]Results!AM1512</f>
        <v>3893678.6359999999</v>
      </c>
      <c r="AK77" s="6">
        <f>[1]Results!AN1512</f>
        <v>3995105.1340000001</v>
      </c>
      <c r="AL77" s="6">
        <f>[1]Results!AO1512</f>
        <v>4097072.7689999999</v>
      </c>
    </row>
    <row r="78" spans="1:38" x14ac:dyDescent="0.35">
      <c r="A78" t="s">
        <v>14</v>
      </c>
      <c r="B78" t="s">
        <v>7</v>
      </c>
      <c r="C78" s="6">
        <f>[1]Results!F1513</f>
        <v>36088.250630000002</v>
      </c>
      <c r="D78" s="6">
        <f>[1]Results!G1513</f>
        <v>36599.156560000003</v>
      </c>
      <c r="E78" s="6">
        <f>[1]Results!H1513</f>
        <v>37198.539519999998</v>
      </c>
      <c r="F78" s="6">
        <f>[1]Results!I1513</f>
        <v>37885.033380000001</v>
      </c>
      <c r="G78" s="6">
        <f>[1]Results!J1513</f>
        <v>38662.866829999999</v>
      </c>
      <c r="H78" s="6">
        <f>[1]Results!K1513</f>
        <v>39512.052949999998</v>
      </c>
      <c r="I78" s="6">
        <f>[1]Results!L1513</f>
        <v>40439.276680000003</v>
      </c>
      <c r="J78" s="6">
        <f>[1]Results!M1513</f>
        <v>41186.546249999999</v>
      </c>
      <c r="K78" s="6">
        <f>[1]Results!N1513</f>
        <v>41974.917079999999</v>
      </c>
      <c r="L78" s="6">
        <f>[1]Results!O1513</f>
        <v>42988.187290000002</v>
      </c>
      <c r="M78" s="6">
        <f>[1]Results!P1513</f>
        <v>44001.858569999997</v>
      </c>
      <c r="N78" s="6">
        <f>[1]Results!Q1513</f>
        <v>44902.225460000001</v>
      </c>
      <c r="O78" s="6">
        <f>[1]Results!R1513</f>
        <v>45714.223100000003</v>
      </c>
      <c r="P78" s="6">
        <f>[1]Results!S1513</f>
        <v>46458.16805</v>
      </c>
      <c r="Q78" s="6">
        <f>[1]Results!T1513</f>
        <v>47164.023209999999</v>
      </c>
      <c r="R78" s="6">
        <f>[1]Results!U1513</f>
        <v>47850.044730000001</v>
      </c>
      <c r="S78" s="6">
        <f>[1]Results!V1513</f>
        <v>48570.275710000002</v>
      </c>
      <c r="T78" s="6">
        <f>[1]Results!W1513</f>
        <v>49304.543299999998</v>
      </c>
      <c r="U78" s="6">
        <f>[1]Results!X1513</f>
        <v>50074.73676</v>
      </c>
      <c r="V78" s="6">
        <f>[1]Results!Y1513</f>
        <v>50897.446640000002</v>
      </c>
      <c r="W78" s="6">
        <f>[1]Results!Z1513</f>
        <v>51779.146220000002</v>
      </c>
      <c r="X78" s="6">
        <f>[1]Results!AA1513</f>
        <v>52748.024069999999</v>
      </c>
      <c r="Y78" s="6">
        <f>[1]Results!AB1513</f>
        <v>53817.750059999998</v>
      </c>
      <c r="Z78" s="6">
        <f>[1]Results!AC1513</f>
        <v>54998.917950000003</v>
      </c>
      <c r="AA78" s="6">
        <f>[1]Results!AD1513</f>
        <v>56296.529170000002</v>
      </c>
      <c r="AB78" s="6">
        <f>[1]Results!AE1513</f>
        <v>57690.057860000001</v>
      </c>
      <c r="AC78" s="6">
        <f>[1]Results!AF1513</f>
        <v>59034.037600000003</v>
      </c>
      <c r="AD78" s="6">
        <f>[1]Results!AG1513</f>
        <v>60452.277300000002</v>
      </c>
      <c r="AE78" s="6">
        <f>[1]Results!AH1513</f>
        <v>61978.247649999998</v>
      </c>
      <c r="AF78" s="6">
        <f>[1]Results!AI1513</f>
        <v>63609.061950000003</v>
      </c>
      <c r="AG78" s="6">
        <f>[1]Results!AJ1513</f>
        <v>65327.847520000003</v>
      </c>
      <c r="AH78" s="6">
        <f>[1]Results!AK1513</f>
        <v>67116.391390000004</v>
      </c>
      <c r="AI78" s="6">
        <f>[1]Results!AL1513</f>
        <v>68958.526119999995</v>
      </c>
      <c r="AJ78" s="6">
        <f>[1]Results!AM1513</f>
        <v>70837.512669999996</v>
      </c>
      <c r="AK78" s="6">
        <f>[1]Results!AN1513</f>
        <v>72736.32415</v>
      </c>
      <c r="AL78" s="6">
        <f>[1]Results!AO1513</f>
        <v>74637.533110000004</v>
      </c>
    </row>
    <row r="79" spans="1:38" x14ac:dyDescent="0.35">
      <c r="B79" t="s">
        <v>8</v>
      </c>
      <c r="C79" s="6">
        <f>[1]Results!F1516</f>
        <v>331623.40149999998</v>
      </c>
      <c r="D79" s="6">
        <f>[1]Results!G1516</f>
        <v>339640.93079999997</v>
      </c>
      <c r="E79" s="6">
        <f>[1]Results!H1516</f>
        <v>347958.80180000002</v>
      </c>
      <c r="F79" s="6">
        <f>[1]Results!I1516</f>
        <v>356835.26309999998</v>
      </c>
      <c r="G79" s="6">
        <f>[1]Results!J1516</f>
        <v>366240.96850000002</v>
      </c>
      <c r="H79" s="6">
        <f>[1]Results!K1516</f>
        <v>376106.3088</v>
      </c>
      <c r="I79" s="6">
        <f>[1]Results!L1516</f>
        <v>386439.08169999998</v>
      </c>
      <c r="J79" s="6">
        <f>[1]Results!M1516</f>
        <v>395170.79629999999</v>
      </c>
      <c r="K79" s="6">
        <f>[1]Results!N1516</f>
        <v>404671.80719999998</v>
      </c>
      <c r="L79" s="6">
        <f>[1]Results!O1516</f>
        <v>417255.33179999999</v>
      </c>
      <c r="M79" s="6">
        <f>[1]Results!P1516</f>
        <v>429520.90870000003</v>
      </c>
      <c r="N79" s="6">
        <f>[1]Results!Q1516</f>
        <v>440136.21789999999</v>
      </c>
      <c r="O79" s="6">
        <f>[1]Results!R1516</f>
        <v>449722.6802</v>
      </c>
      <c r="P79" s="6">
        <f>[1]Results!S1516</f>
        <v>458713.57329999999</v>
      </c>
      <c r="Q79" s="6">
        <f>[1]Results!T1516</f>
        <v>467616.60499999998</v>
      </c>
      <c r="R79" s="6">
        <f>[1]Results!U1516</f>
        <v>476680.71659999999</v>
      </c>
      <c r="S79" s="6">
        <f>[1]Results!V1516</f>
        <v>485887.38770000002</v>
      </c>
      <c r="T79" s="6">
        <f>[1]Results!W1516</f>
        <v>495590.44900000002</v>
      </c>
      <c r="U79" s="6">
        <f>[1]Results!X1516</f>
        <v>505986.19520000002</v>
      </c>
      <c r="V79" s="6">
        <f>[1]Results!Y1516</f>
        <v>517214.15100000001</v>
      </c>
      <c r="W79" s="6">
        <f>[1]Results!Z1516</f>
        <v>529346.34909999999</v>
      </c>
      <c r="X79" s="6">
        <f>[1]Results!AA1516</f>
        <v>542592.71640000003</v>
      </c>
      <c r="Y79" s="6">
        <f>[1]Results!AB1516</f>
        <v>557075.90969999996</v>
      </c>
      <c r="Z79" s="6">
        <f>[1]Results!AC1516</f>
        <v>572875.73710000003</v>
      </c>
      <c r="AA79" s="6">
        <f>[1]Results!AD1516</f>
        <v>590014.90989999997</v>
      </c>
      <c r="AB79" s="6">
        <f>[1]Results!AE1516</f>
        <v>608392.89379999996</v>
      </c>
      <c r="AC79" s="6">
        <f>[1]Results!AF1516</f>
        <v>627613.87690000003</v>
      </c>
      <c r="AD79" s="6">
        <f>[1]Results!AG1516</f>
        <v>647809.2524</v>
      </c>
      <c r="AE79" s="6">
        <f>[1]Results!AH1516</f>
        <v>669057.23160000006</v>
      </c>
      <c r="AF79" s="6">
        <f>[1]Results!AI1516</f>
        <v>691242.2585</v>
      </c>
      <c r="AG79" s="6">
        <f>[1]Results!AJ1516</f>
        <v>714179.9399</v>
      </c>
      <c r="AH79" s="6">
        <f>[1]Results!AK1516</f>
        <v>737730.25549999997</v>
      </c>
      <c r="AI79" s="6">
        <f>[1]Results!AL1516</f>
        <v>761761.49069999997</v>
      </c>
      <c r="AJ79" s="6">
        <f>[1]Results!AM1516</f>
        <v>786126.51780000003</v>
      </c>
      <c r="AK79" s="6">
        <f>[1]Results!AN1516</f>
        <v>810678.12060000002</v>
      </c>
      <c r="AL79" s="6">
        <f>[1]Results!AO1516</f>
        <v>835265.18319999997</v>
      </c>
    </row>
    <row r="80" spans="1:38" x14ac:dyDescent="0.35">
      <c r="B80" t="s">
        <v>9</v>
      </c>
      <c r="C80" s="6">
        <f>[1]Results!F1528</f>
        <v>48463.943890000002</v>
      </c>
      <c r="D80" s="6">
        <f>[1]Results!G1528</f>
        <v>49472.66603</v>
      </c>
      <c r="E80" s="6">
        <f>[1]Results!H1528</f>
        <v>50490.311000000002</v>
      </c>
      <c r="F80" s="6">
        <f>[1]Results!I1528</f>
        <v>51558.177109999997</v>
      </c>
      <c r="G80" s="6">
        <f>[1]Results!J1528</f>
        <v>52703.044929999996</v>
      </c>
      <c r="H80" s="6">
        <f>[1]Results!K1528</f>
        <v>53920.507890000001</v>
      </c>
      <c r="I80" s="6">
        <f>[1]Results!L1528</f>
        <v>55199.831879999998</v>
      </c>
      <c r="J80" s="6">
        <f>[1]Results!M1528</f>
        <v>56215.778189999997</v>
      </c>
      <c r="K80" s="6">
        <f>[1]Results!N1528</f>
        <v>57261.8145</v>
      </c>
      <c r="L80" s="6">
        <f>[1]Results!O1528</f>
        <v>58612.283739999999</v>
      </c>
      <c r="M80" s="6">
        <f>[1]Results!P1528</f>
        <v>59804.77577</v>
      </c>
      <c r="N80" s="6">
        <f>[1]Results!Q1528</f>
        <v>60772.775350000004</v>
      </c>
      <c r="O80" s="6">
        <f>[1]Results!R1528</f>
        <v>61618.038890000003</v>
      </c>
      <c r="P80" s="6">
        <f>[1]Results!S1528</f>
        <v>62385.284169999999</v>
      </c>
      <c r="Q80" s="6">
        <f>[1]Results!T1528</f>
        <v>63124.395709999997</v>
      </c>
      <c r="R80" s="6">
        <f>[1]Results!U1528</f>
        <v>63856.236969999998</v>
      </c>
      <c r="S80" s="6">
        <f>[1]Results!V1528</f>
        <v>64574.936699999998</v>
      </c>
      <c r="T80" s="6">
        <f>[1]Results!W1528</f>
        <v>65307.63076</v>
      </c>
      <c r="U80" s="6">
        <f>[1]Results!X1528</f>
        <v>66087.549459999995</v>
      </c>
      <c r="V80" s="6">
        <f>[1]Results!Y1528</f>
        <v>66946.79363</v>
      </c>
      <c r="W80" s="6">
        <f>[1]Results!Z1528</f>
        <v>67895.977660000004</v>
      </c>
      <c r="X80" s="6">
        <f>[1]Results!AA1528</f>
        <v>68979.214749999999</v>
      </c>
      <c r="Y80" s="6">
        <f>[1]Results!AB1528</f>
        <v>70214.866290000005</v>
      </c>
      <c r="Z80" s="6">
        <f>[1]Results!AC1528</f>
        <v>71611.460690000007</v>
      </c>
      <c r="AA80" s="6">
        <f>[1]Results!AD1528</f>
        <v>73169.566219999993</v>
      </c>
      <c r="AB80" s="6">
        <f>[1]Results!AE1528</f>
        <v>74869.842579999997</v>
      </c>
      <c r="AC80" s="6">
        <f>[1]Results!AF1528</f>
        <v>76721.408899999995</v>
      </c>
      <c r="AD80" s="6">
        <f>[1]Results!AG1528</f>
        <v>78747.585770000005</v>
      </c>
      <c r="AE80" s="6">
        <f>[1]Results!AH1528</f>
        <v>80953.100890000002</v>
      </c>
      <c r="AF80" s="6">
        <f>[1]Results!AI1528</f>
        <v>83317.892609999995</v>
      </c>
      <c r="AG80" s="6">
        <f>[1]Results!AJ1528</f>
        <v>85813.142030000003</v>
      </c>
      <c r="AH80" s="6">
        <f>[1]Results!AK1528</f>
        <v>88420.698550000001</v>
      </c>
      <c r="AI80" s="6">
        <f>[1]Results!AL1528</f>
        <v>91119.979139999996</v>
      </c>
      <c r="AJ80" s="6">
        <f>[1]Results!AM1528</f>
        <v>93886.210009999995</v>
      </c>
      <c r="AK80" s="6">
        <f>[1]Results!AN1528</f>
        <v>96693.595920000007</v>
      </c>
      <c r="AL80" s="6">
        <f>[1]Results!AO1528</f>
        <v>99515.585560000007</v>
      </c>
    </row>
    <row r="81" spans="2:38" x14ac:dyDescent="0.35">
      <c r="B81" t="s">
        <v>10</v>
      </c>
      <c r="C81" s="6">
        <f>[1]Results!F1533</f>
        <v>1511094.946</v>
      </c>
      <c r="D81" s="6">
        <f>[1]Results!G1533</f>
        <v>1536960.925</v>
      </c>
      <c r="E81" s="6">
        <f>[1]Results!H1533</f>
        <v>1565918.358</v>
      </c>
      <c r="F81" s="6">
        <f>[1]Results!I1533</f>
        <v>1597629.7309999999</v>
      </c>
      <c r="G81" s="6">
        <f>[1]Results!J1533</f>
        <v>1631557.84</v>
      </c>
      <c r="H81" s="6">
        <f>[1]Results!K1533</f>
        <v>1667345.64</v>
      </c>
      <c r="I81" s="6">
        <f>[1]Results!L1533</f>
        <v>1704708.882</v>
      </c>
      <c r="J81" s="6">
        <f>[1]Results!M1533</f>
        <v>1739101.6159999999</v>
      </c>
      <c r="K81" s="6">
        <f>[1]Results!N1533</f>
        <v>1774482.206</v>
      </c>
      <c r="L81" s="6">
        <f>[1]Results!O1533</f>
        <v>1817003.1029999999</v>
      </c>
      <c r="M81" s="6">
        <f>[1]Results!P1533</f>
        <v>1861176.058</v>
      </c>
      <c r="N81" s="6">
        <f>[1]Results!Q1533</f>
        <v>1901703.291</v>
      </c>
      <c r="O81" s="6">
        <f>[1]Results!R1533</f>
        <v>1938918.9210000001</v>
      </c>
      <c r="P81" s="6">
        <f>[1]Results!S1533</f>
        <v>1973332.7760000001</v>
      </c>
      <c r="Q81" s="6">
        <f>[1]Results!T1533</f>
        <v>2005914.469</v>
      </c>
      <c r="R81" s="6">
        <f>[1]Results!U1533</f>
        <v>2037386.743</v>
      </c>
      <c r="S81" s="6">
        <f>[1]Results!V1533</f>
        <v>2067902.175</v>
      </c>
      <c r="T81" s="6">
        <f>[1]Results!W1533</f>
        <v>2098493.3280000002</v>
      </c>
      <c r="U81" s="6">
        <f>[1]Results!X1533</f>
        <v>2129985.2930000001</v>
      </c>
      <c r="V81" s="6">
        <f>[1]Results!Y1533</f>
        <v>2163035.1359999999</v>
      </c>
      <c r="W81" s="6">
        <f>[1]Results!Z1533</f>
        <v>2197881.46</v>
      </c>
      <c r="X81" s="6">
        <f>[1]Results!AA1533</f>
        <v>2235290.9789999998</v>
      </c>
      <c r="Y81" s="6">
        <f>[1]Results!AB1533</f>
        <v>2275704.0830000001</v>
      </c>
      <c r="Z81" s="6">
        <f>[1]Results!AC1533</f>
        <v>2319469.02</v>
      </c>
      <c r="AA81" s="6">
        <f>[1]Results!AD1533</f>
        <v>2366758.9670000002</v>
      </c>
      <c r="AB81" s="6">
        <f>[1]Results!AE1533</f>
        <v>2416945.6189999999</v>
      </c>
      <c r="AC81" s="6">
        <f>[1]Results!AF1533</f>
        <v>2469611.2259999998</v>
      </c>
      <c r="AD81" s="6">
        <f>[1]Results!AG1533</f>
        <v>2525283.3119999999</v>
      </c>
      <c r="AE81" s="6">
        <f>[1]Results!AH1533</f>
        <v>2584364.0249999999</v>
      </c>
      <c r="AF81" s="6">
        <f>[1]Results!AI1533</f>
        <v>2646763.372</v>
      </c>
      <c r="AG81" s="6">
        <f>[1]Results!AJ1533</f>
        <v>2712076.827</v>
      </c>
      <c r="AH81" s="6">
        <f>[1]Results!AK1533</f>
        <v>2779812.9649999999</v>
      </c>
      <c r="AI81" s="6">
        <f>[1]Results!AL1533</f>
        <v>2849519.1919999998</v>
      </c>
      <c r="AJ81" s="6">
        <f>[1]Results!AM1533</f>
        <v>2920732.7609999999</v>
      </c>
      <c r="AK81" s="6">
        <f>[1]Results!AN1533</f>
        <v>2992978.1359999999</v>
      </c>
      <c r="AL81" s="6">
        <f>[1]Results!AO1533</f>
        <v>3065750.4849999999</v>
      </c>
    </row>
    <row r="82" spans="2:38" x14ac:dyDescent="0.35">
      <c r="B82" t="s">
        <v>12</v>
      </c>
      <c r="C82" s="6">
        <f>[1]Results!F1537</f>
        <v>-2125.2634870000002</v>
      </c>
      <c r="D82" s="6">
        <f>[1]Results!G1537</f>
        <v>-2143.537613</v>
      </c>
      <c r="E82" s="6">
        <f>[1]Results!H1537</f>
        <v>-2160.632333</v>
      </c>
      <c r="F82" s="6">
        <f>[1]Results!I1537</f>
        <v>-2178.1475</v>
      </c>
      <c r="G82" s="6">
        <f>[1]Results!J1537</f>
        <v>-2195.5805970000001</v>
      </c>
      <c r="H82" s="6">
        <f>[1]Results!K1537</f>
        <v>-2222.2135410000001</v>
      </c>
      <c r="I82" s="6">
        <f>[1]Results!L1537</f>
        <v>-2256.7403210000002</v>
      </c>
      <c r="J82" s="6">
        <f>[1]Results!M1537</f>
        <v>-2304.8921890000001</v>
      </c>
      <c r="K82" s="6">
        <f>[1]Results!N1537</f>
        <v>-2343.4513969999998</v>
      </c>
      <c r="L82" s="6">
        <f>[1]Results!O1537</f>
        <v>-2371.5849899999998</v>
      </c>
      <c r="M82" s="6">
        <f>[1]Results!P1537</f>
        <v>-2410.6563230000002</v>
      </c>
      <c r="N82" s="6">
        <f>[1]Results!Q1537</f>
        <v>-2435.7024179999999</v>
      </c>
      <c r="O82" s="6">
        <f>[1]Results!R1537</f>
        <v>-2457.8526569999999</v>
      </c>
      <c r="P82" s="6">
        <f>[1]Results!S1537</f>
        <v>-2478.485983</v>
      </c>
      <c r="Q82" s="6">
        <f>[1]Results!T1537</f>
        <v>-2498.6678040000002</v>
      </c>
      <c r="R82" s="6">
        <f>[1]Results!U1537</f>
        <v>-2520.1724060000001</v>
      </c>
      <c r="S82" s="6">
        <f>[1]Results!V1537</f>
        <v>-2547.0583980000001</v>
      </c>
      <c r="T82" s="6">
        <f>[1]Results!W1537</f>
        <v>-2562.0578390000001</v>
      </c>
      <c r="U82" s="6">
        <f>[1]Results!X1537</f>
        <v>-2579.1759950000001</v>
      </c>
      <c r="V82" s="6">
        <f>[1]Results!Y1537</f>
        <v>-2593.164499</v>
      </c>
      <c r="W82" s="6">
        <f>[1]Results!Z1537</f>
        <v>-2576.1239489999998</v>
      </c>
      <c r="X82" s="6">
        <f>[1]Results!AA1537</f>
        <v>-2557.959194</v>
      </c>
      <c r="Y82" s="6">
        <f>[1]Results!AB1537</f>
        <v>-2541.2012810000001</v>
      </c>
      <c r="Z82" s="6">
        <f>[1]Results!AC1537</f>
        <v>-2525.5845530000001</v>
      </c>
      <c r="AA82" s="6">
        <f>[1]Results!AD1537</f>
        <v>-2510.7488469999998</v>
      </c>
      <c r="AB82" s="6">
        <f>[1]Results!AE1537</f>
        <v>-2496.4137839999999</v>
      </c>
      <c r="AC82" s="6">
        <f>[1]Results!AF1537</f>
        <v>-2483.123568</v>
      </c>
      <c r="AD82" s="6">
        <f>[1]Results!AG1537</f>
        <v>-2464.4833549999998</v>
      </c>
      <c r="AE82" s="6">
        <f>[1]Results!AH1537</f>
        <v>-2444.0985900000001</v>
      </c>
      <c r="AF82" s="6">
        <f>[1]Results!AI1537</f>
        <v>-2424.8372530000001</v>
      </c>
      <c r="AG82" s="6">
        <f>[1]Results!AJ1537</f>
        <v>-2407.2355149999999</v>
      </c>
      <c r="AH82" s="6">
        <f>[1]Results!AK1537</f>
        <v>-2390.7711180000001</v>
      </c>
      <c r="AI82" s="6">
        <f>[1]Results!AL1537</f>
        <v>-2375.6040969999999</v>
      </c>
      <c r="AJ82" s="6">
        <f>[1]Results!AM1537</f>
        <v>-2362.1107910000001</v>
      </c>
      <c r="AK82" s="6">
        <f>[1]Results!AN1537</f>
        <v>-2350.789327</v>
      </c>
      <c r="AL82" s="6">
        <f>[1]Results!AO1537</f>
        <v>-2342.1825640000002</v>
      </c>
    </row>
    <row r="83" spans="2:38" x14ac:dyDescent="0.35">
      <c r="B83" t="s">
        <v>11</v>
      </c>
      <c r="C83" s="6">
        <f>[1]Results!F1541</f>
        <v>40643.929499999998</v>
      </c>
      <c r="D83" s="6">
        <f>[1]Results!G1541</f>
        <v>41243.105239999997</v>
      </c>
      <c r="E83" s="6">
        <f>[1]Results!H1541</f>
        <v>41801.897830000002</v>
      </c>
      <c r="F83" s="6">
        <f>[1]Results!I1541</f>
        <v>42411.399749999997</v>
      </c>
      <c r="G83" s="6">
        <f>[1]Results!J1541</f>
        <v>42966.810969999999</v>
      </c>
      <c r="H83" s="6">
        <f>[1]Results!K1541</f>
        <v>43540.080329999997</v>
      </c>
      <c r="I83" s="6">
        <f>[1]Results!L1541</f>
        <v>43506.442640000001</v>
      </c>
      <c r="J83" s="6">
        <f>[1]Results!M1541</f>
        <v>43361.779920000001</v>
      </c>
      <c r="K83" s="6">
        <f>[1]Results!N1541</f>
        <v>43205.548620000001</v>
      </c>
      <c r="L83" s="6">
        <f>[1]Results!O1541</f>
        <v>43210.885609999998</v>
      </c>
      <c r="M83" s="6">
        <f>[1]Results!P1541</f>
        <v>43169.17209</v>
      </c>
      <c r="N83" s="6">
        <f>[1]Results!Q1541</f>
        <v>42876.965389999998</v>
      </c>
      <c r="O83" s="6">
        <f>[1]Results!R1541</f>
        <v>42381.058440000001</v>
      </c>
      <c r="P83" s="6">
        <f>[1]Results!S1541</f>
        <v>41708.37689</v>
      </c>
      <c r="Q83" s="6">
        <f>[1]Results!T1541</f>
        <v>40900.967239999998</v>
      </c>
      <c r="R83" s="6">
        <f>[1]Results!U1541</f>
        <v>39979.55848</v>
      </c>
      <c r="S83" s="6">
        <f>[1]Results!V1541</f>
        <v>38880.315979999999</v>
      </c>
      <c r="T83" s="6">
        <f>[1]Results!W1541</f>
        <v>37665.942260000003</v>
      </c>
      <c r="U83" s="6">
        <f>[1]Results!X1541</f>
        <v>36348.58397</v>
      </c>
      <c r="V83" s="6">
        <f>[1]Results!Y1541</f>
        <v>34923.436099999999</v>
      </c>
      <c r="W83" s="6">
        <f>[1]Results!Z1541</f>
        <v>33378.926339999998</v>
      </c>
      <c r="X83" s="6">
        <f>[1]Results!AA1541</f>
        <v>31695.222419999998</v>
      </c>
      <c r="Y83" s="6">
        <f>[1]Results!AB1541</f>
        <v>29867.885119999999</v>
      </c>
      <c r="Z83" s="6">
        <f>[1]Results!AC1541</f>
        <v>27858.814600000002</v>
      </c>
      <c r="AA83" s="6">
        <f>[1]Results!AD1541</f>
        <v>25613.57847</v>
      </c>
      <c r="AB83" s="6">
        <f>[1]Results!AE1541</f>
        <v>23051.49855</v>
      </c>
      <c r="AC83" s="6">
        <f>[1]Results!AF1541</f>
        <v>22686.060710000002</v>
      </c>
      <c r="AD83" s="6">
        <f>[1]Results!AG1541</f>
        <v>23146.579040000001</v>
      </c>
      <c r="AE83" s="6">
        <f>[1]Results!AH1541</f>
        <v>23824.85426</v>
      </c>
      <c r="AF83" s="6">
        <f>[1]Results!AI1541</f>
        <v>24521.671060000001</v>
      </c>
      <c r="AG83" s="6">
        <f>[1]Results!AJ1541</f>
        <v>25183.24999</v>
      </c>
      <c r="AH83" s="6">
        <f>[1]Results!AK1541</f>
        <v>25800.456600000001</v>
      </c>
      <c r="AI83" s="6">
        <f>[1]Results!AL1541</f>
        <v>26388.467089999998</v>
      </c>
      <c r="AJ83" s="6">
        <f>[1]Results!AM1541</f>
        <v>26951.50504</v>
      </c>
      <c r="AK83" s="6">
        <f>[1]Results!AN1541</f>
        <v>27490.88881</v>
      </c>
      <c r="AL83" s="6">
        <f>[1]Results!AO1541</f>
        <v>28006.95003</v>
      </c>
    </row>
    <row r="85" spans="2:38" x14ac:dyDescent="0.35">
      <c r="B85" t="s">
        <v>16</v>
      </c>
      <c r="C85" s="8" t="s">
        <v>17</v>
      </c>
      <c r="D85" s="8" t="s">
        <v>18</v>
      </c>
      <c r="E85" s="8" t="s">
        <v>19</v>
      </c>
    </row>
    <row r="86" spans="2:38" x14ac:dyDescent="0.35">
      <c r="B86" t="s">
        <v>7</v>
      </c>
      <c r="C86" s="6">
        <f t="shared" ref="C86:C91" si="3">(R78-R70)/R77*100</f>
        <v>-1.9329973137039047E-2</v>
      </c>
      <c r="D86" s="6">
        <f t="shared" ref="D86:D91" si="4">(AB78-AB70)/AB77*100</f>
        <v>-2.0554111712881701E-2</v>
      </c>
      <c r="E86" s="6">
        <f t="shared" ref="E86:E91" si="5">(AL78-AL70)/AL77*100</f>
        <v>-1.9032998288441901E-2</v>
      </c>
      <c r="Q86" s="5"/>
      <c r="U86" s="5"/>
      <c r="V86" s="5"/>
      <c r="Y86" s="5"/>
      <c r="Z86" s="5"/>
      <c r="AA86" s="5"/>
    </row>
    <row r="87" spans="2:38" x14ac:dyDescent="0.35">
      <c r="B87" t="s">
        <v>8</v>
      </c>
      <c r="C87" s="6">
        <f t="shared" si="3"/>
        <v>-1.7203657899276259</v>
      </c>
      <c r="D87" s="6">
        <f t="shared" si="4"/>
        <v>0.78853049706389733</v>
      </c>
      <c r="E87" s="6">
        <f t="shared" si="5"/>
        <v>21.314689991902323</v>
      </c>
      <c r="Q87" s="5"/>
      <c r="U87" s="5"/>
      <c r="V87" s="5"/>
      <c r="Y87" s="5"/>
      <c r="Z87" s="5"/>
      <c r="AA87" s="5"/>
    </row>
    <row r="88" spans="2:38" x14ac:dyDescent="0.35">
      <c r="B88" t="s">
        <v>9</v>
      </c>
      <c r="C88" s="6">
        <f t="shared" si="3"/>
        <v>-0.35871320790911104</v>
      </c>
      <c r="D88" s="6">
        <f t="shared" si="4"/>
        <v>-0.58875616669801567</v>
      </c>
      <c r="E88" s="6">
        <f t="shared" si="5"/>
        <v>-0.33864200219186069</v>
      </c>
      <c r="Q88" s="5"/>
      <c r="U88" s="5"/>
      <c r="V88" s="5"/>
      <c r="Y88" s="5"/>
      <c r="Z88" s="5"/>
      <c r="AA88" s="5"/>
    </row>
    <row r="89" spans="2:38" x14ac:dyDescent="0.35">
      <c r="B89" t="s">
        <v>10</v>
      </c>
      <c r="C89" s="6">
        <f t="shared" si="3"/>
        <v>15.956608913217076</v>
      </c>
      <c r="D89" s="6">
        <f t="shared" si="4"/>
        <v>19.903784336232579</v>
      </c>
      <c r="E89" s="6">
        <f t="shared" si="5"/>
        <v>25.605113868959588</v>
      </c>
      <c r="Q89" s="5"/>
      <c r="U89" s="5"/>
      <c r="V89" s="5"/>
      <c r="Y89" s="5"/>
      <c r="Z89" s="5"/>
      <c r="AA89" s="5"/>
    </row>
    <row r="90" spans="2:38" x14ac:dyDescent="0.35">
      <c r="B90" t="s">
        <v>12</v>
      </c>
      <c r="C90" s="6">
        <f t="shared" si="3"/>
        <v>-7.05228305296772E-3</v>
      </c>
      <c r="D90" s="6">
        <f t="shared" si="4"/>
        <v>3.5120069451591665E-3</v>
      </c>
      <c r="E90" s="6">
        <f t="shared" si="5"/>
        <v>2.8851700238742679E-2</v>
      </c>
      <c r="Q90" s="5"/>
      <c r="U90" s="5"/>
      <c r="V90" s="5"/>
      <c r="Y90" s="5"/>
      <c r="Z90" s="5"/>
      <c r="AA90" s="5"/>
    </row>
    <row r="91" spans="2:38" x14ac:dyDescent="0.35">
      <c r="B91" t="s">
        <v>11</v>
      </c>
      <c r="C91" s="6">
        <f t="shared" si="3"/>
        <v>-43.230951081209504</v>
      </c>
      <c r="D91" s="6">
        <f t="shared" si="4"/>
        <v>-6.15827235794504</v>
      </c>
      <c r="E91" s="6">
        <f t="shared" si="5"/>
        <v>16.206868577815971</v>
      </c>
      <c r="Q91" s="5"/>
      <c r="U91" s="5"/>
      <c r="V91" s="5"/>
      <c r="Y91" s="5"/>
      <c r="Z91" s="5"/>
      <c r="AA91" s="5"/>
    </row>
    <row r="92" spans="2:38" x14ac:dyDescent="0.35"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</row>
    <row r="93" spans="2:38" x14ac:dyDescent="0.35">
      <c r="B93" t="s">
        <v>16</v>
      </c>
      <c r="C93" s="8" t="s">
        <v>17</v>
      </c>
      <c r="D93" s="8" t="s">
        <v>18</v>
      </c>
      <c r="E93" s="8" t="s">
        <v>19</v>
      </c>
    </row>
    <row r="94" spans="2:38" x14ac:dyDescent="0.35">
      <c r="B94" t="s">
        <v>7</v>
      </c>
      <c r="C94" s="4">
        <f t="shared" ref="C94:C99" si="6">R78/R70-1</f>
        <v>-1.0646159384239851E-2</v>
      </c>
      <c r="D94" s="4">
        <f t="shared" ref="D94:D99" si="7">AB78/AB70-1</f>
        <v>-1.1200730838512252E-2</v>
      </c>
      <c r="E94" s="4">
        <f t="shared" ref="E94:E99" si="8">AL78/AL70-1</f>
        <v>-1.0339742886332659E-2</v>
      </c>
    </row>
    <row r="95" spans="2:38" x14ac:dyDescent="0.35">
      <c r="B95" t="s">
        <v>8</v>
      </c>
      <c r="C95" s="4">
        <f t="shared" si="6"/>
        <v>-1.7239561365319789E-3</v>
      </c>
      <c r="D95" s="4">
        <f t="shared" si="7"/>
        <v>7.4827319135795101E-4</v>
      </c>
      <c r="E95" s="4">
        <f t="shared" si="8"/>
        <v>1.9416164109105072E-2</v>
      </c>
    </row>
    <row r="96" spans="2:38" x14ac:dyDescent="0.35">
      <c r="B96" t="s">
        <v>9</v>
      </c>
      <c r="C96" s="4">
        <f t="shared" si="6"/>
        <v>-2.607925880274975E-2</v>
      </c>
      <c r="D96" s="4">
        <f t="shared" si="7"/>
        <v>-4.5657983471823704E-2</v>
      </c>
      <c r="E96" s="4">
        <f t="shared" si="8"/>
        <v>-2.7637719376583769E-2</v>
      </c>
    </row>
    <row r="97" spans="2:38" x14ac:dyDescent="0.35">
      <c r="B97" t="s">
        <v>10</v>
      </c>
      <c r="C97" s="4">
        <f t="shared" si="6"/>
        <v>5.0262938052338946E-3</v>
      </c>
      <c r="D97" s="4">
        <f t="shared" si="7"/>
        <v>6.2038555254635419E-3</v>
      </c>
      <c r="E97" s="4">
        <f t="shared" si="8"/>
        <v>8.3811911371118875E-3</v>
      </c>
    </row>
    <row r="98" spans="2:38" x14ac:dyDescent="0.35">
      <c r="B98" t="s">
        <v>12</v>
      </c>
      <c r="C98" s="4">
        <f t="shared" si="6"/>
        <v>6.0459868285604568E-2</v>
      </c>
      <c r="D98" s="4">
        <f t="shared" si="7"/>
        <v>-3.2883970850124844E-2</v>
      </c>
      <c r="E98" s="4">
        <f t="shared" si="8"/>
        <v>-0.27412530592861639</v>
      </c>
    </row>
    <row r="99" spans="2:38" x14ac:dyDescent="0.35">
      <c r="B99" t="s">
        <v>11</v>
      </c>
      <c r="C99" s="4">
        <f t="shared" si="6"/>
        <v>2.8014726346562435E-2</v>
      </c>
      <c r="D99" s="4">
        <f t="shared" si="7"/>
        <v>6.7140166815748969E-3</v>
      </c>
      <c r="E99" s="4">
        <f t="shared" si="8"/>
        <v>-1.3372337385674005E-2</v>
      </c>
    </row>
    <row r="101" spans="2:38" x14ac:dyDescent="0.35">
      <c r="B101" t="s">
        <v>26</v>
      </c>
      <c r="C101" s="2">
        <v>42005</v>
      </c>
      <c r="D101" s="2">
        <v>42370</v>
      </c>
      <c r="E101" s="2">
        <v>42736</v>
      </c>
      <c r="F101" s="2">
        <v>43101</v>
      </c>
      <c r="G101" s="2">
        <v>43466</v>
      </c>
      <c r="H101" s="2">
        <v>43831</v>
      </c>
      <c r="I101" s="2">
        <v>44197</v>
      </c>
      <c r="J101" s="2">
        <v>44562</v>
      </c>
      <c r="K101" s="2">
        <v>44927</v>
      </c>
      <c r="L101" s="2">
        <v>45292</v>
      </c>
      <c r="M101" s="2">
        <v>45658</v>
      </c>
      <c r="N101" s="2">
        <v>46023</v>
      </c>
      <c r="O101" s="2">
        <v>46388</v>
      </c>
      <c r="P101" s="2">
        <v>46753</v>
      </c>
      <c r="Q101" s="2">
        <v>47119</v>
      </c>
      <c r="R101" s="2">
        <v>47484</v>
      </c>
      <c r="S101" s="2">
        <v>47849</v>
      </c>
      <c r="T101" s="2">
        <v>48214</v>
      </c>
      <c r="U101" s="2">
        <v>48580</v>
      </c>
      <c r="V101" s="2">
        <v>48945</v>
      </c>
      <c r="W101" s="2">
        <v>49310</v>
      </c>
      <c r="X101" s="2">
        <v>49675</v>
      </c>
      <c r="Y101" s="2">
        <v>50041</v>
      </c>
      <c r="Z101" s="2">
        <v>50406</v>
      </c>
      <c r="AA101" s="2">
        <v>50771</v>
      </c>
      <c r="AB101" s="2">
        <v>51136</v>
      </c>
      <c r="AC101" s="2">
        <v>51502</v>
      </c>
      <c r="AD101" s="2">
        <v>51867</v>
      </c>
      <c r="AE101" s="2">
        <v>52232</v>
      </c>
      <c r="AF101" s="2">
        <v>52597</v>
      </c>
      <c r="AG101" s="2">
        <v>52963</v>
      </c>
      <c r="AH101" s="2">
        <v>53328</v>
      </c>
      <c r="AI101" s="2">
        <v>53693</v>
      </c>
      <c r="AJ101" s="2">
        <v>54058</v>
      </c>
      <c r="AK101" s="2">
        <v>54424</v>
      </c>
      <c r="AL101" s="2">
        <v>54789</v>
      </c>
    </row>
    <row r="102" spans="2:38" x14ac:dyDescent="0.35">
      <c r="B102" t="s">
        <v>7</v>
      </c>
      <c r="C102" s="6">
        <f>[1]Production!B5+[1]Production!B7</f>
        <v>88260.597339999993</v>
      </c>
      <c r="D102" s="6">
        <f>[1]Production!C5+[1]Production!C7</f>
        <v>89566.500465999998</v>
      </c>
      <c r="E102" s="6">
        <f>[1]Production!D5+[1]Production!D7</f>
        <v>91122.501268000007</v>
      </c>
      <c r="F102" s="6">
        <f>[1]Production!E5+[1]Production!E7</f>
        <v>92908.638822999987</v>
      </c>
      <c r="G102" s="6">
        <f>[1]Production!F5+[1]Production!F7</f>
        <v>94925.403221999994</v>
      </c>
      <c r="H102" s="6">
        <f>[1]Production!G5+[1]Production!G7</f>
        <v>97135.720637000006</v>
      </c>
      <c r="I102" s="6">
        <f>[1]Production!H5+[1]Production!H7</f>
        <v>99525.362448999993</v>
      </c>
      <c r="J102" s="6">
        <f>[1]Production!I5+[1]Production!I7</f>
        <v>102044.90581900001</v>
      </c>
      <c r="K102" s="6">
        <f>[1]Production!J5+[1]Production!J7</f>
        <v>104670.571419</v>
      </c>
      <c r="L102" s="6">
        <f>[1]Production!K5+[1]Production!K7</f>
        <v>107386.90878500001</v>
      </c>
      <c r="M102" s="6">
        <f>[1]Production!L5+[1]Production!L7</f>
        <v>110112.11851300001</v>
      </c>
      <c r="N102" s="6">
        <f>[1]Production!M5+[1]Production!M7</f>
        <v>112502.571415</v>
      </c>
      <c r="O102" s="6">
        <f>[1]Production!N5+[1]Production!N7</f>
        <v>114621.75085300001</v>
      </c>
      <c r="P102" s="6">
        <f>[1]Production!O5+[1]Production!O7</f>
        <v>116518.54362499999</v>
      </c>
      <c r="Q102" s="6">
        <f>[1]Production!P5+[1]Production!P7</f>
        <v>118257.63131299999</v>
      </c>
      <c r="R102" s="6">
        <f>[1]Production!Q5+[1]Production!Q7</f>
        <v>119906.459961</v>
      </c>
      <c r="S102" s="6">
        <f>[1]Production!R5+[1]Production!R7</f>
        <v>121555.20675099999</v>
      </c>
      <c r="T102" s="6">
        <f>[1]Production!S5+[1]Production!S7</f>
        <v>123256.48129700001</v>
      </c>
      <c r="U102" s="6">
        <f>[1]Production!T5+[1]Production!T7</f>
        <v>125068.022027</v>
      </c>
      <c r="V102" s="6">
        <f>[1]Production!U5+[1]Production!U7</f>
        <v>127032.264692</v>
      </c>
      <c r="W102" s="6">
        <f>[1]Production!V5+[1]Production!V7</f>
        <v>129167.692811</v>
      </c>
      <c r="X102" s="6">
        <f>[1]Production!W5+[1]Production!W7</f>
        <v>131532.33809900002</v>
      </c>
      <c r="Y102" s="6">
        <f>[1]Production!X5+[1]Production!X7</f>
        <v>134158.814209</v>
      </c>
      <c r="Z102" s="6">
        <f>[1]Production!Y5+[1]Production!Y7</f>
        <v>137068.69106899999</v>
      </c>
      <c r="AA102" s="6">
        <f>[1]Production!Z5+[1]Production!Z7</f>
        <v>140267.00030400002</v>
      </c>
      <c r="AB102" s="6">
        <f>[1]Production!AA5+[1]Production!AA7</f>
        <v>143702.095837</v>
      </c>
      <c r="AC102" s="6">
        <f>[1]Production!AB5+[1]Production!AB7</f>
        <v>147248.88429300001</v>
      </c>
      <c r="AD102" s="6">
        <f>[1]Production!AC5+[1]Production!AC7</f>
        <v>151026.321513</v>
      </c>
      <c r="AE102" s="6">
        <f>[1]Production!AD5+[1]Production!AD7</f>
        <v>155077.058961</v>
      </c>
      <c r="AF102" s="6">
        <f>[1]Production!AE5+[1]Production!AE7</f>
        <v>159381.426561</v>
      </c>
      <c r="AG102" s="6">
        <f>[1]Production!AF5+[1]Production!AF7</f>
        <v>163891.491637</v>
      </c>
      <c r="AH102" s="6">
        <f>[1]Production!AG5+[1]Production!AG7</f>
        <v>168559.67112000001</v>
      </c>
      <c r="AI102" s="6">
        <f>[1]Production!AH5+[1]Production!AH7</f>
        <v>173344.35240999999</v>
      </c>
      <c r="AJ102" s="6">
        <f>[1]Production!AI5+[1]Production!AI7</f>
        <v>178204.94448000001</v>
      </c>
      <c r="AK102" s="6">
        <f>[1]Production!AJ5+[1]Production!AJ7</f>
        <v>183100.51871999999</v>
      </c>
      <c r="AL102" s="6">
        <f>[1]Production!AK5+[1]Production!AK7</f>
        <v>187989.44589999999</v>
      </c>
    </row>
    <row r="103" spans="2:38" x14ac:dyDescent="0.35">
      <c r="B103" t="s">
        <v>8</v>
      </c>
      <c r="C103" s="6">
        <f>[1]Production!B9+[1]Production!B11+[1]Production!B13+[1]Production!B15+[1]Production!B17+[1]Production!B19+[1]Production!B21+[1]Production!B23+[1]Production!B25+[1]Production!B27+[1]Production!B41</f>
        <v>978783.20468099997</v>
      </c>
      <c r="D103" s="6">
        <f>[1]Production!C9+[1]Production!C11+[1]Production!C13+[1]Production!C15+[1]Production!C17+[1]Production!C19+[1]Production!C21+[1]Production!C23+[1]Production!C25+[1]Production!C27+[1]Production!C41</f>
        <v>1000840.043323</v>
      </c>
      <c r="E103" s="6">
        <f>[1]Production!D9+[1]Production!D11+[1]Production!D13+[1]Production!D15+[1]Production!D17+[1]Production!D19+[1]Production!D21+[1]Production!D23+[1]Production!D25+[1]Production!D27+[1]Production!D41</f>
        <v>1025421.8670760001</v>
      </c>
      <c r="F103" s="6">
        <f>[1]Production!E9+[1]Production!E11+[1]Production!E13+[1]Production!E15+[1]Production!E17+[1]Production!E19+[1]Production!E21+[1]Production!E23+[1]Production!E25+[1]Production!E27+[1]Production!E41</f>
        <v>1051729.50358</v>
      </c>
      <c r="G103" s="6">
        <f>[1]Production!F9+[1]Production!F11+[1]Production!F13+[1]Production!F15+[1]Production!F17+[1]Production!F19+[1]Production!F21+[1]Production!F23+[1]Production!F25+[1]Production!F27+[1]Production!F41</f>
        <v>1079651.5609589999</v>
      </c>
      <c r="H103" s="6">
        <f>[1]Production!G9+[1]Production!G11+[1]Production!G13+[1]Production!G15+[1]Production!G17+[1]Production!G19+[1]Production!G21+[1]Production!G23+[1]Production!G25+[1]Production!G27+[1]Production!G41</f>
        <v>1108985.8093809998</v>
      </c>
      <c r="I103" s="6">
        <f>[1]Production!H9+[1]Production!H11+[1]Production!H13+[1]Production!H15+[1]Production!H17+[1]Production!H19+[1]Production!H21+[1]Production!H23+[1]Production!H25+[1]Production!H27+[1]Production!H41</f>
        <v>1139687.0759110001</v>
      </c>
      <c r="J103" s="6">
        <f>[1]Production!I9+[1]Production!I11+[1]Production!I13+[1]Production!I15+[1]Production!I17+[1]Production!I19+[1]Production!I21+[1]Production!I23+[1]Production!I25+[1]Production!I27+[1]Production!I41</f>
        <v>1171663.0416959999</v>
      </c>
      <c r="K103" s="6">
        <f>[1]Production!J9+[1]Production!J11+[1]Production!J13+[1]Production!J15+[1]Production!J17+[1]Production!J19+[1]Production!J21+[1]Production!J23+[1]Production!J25+[1]Production!J27+[1]Production!J41</f>
        <v>1204864.9916689999</v>
      </c>
      <c r="L103" s="6">
        <f>[1]Production!K9+[1]Production!K11+[1]Production!K13+[1]Production!K15+[1]Production!K17+[1]Production!K19+[1]Production!K21+[1]Production!K23+[1]Production!K25+[1]Production!K27+[1]Production!K41</f>
        <v>1239288.344149</v>
      </c>
      <c r="M103" s="6">
        <f>[1]Production!L9+[1]Production!L11+[1]Production!L13+[1]Production!L15+[1]Production!L17+[1]Production!L19+[1]Production!L21+[1]Production!L23+[1]Production!L25+[1]Production!L27+[1]Production!L41</f>
        <v>1273738.5437210002</v>
      </c>
      <c r="N103" s="6">
        <f>[1]Production!M9+[1]Production!M11+[1]Production!M13+[1]Production!M15+[1]Production!M17+[1]Production!M19+[1]Production!M21+[1]Production!M23+[1]Production!M25+[1]Production!M27+[1]Production!M41</f>
        <v>1303908.929889</v>
      </c>
      <c r="O103" s="6">
        <f>[1]Production!N9+[1]Production!N11+[1]Production!N13+[1]Production!N15+[1]Production!N17+[1]Production!N19+[1]Production!N21+[1]Production!N23+[1]Production!N25+[1]Production!N27+[1]Production!N41</f>
        <v>1331196.444041</v>
      </c>
      <c r="P103" s="6">
        <f>[1]Production!O9+[1]Production!O11+[1]Production!O13+[1]Production!O15+[1]Production!O17+[1]Production!O19+[1]Production!O21+[1]Production!O23+[1]Production!O25+[1]Production!O27+[1]Production!O41</f>
        <v>1356569.1845659998</v>
      </c>
      <c r="Q103" s="6">
        <f>[1]Production!P9+[1]Production!P11+[1]Production!P13+[1]Production!P15+[1]Production!P17+[1]Production!P19+[1]Production!P21+[1]Production!P23+[1]Production!P25+[1]Production!P27+[1]Production!P41</f>
        <v>1381080.2901999999</v>
      </c>
      <c r="R103" s="6">
        <f>[1]Production!Q9+[1]Production!Q11+[1]Production!Q13+[1]Production!Q15+[1]Production!Q17+[1]Production!Q19+[1]Production!Q21+[1]Production!Q23+[1]Production!Q25+[1]Production!Q27+[1]Production!Q41</f>
        <v>1405643.729722</v>
      </c>
      <c r="S103" s="6">
        <f>[1]Production!R9+[1]Production!R11+[1]Production!R13+[1]Production!R15+[1]Production!R17+[1]Production!R19+[1]Production!R21+[1]Production!R23+[1]Production!R25+[1]Production!R27+[1]Production!R41</f>
        <v>1431070.0188820001</v>
      </c>
      <c r="T103" s="6">
        <f>[1]Production!S9+[1]Production!S11+[1]Production!S13+[1]Production!S15+[1]Production!S17+[1]Production!S19+[1]Production!S21+[1]Production!S23+[1]Production!S25+[1]Production!S27+[1]Production!S41</f>
        <v>1458089.264403</v>
      </c>
      <c r="U103" s="6">
        <f>[1]Production!T9+[1]Production!T11+[1]Production!T13+[1]Production!T15+[1]Production!T17+[1]Production!T19+[1]Production!T21+[1]Production!T23+[1]Production!T25+[1]Production!T27+[1]Production!T41</f>
        <v>1487279.6650669998</v>
      </c>
      <c r="V103" s="6">
        <f>[1]Production!U9+[1]Production!U11+[1]Production!U13+[1]Production!U15+[1]Production!U17+[1]Production!U19+[1]Production!U21+[1]Production!U23+[1]Production!U25+[1]Production!U27+[1]Production!U41</f>
        <v>1518985.9527690001</v>
      </c>
      <c r="W103" s="6">
        <f>[1]Production!V9+[1]Production!V11+[1]Production!V13+[1]Production!V15+[1]Production!V17+[1]Production!V19+[1]Production!V21+[1]Production!V23+[1]Production!V25+[1]Production!V27+[1]Production!V41</f>
        <v>1553403.3117139998</v>
      </c>
      <c r="X103" s="6">
        <f>[1]Production!W9+[1]Production!W11+[1]Production!W13+[1]Production!W15+[1]Production!W17+[1]Production!W19+[1]Production!W21+[1]Production!W23+[1]Production!W25+[1]Production!W27+[1]Production!W41</f>
        <v>1590923.81382</v>
      </c>
      <c r="Y103" s="6">
        <f>[1]Production!X9+[1]Production!X11+[1]Production!X13+[1]Production!X15+[1]Production!X17+[1]Production!X19+[1]Production!X21+[1]Production!X23+[1]Production!X25+[1]Production!X27+[1]Production!X41</f>
        <v>1631891.4491610001</v>
      </c>
      <c r="Z103" s="6">
        <f>[1]Production!Y9+[1]Production!Y11+[1]Production!Y13+[1]Production!Y15+[1]Production!Y17+[1]Production!Y19+[1]Production!Y21+[1]Production!Y23+[1]Production!Y25+[1]Production!Y27+[1]Production!Y41</f>
        <v>1676504.2142350001</v>
      </c>
      <c r="AA103" s="6">
        <f>[1]Production!Z9+[1]Production!Z11+[1]Production!Z13+[1]Production!Z15+[1]Production!Z17+[1]Production!Z19+[1]Production!Z21+[1]Production!Z23+[1]Production!Z25+[1]Production!Z27+[1]Production!Z41</f>
        <v>1724747.3780380001</v>
      </c>
      <c r="AB103" s="6">
        <f>[1]Production!AA9+[1]Production!AA11+[1]Production!AA13+[1]Production!AA15+[1]Production!AA17+[1]Production!AA19+[1]Production!AA21+[1]Production!AA23+[1]Production!AA25+[1]Production!AA27+[1]Production!AA41</f>
        <v>1776269.478444</v>
      </c>
      <c r="AC103" s="6">
        <f>[1]Production!AB9+[1]Production!AB11+[1]Production!AB13+[1]Production!AB15+[1]Production!AB17+[1]Production!AB19+[1]Production!AB21+[1]Production!AB23+[1]Production!AB25+[1]Production!AB27+[1]Production!AB41</f>
        <v>1830089.7609060002</v>
      </c>
      <c r="AD103" s="6">
        <f>[1]Production!AC9+[1]Production!AC11+[1]Production!AC13+[1]Production!AC15+[1]Production!AC17+[1]Production!AC19+[1]Production!AC21+[1]Production!AC23+[1]Production!AC25+[1]Production!AC27+[1]Production!AC41</f>
        <v>1886468.5924510001</v>
      </c>
      <c r="AE103" s="6">
        <f>[1]Production!AD9+[1]Production!AD11+[1]Production!AD13+[1]Production!AD15+[1]Production!AD17+[1]Production!AD19+[1]Production!AD21+[1]Production!AD23+[1]Production!AD25+[1]Production!AD27+[1]Production!AD41</f>
        <v>1945673.9778530004</v>
      </c>
      <c r="AF103" s="6">
        <f>[1]Production!AE9+[1]Production!AE11+[1]Production!AE13+[1]Production!AE15+[1]Production!AE17+[1]Production!AE19+[1]Production!AE21+[1]Production!AE23+[1]Production!AE25+[1]Production!AE27+[1]Production!AE41</f>
        <v>2007404.476491</v>
      </c>
      <c r="AG103" s="6">
        <f>[1]Production!AF9+[1]Production!AF11+[1]Production!AF13+[1]Production!AF15+[1]Production!AF17+[1]Production!AF19+[1]Production!AF21+[1]Production!AF23+[1]Production!AF25+[1]Production!AF27+[1]Production!AF41</f>
        <v>2071078.2901100002</v>
      </c>
      <c r="AH103" s="6">
        <f>[1]Production!AG9+[1]Production!AG11+[1]Production!AG13+[1]Production!AG15+[1]Production!AG17+[1]Production!AG19+[1]Production!AG21+[1]Production!AG23+[1]Production!AG25+[1]Production!AG27+[1]Production!AG41</f>
        <v>2136188.6954140002</v>
      </c>
      <c r="AI103" s="6">
        <f>[1]Production!AH9+[1]Production!AH11+[1]Production!AH13+[1]Production!AH15+[1]Production!AH17+[1]Production!AH19+[1]Production!AH21+[1]Production!AH23+[1]Production!AH25+[1]Production!AH27+[1]Production!AH41</f>
        <v>2202352.9085229998</v>
      </c>
      <c r="AJ103" s="6">
        <f>[1]Production!AI9+[1]Production!AI11+[1]Production!AI13+[1]Production!AI15+[1]Production!AI17+[1]Production!AI19+[1]Production!AI21+[1]Production!AI23+[1]Production!AI25+[1]Production!AI27+[1]Production!AI41</f>
        <v>2269219.8830190003</v>
      </c>
      <c r="AK103" s="6">
        <f>[1]Production!AJ9+[1]Production!AJ11+[1]Production!AJ13+[1]Production!AJ15+[1]Production!AJ17+[1]Production!AJ19+[1]Production!AJ21+[1]Production!AJ23+[1]Production!AJ25+[1]Production!AJ27+[1]Production!AJ41</f>
        <v>2336439.4238849999</v>
      </c>
      <c r="AL103" s="6">
        <f>[1]Production!AK9+[1]Production!AK11+[1]Production!AK13+[1]Production!AK15+[1]Production!AK17+[1]Production!AK19+[1]Production!AK21+[1]Production!AK23+[1]Production!AK25+[1]Production!AK27+[1]Production!AK41</f>
        <v>2403648.0459520002</v>
      </c>
    </row>
    <row r="104" spans="2:38" x14ac:dyDescent="0.35">
      <c r="B104" t="s">
        <v>9</v>
      </c>
      <c r="C104" s="6">
        <f>[1]Production!B29+[1]Production!B31+[1]Production!B33+[1]Production!B35</f>
        <v>120899.250646</v>
      </c>
      <c r="D104" s="6">
        <f>[1]Production!C29+[1]Production!C31+[1]Production!C33+[1]Production!C35</f>
        <v>123412.69617700001</v>
      </c>
      <c r="E104" s="6">
        <f>[1]Production!D29+[1]Production!D31+[1]Production!D33+[1]Production!D35</f>
        <v>126094.00499399999</v>
      </c>
      <c r="F104" s="6">
        <f>[1]Production!E29+[1]Production!E31+[1]Production!E33+[1]Production!E35</f>
        <v>128897.26555700001</v>
      </c>
      <c r="G104" s="6">
        <f>[1]Production!F29+[1]Production!F31+[1]Production!F33+[1]Production!F35</f>
        <v>131877.490773</v>
      </c>
      <c r="H104" s="6">
        <f>[1]Production!G29+[1]Production!G31+[1]Production!G33+[1]Production!G35</f>
        <v>135035.77515900001</v>
      </c>
      <c r="I104" s="6">
        <f>[1]Production!H29+[1]Production!H31+[1]Production!H33+[1]Production!H35</f>
        <v>138352.26968</v>
      </c>
      <c r="J104" s="6">
        <f>[1]Production!I29+[1]Production!I31+[1]Production!I33+[1]Production!I35</f>
        <v>141803.31114099998</v>
      </c>
      <c r="K104" s="6">
        <f>[1]Production!J29+[1]Production!J31+[1]Production!J33+[1]Production!J35</f>
        <v>145370.71797300002</v>
      </c>
      <c r="L104" s="6">
        <f>[1]Production!K29+[1]Production!K31+[1]Production!K33+[1]Production!K35</f>
        <v>149041.776239</v>
      </c>
      <c r="M104" s="6">
        <f>[1]Production!L29+[1]Production!L31+[1]Production!L33+[1]Production!L35</f>
        <v>152662.08960599999</v>
      </c>
      <c r="N104" s="6">
        <f>[1]Production!M29+[1]Production!M31+[1]Production!M33+[1]Production!M35</f>
        <v>155702.08742200001</v>
      </c>
      <c r="O104" s="6">
        <f>[1]Production!N29+[1]Production!N31+[1]Production!N33+[1]Production!N35</f>
        <v>158336.88938099999</v>
      </c>
      <c r="P104" s="6">
        <f>[1]Production!O29+[1]Production!O31+[1]Production!O33+[1]Production!O35</f>
        <v>160678.651461</v>
      </c>
      <c r="Q104" s="6">
        <f>[1]Production!P29+[1]Production!P31+[1]Production!P33+[1]Production!P35</f>
        <v>162851.41707999998</v>
      </c>
      <c r="R104" s="6">
        <f>[1]Production!Q29+[1]Production!Q31+[1]Production!Q33+[1]Production!Q35</f>
        <v>164966.124858</v>
      </c>
      <c r="S104" s="6">
        <f>[1]Production!R29+[1]Production!R31+[1]Production!R33+[1]Production!R35</f>
        <v>167122.535011</v>
      </c>
      <c r="T104" s="6">
        <f>[1]Production!S29+[1]Production!S31+[1]Production!S33+[1]Production!S35</f>
        <v>169412.50008100001</v>
      </c>
      <c r="U104" s="6">
        <f>[1]Production!T29+[1]Production!T31+[1]Production!T33+[1]Production!T35</f>
        <v>171909.849143</v>
      </c>
      <c r="V104" s="6">
        <f>[1]Production!U29+[1]Production!U31+[1]Production!U33+[1]Production!U35</f>
        <v>174659.94524200002</v>
      </c>
      <c r="W104" s="6">
        <f>[1]Production!V29+[1]Production!V31+[1]Production!V33+[1]Production!V35</f>
        <v>177688.40658599997</v>
      </c>
      <c r="X104" s="6">
        <f>[1]Production!W29+[1]Production!W31+[1]Production!W33+[1]Production!W35</f>
        <v>181048.98487499999</v>
      </c>
      <c r="Y104" s="6">
        <f>[1]Production!X29+[1]Production!X31+[1]Production!X33+[1]Production!X35</f>
        <v>184781.966166</v>
      </c>
      <c r="Z104" s="6">
        <f>[1]Production!Y29+[1]Production!Y31+[1]Production!Y33+[1]Production!Y35</f>
        <v>188908.2727</v>
      </c>
      <c r="AA104" s="6">
        <f>[1]Production!Z29+[1]Production!Z31+[1]Production!Z33+[1]Production!Z35</f>
        <v>193422.46325999999</v>
      </c>
      <c r="AB104" s="6">
        <f>[1]Production!AA29+[1]Production!AA31+[1]Production!AA33+[1]Production!AA35</f>
        <v>198273.98251</v>
      </c>
      <c r="AC104" s="6">
        <f>[1]Production!AB29+[1]Production!AB31+[1]Production!AB33+[1]Production!AB35</f>
        <v>203444.97909999997</v>
      </c>
      <c r="AD104" s="6">
        <f>[1]Production!AC29+[1]Production!AC31+[1]Production!AC33+[1]Production!AC35</f>
        <v>208976.5172</v>
      </c>
      <c r="AE104" s="6">
        <f>[1]Production!AD29+[1]Production!AD31+[1]Production!AD33+[1]Production!AD35</f>
        <v>214882.44328000001</v>
      </c>
      <c r="AF104" s="6">
        <f>[1]Production!AE29+[1]Production!AE31+[1]Production!AE33+[1]Production!AE35</f>
        <v>221106.64118000001</v>
      </c>
      <c r="AG104" s="6">
        <f>[1]Production!AF29+[1]Production!AF31+[1]Production!AF33+[1]Production!AF35</f>
        <v>227564.37414</v>
      </c>
      <c r="AH104" s="6">
        <f>[1]Production!AG29+[1]Production!AG31+[1]Production!AG33+[1]Production!AG35</f>
        <v>234184.48865000001</v>
      </c>
      <c r="AI104" s="6">
        <f>[1]Production!AH29+[1]Production!AH31+[1]Production!AH33+[1]Production!AH35</f>
        <v>240913.16699999999</v>
      </c>
      <c r="AJ104" s="6">
        <f>[1]Production!AI29+[1]Production!AI31+[1]Production!AI33+[1]Production!AI35</f>
        <v>247701.74413000001</v>
      </c>
      <c r="AK104" s="6">
        <f>[1]Production!AJ29+[1]Production!AJ31+[1]Production!AJ33+[1]Production!AJ35</f>
        <v>254502.96184</v>
      </c>
      <c r="AL104" s="6">
        <f>[1]Production!AK29+[1]Production!AK31+[1]Production!AK33+[1]Production!AK35</f>
        <v>261269.55806999997</v>
      </c>
    </row>
    <row r="105" spans="2:38" x14ac:dyDescent="0.35">
      <c r="B105" t="s">
        <v>10</v>
      </c>
      <c r="C105" s="6">
        <f>[1]Production!B37+[1]Production!B39</f>
        <v>2556365.8569</v>
      </c>
      <c r="D105" s="6">
        <f>[1]Production!C37+[1]Production!C39</f>
        <v>2599751.4178999998</v>
      </c>
      <c r="E105" s="6">
        <f>[1]Production!D37+[1]Production!D39</f>
        <v>2649242.8250000002</v>
      </c>
      <c r="F105" s="6">
        <f>[1]Production!E37+[1]Production!E39</f>
        <v>2703742.1514999997</v>
      </c>
      <c r="G105" s="6">
        <f>[1]Production!F37+[1]Production!F39</f>
        <v>2762295.5614</v>
      </c>
      <c r="H105" s="6">
        <f>[1]Production!G37+[1]Production!G39</f>
        <v>2824233.7017000001</v>
      </c>
      <c r="I105" s="6">
        <f>[1]Production!H37+[1]Production!H39</f>
        <v>2889018.4567</v>
      </c>
      <c r="J105" s="6">
        <f>[1]Production!I37+[1]Production!I39</f>
        <v>2956165.7226</v>
      </c>
      <c r="K105" s="6">
        <f>[1]Production!J37+[1]Production!J39</f>
        <v>3025367.4978</v>
      </c>
      <c r="L105" s="6">
        <f>[1]Production!K37+[1]Production!K39</f>
        <v>3096435.0537</v>
      </c>
      <c r="M105" s="6">
        <f>[1]Production!L37+[1]Production!L39</f>
        <v>3167946.9099000003</v>
      </c>
      <c r="N105" s="6">
        <f>[1]Production!M37+[1]Production!M39</f>
        <v>3233031.6251999997</v>
      </c>
      <c r="O105" s="6">
        <f>[1]Production!N37+[1]Production!N39</f>
        <v>3292478.9556</v>
      </c>
      <c r="P105" s="6">
        <f>[1]Production!O37+[1]Production!O39</f>
        <v>3347192.1817000001</v>
      </c>
      <c r="Q105" s="6">
        <f>[1]Production!P37+[1]Production!P39</f>
        <v>3398478.5920000002</v>
      </c>
      <c r="R105" s="6">
        <f>[1]Production!Q37+[1]Production!Q39</f>
        <v>3447752.5820999998</v>
      </c>
      <c r="S105" s="6">
        <f>[1]Production!R37+[1]Production!R39</f>
        <v>3496521.9868000001</v>
      </c>
      <c r="T105" s="6">
        <f>[1]Production!S37+[1]Production!S39</f>
        <v>3546290.8201000001</v>
      </c>
      <c r="U105" s="6">
        <f>[1]Production!T37+[1]Production!T39</f>
        <v>3598381.7546999999</v>
      </c>
      <c r="V105" s="6">
        <f>[1]Production!U37+[1]Production!U39</f>
        <v>3653760.9155999999</v>
      </c>
      <c r="W105" s="6">
        <f>[1]Production!V37+[1]Production!V39</f>
        <v>3712827.3035999998</v>
      </c>
      <c r="X105" s="6">
        <f>[1]Production!W37+[1]Production!W39</f>
        <v>3776853.2900999999</v>
      </c>
      <c r="Y105" s="6">
        <f>[1]Production!X37+[1]Production!X39</f>
        <v>3846541.8679</v>
      </c>
      <c r="Z105" s="6">
        <f>[1]Production!Y37+[1]Production!Y39</f>
        <v>3922386.3703000001</v>
      </c>
      <c r="AA105" s="6">
        <f>[1]Production!Z37+[1]Production!Z39</f>
        <v>4004527.9032999999</v>
      </c>
      <c r="AB105" s="6">
        <f>[1]Production!AA37+[1]Production!AA39</f>
        <v>4091789.8692999999</v>
      </c>
      <c r="AC105" s="6">
        <f>[1]Production!AB37+[1]Production!AB39</f>
        <v>4183444.2580000004</v>
      </c>
      <c r="AD105" s="6">
        <f>[1]Production!AC37+[1]Production!AC39</f>
        <v>4280315.1162</v>
      </c>
      <c r="AE105" s="6">
        <f>[1]Production!AD37+[1]Production!AD39</f>
        <v>4383009.2909000004</v>
      </c>
      <c r="AF105" s="6">
        <f>[1]Production!AE37+[1]Production!AE39</f>
        <v>4491235.4759999998</v>
      </c>
      <c r="AG105" s="6">
        <f>[1]Production!AF37+[1]Production!AF39</f>
        <v>4604136.6074000001</v>
      </c>
      <c r="AH105" s="6">
        <f>[1]Production!AG37+[1]Production!AG39</f>
        <v>4720790.9176000003</v>
      </c>
      <c r="AI105" s="6">
        <f>[1]Production!AH37+[1]Production!AH39</f>
        <v>4840351.6759000001</v>
      </c>
      <c r="AJ105" s="6">
        <f>[1]Production!AI37+[1]Production!AI39</f>
        <v>4961973.3311000001</v>
      </c>
      <c r="AK105" s="6">
        <f>[1]Production!AJ37+[1]Production!AJ39</f>
        <v>5084787.8133999994</v>
      </c>
      <c r="AL105" s="6">
        <f>[1]Production!AK37+[1]Production!AK39</f>
        <v>5207898.7451999998</v>
      </c>
    </row>
    <row r="106" spans="2:38" x14ac:dyDescent="0.35">
      <c r="B106" t="s">
        <v>12</v>
      </c>
      <c r="C106" s="6">
        <f>[1]Production!B43+[1]Production!B47+[1]Production!B45+[1]Production!B49</f>
        <v>40221.8495386</v>
      </c>
      <c r="D106" s="6">
        <f>[1]Production!C43+[1]Production!C47+[1]Production!C45+[1]Production!C49</f>
        <v>40557.643553800008</v>
      </c>
      <c r="E106" s="6">
        <f>[1]Production!D43+[1]Production!D47+[1]Production!D45+[1]Production!D49</f>
        <v>40899.401538700004</v>
      </c>
      <c r="F106" s="6">
        <f>[1]Production!E43+[1]Production!E47+[1]Production!E45+[1]Production!E49</f>
        <v>41267.883102499996</v>
      </c>
      <c r="G106" s="6">
        <f>[1]Production!F43+[1]Production!F47+[1]Production!F45+[1]Production!F49</f>
        <v>41765.577016900002</v>
      </c>
      <c r="H106" s="6">
        <f>[1]Production!G43+[1]Production!G47+[1]Production!G45+[1]Production!G49</f>
        <v>42377.605557700001</v>
      </c>
      <c r="I106" s="6">
        <f>[1]Production!H43+[1]Production!H47+[1]Production!H45+[1]Production!H49</f>
        <v>43127.186428800007</v>
      </c>
      <c r="J106" s="6">
        <f>[1]Production!I43+[1]Production!I47+[1]Production!I45+[1]Production!I49</f>
        <v>43964.236931700005</v>
      </c>
      <c r="K106" s="6">
        <f>[1]Production!J43+[1]Production!J47+[1]Production!J45+[1]Production!J49</f>
        <v>44867.579691699997</v>
      </c>
      <c r="L106" s="6">
        <f>[1]Production!K43+[1]Production!K47+[1]Production!K45+[1]Production!K49</f>
        <v>45825.296660200001</v>
      </c>
      <c r="M106" s="6">
        <f>[1]Production!L43+[1]Production!L47+[1]Production!L45+[1]Production!L49</f>
        <v>46802.522265999993</v>
      </c>
      <c r="N106" s="6">
        <f>[1]Production!M43+[1]Production!M47+[1]Production!M45+[1]Production!M49</f>
        <v>47670.822871800003</v>
      </c>
      <c r="O106" s="6">
        <f>[1]Production!N43+[1]Production!N47+[1]Production!N45+[1]Production!N49</f>
        <v>48455.684457199997</v>
      </c>
      <c r="P106" s="6">
        <f>[1]Production!O43+[1]Production!O47+[1]Production!O45+[1]Production!O49</f>
        <v>49178.220171100002</v>
      </c>
      <c r="Q106" s="6">
        <f>[1]Production!P43+[1]Production!P47+[1]Production!P45+[1]Production!P49</f>
        <v>49859.792423999999</v>
      </c>
      <c r="R106" s="6">
        <f>[1]Production!Q43+[1]Production!Q47+[1]Production!Q45+[1]Production!Q49</f>
        <v>50520.614742400001</v>
      </c>
      <c r="S106" s="6">
        <f>[1]Production!R43+[1]Production!R47+[1]Production!R45+[1]Production!R49</f>
        <v>51169.018722299996</v>
      </c>
      <c r="T106" s="6">
        <f>[1]Production!S43+[1]Production!S47+[1]Production!S45+[1]Production!S49</f>
        <v>51839.652543699995</v>
      </c>
      <c r="U106" s="6">
        <f>[1]Production!T43+[1]Production!T47+[1]Production!T45+[1]Production!T49</f>
        <v>52548.729357000004</v>
      </c>
      <c r="V106" s="6">
        <f>[1]Production!U43+[1]Production!U47+[1]Production!U45+[1]Production!U49</f>
        <v>53307.302219800004</v>
      </c>
      <c r="W106" s="6">
        <f>[1]Production!V43+[1]Production!V47+[1]Production!V45+[1]Production!V49</f>
        <v>54123.917464699996</v>
      </c>
      <c r="X106" s="6">
        <f>[1]Production!W43+[1]Production!W47+[1]Production!W45+[1]Production!W49</f>
        <v>55013.7697663</v>
      </c>
      <c r="Y106" s="6">
        <f>[1]Production!X43+[1]Production!X47+[1]Production!X45+[1]Production!X49</f>
        <v>55990.233589800002</v>
      </c>
      <c r="Z106" s="6">
        <f>[1]Production!Y43+[1]Production!Y47+[1]Production!Y45+[1]Production!Y49</f>
        <v>57063.625097999997</v>
      </c>
      <c r="AA106" s="6">
        <f>[1]Production!Z43+[1]Production!Z47+[1]Production!Z45+[1]Production!Z49</f>
        <v>58239.754312600002</v>
      </c>
      <c r="AB106" s="6">
        <f>[1]Production!AA43+[1]Production!AA47+[1]Production!AA45+[1]Production!AA49</f>
        <v>59516.242289599999</v>
      </c>
      <c r="AC106" s="6">
        <f>[1]Production!AB43+[1]Production!AB47+[1]Production!AB45+[1]Production!AB49</f>
        <v>60762.910136900005</v>
      </c>
      <c r="AD106" s="6">
        <f>[1]Production!AC43+[1]Production!AC47+[1]Production!AC45+[1]Production!AC49</f>
        <v>62057.521293499994</v>
      </c>
      <c r="AE106" s="6">
        <f>[1]Production!AD43+[1]Production!AD47+[1]Production!AD45+[1]Production!AD49</f>
        <v>63439.7612553</v>
      </c>
      <c r="AF106" s="6">
        <f>[1]Production!AE43+[1]Production!AE47+[1]Production!AE45+[1]Production!AE49</f>
        <v>64910.947851299992</v>
      </c>
      <c r="AG106" s="6">
        <f>[1]Production!AF43+[1]Production!AF47+[1]Production!AF45+[1]Production!AF49</f>
        <v>66456.575882099991</v>
      </c>
      <c r="AH106" s="6">
        <f>[1]Production!AG43+[1]Production!AG47+[1]Production!AG45+[1]Production!AG49</f>
        <v>68060.854955799994</v>
      </c>
      <c r="AI106" s="6">
        <f>[1]Production!AH43+[1]Production!AH47+[1]Production!AH45+[1]Production!AH49</f>
        <v>69710.085518500011</v>
      </c>
      <c r="AJ106" s="6">
        <f>[1]Production!AI43+[1]Production!AI47+[1]Production!AI45+[1]Production!AI49</f>
        <v>71391.048490500005</v>
      </c>
      <c r="AK106" s="6">
        <f>[1]Production!AJ43+[1]Production!AJ47+[1]Production!AJ45+[1]Production!AJ49</f>
        <v>73090.268831400012</v>
      </c>
      <c r="AL106" s="6">
        <f>[1]Production!AK43+[1]Production!AK47+[1]Production!AK45+[1]Production!AK49</f>
        <v>74793.706205199996</v>
      </c>
    </row>
    <row r="107" spans="2:38" x14ac:dyDescent="0.35">
      <c r="B107" t="s">
        <v>11</v>
      </c>
      <c r="C107" s="6">
        <f>[1]Production!B51+[1]Production!B53+[1]Production!B55+[1]Production!B57+[1]Production!B59+[1]Production!B61+[1]Production!B63+[1]Production!B65+[1]Production!B67</f>
        <v>67899.754695899988</v>
      </c>
      <c r="D107" s="6">
        <f>[1]Production!C51+[1]Production!C53+[1]Production!C55+[1]Production!C57+[1]Production!C59+[1]Production!C61+[1]Production!C63+[1]Production!C65+[1]Production!C67</f>
        <v>68899.210654199996</v>
      </c>
      <c r="E107" s="6">
        <f>[1]Production!D51+[1]Production!D53+[1]Production!D55+[1]Production!D57+[1]Production!D59+[1]Production!D61+[1]Production!D63+[1]Production!D65+[1]Production!D67</f>
        <v>69844.160912399995</v>
      </c>
      <c r="F107" s="6">
        <f>[1]Production!E51+[1]Production!E53+[1]Production!E55+[1]Production!E57+[1]Production!E59+[1]Production!E61+[1]Production!E63+[1]Production!E65+[1]Production!E67</f>
        <v>70867.819027400008</v>
      </c>
      <c r="G107" s="6">
        <f>[1]Production!F51+[1]Production!F53+[1]Production!F55+[1]Production!F57+[1]Production!F59+[1]Production!F61+[1]Production!F63+[1]Production!F65+[1]Production!F67</f>
        <v>71807.598805600006</v>
      </c>
      <c r="H107" s="6">
        <f>[1]Production!G51+[1]Production!G53+[1]Production!G55+[1]Production!G57+[1]Production!G59+[1]Production!G61+[1]Production!G63+[1]Production!G65+[1]Production!G67</f>
        <v>72768.774212300021</v>
      </c>
      <c r="I107" s="6">
        <f>[1]Production!H51+[1]Production!H53+[1]Production!H55+[1]Production!H57+[1]Production!H59+[1]Production!H61+[1]Production!H63+[1]Production!H65+[1]Production!H67</f>
        <v>75886.761727699995</v>
      </c>
      <c r="J107" s="6">
        <f>[1]Production!I51+[1]Production!I53+[1]Production!I55+[1]Production!I57+[1]Production!I59+[1]Production!I61+[1]Production!I63+[1]Production!I65+[1]Production!I67</f>
        <v>79630.366522299999</v>
      </c>
      <c r="K107" s="6">
        <f>[1]Production!J51+[1]Production!J53+[1]Production!J55+[1]Production!J57+[1]Production!J59+[1]Production!J61+[1]Production!J63+[1]Production!J65+[1]Production!J67</f>
        <v>83735.305472599997</v>
      </c>
      <c r="L107" s="6">
        <f>[1]Production!K51+[1]Production!K53+[1]Production!K55+[1]Production!K57+[1]Production!K59+[1]Production!K61+[1]Production!K63+[1]Production!K65+[1]Production!K67</f>
        <v>88174.390645999985</v>
      </c>
      <c r="M107" s="6">
        <f>[1]Production!L51+[1]Production!L53+[1]Production!L55+[1]Production!L57+[1]Production!L59+[1]Production!L61+[1]Production!L63+[1]Production!L65+[1]Production!L67</f>
        <v>92940.427276400005</v>
      </c>
      <c r="N107" s="6">
        <f>[1]Production!M51+[1]Production!M53+[1]Production!M55+[1]Production!M57+[1]Production!M59+[1]Production!M61+[1]Production!M63+[1]Production!M65+[1]Production!M67</f>
        <v>96760.134188100012</v>
      </c>
      <c r="O107" s="6">
        <f>[1]Production!N51+[1]Production!N53+[1]Production!N55+[1]Production!N57+[1]Production!N59+[1]Production!N61+[1]Production!N63+[1]Production!N65+[1]Production!N67</f>
        <v>100464.4947199</v>
      </c>
      <c r="P107" s="6">
        <f>[1]Production!O51+[1]Production!O53+[1]Production!O55+[1]Production!O57+[1]Production!O59+[1]Production!O61+[1]Production!O63+[1]Production!O65+[1]Production!O67</f>
        <v>104267.54664599999</v>
      </c>
      <c r="Q107" s="6">
        <f>[1]Production!P51+[1]Production!P53+[1]Production!P55+[1]Production!P57+[1]Production!P59+[1]Production!P61+[1]Production!P63+[1]Production!P65+[1]Production!P67</f>
        <v>108261.56611870002</v>
      </c>
      <c r="R107" s="6">
        <f>[1]Production!Q51+[1]Production!Q53+[1]Production!Q55+[1]Production!Q57+[1]Production!Q59+[1]Production!Q61+[1]Production!Q63+[1]Production!Q65+[1]Production!Q67</f>
        <v>112520.32115759999</v>
      </c>
      <c r="S107" s="6">
        <f>[1]Production!R51+[1]Production!R53+[1]Production!R55+[1]Production!R57+[1]Production!R59+[1]Production!R61+[1]Production!R63+[1]Production!R65+[1]Production!R67</f>
        <v>117327.8727411</v>
      </c>
      <c r="T107" s="6">
        <f>[1]Production!S51+[1]Production!S53+[1]Production!S55+[1]Production!S57+[1]Production!S59+[1]Production!S61+[1]Production!S63+[1]Production!S65+[1]Production!S67</f>
        <v>122575.1830375</v>
      </c>
      <c r="U107" s="6">
        <f>[1]Production!T51+[1]Production!T53+[1]Production!T55+[1]Production!T57+[1]Production!T59+[1]Production!T61+[1]Production!T63+[1]Production!T65+[1]Production!T67</f>
        <v>128329.68106711</v>
      </c>
      <c r="V107" s="6">
        <f>[1]Production!U51+[1]Production!U53+[1]Production!U55+[1]Production!U57+[1]Production!U59+[1]Production!U61+[1]Production!U63+[1]Production!U65+[1]Production!U67</f>
        <v>134698.81393072</v>
      </c>
      <c r="W107" s="6">
        <f>[1]Production!V51+[1]Production!V53+[1]Production!V55+[1]Production!V57+[1]Production!V59+[1]Production!V61+[1]Production!V63+[1]Production!V65+[1]Production!V67</f>
        <v>141794.41469756997</v>
      </c>
      <c r="X107" s="6">
        <f>[1]Production!W51+[1]Production!W53+[1]Production!W55+[1]Production!W57+[1]Production!W59+[1]Production!W61+[1]Production!W63+[1]Production!W65+[1]Production!W67</f>
        <v>149790.84842667999</v>
      </c>
      <c r="Y107" s="6">
        <f>[1]Production!X51+[1]Production!X53+[1]Production!X55+[1]Production!X57+[1]Production!X59+[1]Production!X61+[1]Production!X63+[1]Production!X65+[1]Production!X67</f>
        <v>158861.25966837999</v>
      </c>
      <c r="Z107" s="6">
        <f>[1]Production!Y51+[1]Production!Y53+[1]Production!Y55+[1]Production!Y57+[1]Production!Y59+[1]Production!Y61+[1]Production!Y63+[1]Production!Y65+[1]Production!Y67</f>
        <v>169198.80370412802</v>
      </c>
      <c r="AA107" s="6">
        <f>[1]Production!Z51+[1]Production!Z53+[1]Production!Z55+[1]Production!Z57+[1]Production!Z59+[1]Production!Z61+[1]Production!Z63+[1]Production!Z65+[1]Production!Z67</f>
        <v>181016.74068537599</v>
      </c>
      <c r="AB107" s="6">
        <f>[1]Production!AA51+[1]Production!AA53+[1]Production!AA55+[1]Production!AA57+[1]Production!AA59+[1]Production!AA61+[1]Production!AA63+[1]Production!AA65+[1]Production!AA67</f>
        <v>194501.36638370797</v>
      </c>
      <c r="AC107" s="6">
        <f>[1]Production!AB51+[1]Production!AB53+[1]Production!AB55+[1]Production!AB57+[1]Production!AB59+[1]Production!AB61+[1]Production!AB63+[1]Production!AB65+[1]Production!AB67</f>
        <v>200533.796785955</v>
      </c>
      <c r="AD107" s="6">
        <f>[1]Production!AC51+[1]Production!AC53+[1]Production!AC55+[1]Production!AC57+[1]Production!AC59+[1]Production!AC61+[1]Production!AC63+[1]Production!AC65+[1]Production!AC67</f>
        <v>204787.90485146397</v>
      </c>
      <c r="AE107" s="6">
        <f>[1]Production!AD51+[1]Production!AD53+[1]Production!AD55+[1]Production!AD57+[1]Production!AD59+[1]Production!AD61+[1]Production!AD63+[1]Production!AD65+[1]Production!AD67</f>
        <v>209033.33014518398</v>
      </c>
      <c r="AF107" s="6">
        <f>[1]Production!AE51+[1]Production!AE53+[1]Production!AE55+[1]Production!AE57+[1]Production!AE59+[1]Production!AE61+[1]Production!AE63+[1]Production!AE65+[1]Production!AE67</f>
        <v>213666.23035104299</v>
      </c>
      <c r="AG107" s="6">
        <f>[1]Production!AF51+[1]Production!AF53+[1]Production!AF55+[1]Production!AF57+[1]Production!AF59+[1]Production!AF61+[1]Production!AF63+[1]Production!AF65+[1]Production!AF67</f>
        <v>218665.652506732</v>
      </c>
      <c r="AH107" s="6">
        <f>[1]Production!AG51+[1]Production!AG53+[1]Production!AG55+[1]Production!AG57+[1]Production!AG59+[1]Production!AG61+[1]Production!AG63+[1]Production!AG65+[1]Production!AG67</f>
        <v>223917.06167680502</v>
      </c>
      <c r="AI107" s="6">
        <f>[1]Production!AH51+[1]Production!AH53+[1]Production!AH55+[1]Production!AH57+[1]Production!AH59+[1]Production!AH61+[1]Production!AH63+[1]Production!AH65+[1]Production!AH67</f>
        <v>229307.042781967</v>
      </c>
      <c r="AJ107" s="6">
        <f>[1]Production!AI51+[1]Production!AI53+[1]Production!AI55+[1]Production!AI57+[1]Production!AI59+[1]Production!AI61+[1]Production!AI63+[1]Production!AI65+[1]Production!AI67</f>
        <v>234741.43085303498</v>
      </c>
      <c r="AK107" s="6">
        <f>[1]Production!AJ51+[1]Production!AJ53+[1]Production!AJ55+[1]Production!AJ57+[1]Production!AJ59+[1]Production!AJ61+[1]Production!AJ63+[1]Production!AJ65+[1]Production!AJ67</f>
        <v>240145.008360432</v>
      </c>
      <c r="AL107" s="6">
        <f>[1]Production!AK51+[1]Production!AK53+[1]Production!AK55+[1]Production!AK57+[1]Production!AK59+[1]Production!AK61+[1]Production!AK63+[1]Production!AK65+[1]Production!AK67</f>
        <v>245455.59042786303</v>
      </c>
    </row>
    <row r="109" spans="2:38" x14ac:dyDescent="0.35">
      <c r="B109" t="s">
        <v>26</v>
      </c>
      <c r="C109" s="2">
        <v>42005</v>
      </c>
      <c r="D109" s="2">
        <v>42370</v>
      </c>
      <c r="E109" s="2">
        <v>42736</v>
      </c>
      <c r="F109" s="2">
        <v>43101</v>
      </c>
      <c r="G109" s="2">
        <v>43466</v>
      </c>
      <c r="H109" s="2">
        <v>43831</v>
      </c>
      <c r="I109" s="2">
        <v>44197</v>
      </c>
      <c r="J109" s="2">
        <v>44562</v>
      </c>
      <c r="K109" s="2">
        <v>44927</v>
      </c>
      <c r="L109" s="2">
        <v>45292</v>
      </c>
      <c r="M109" s="2">
        <v>45658</v>
      </c>
      <c r="N109" s="2">
        <v>46023</v>
      </c>
      <c r="O109" s="2">
        <v>46388</v>
      </c>
      <c r="P109" s="2">
        <v>46753</v>
      </c>
      <c r="Q109" s="2">
        <v>47119</v>
      </c>
      <c r="R109" s="2">
        <v>47484</v>
      </c>
      <c r="S109" s="2">
        <v>47849</v>
      </c>
      <c r="T109" s="2">
        <v>48214</v>
      </c>
      <c r="U109" s="2">
        <v>48580</v>
      </c>
      <c r="V109" s="2">
        <v>48945</v>
      </c>
      <c r="W109" s="2">
        <v>49310</v>
      </c>
      <c r="X109" s="2">
        <v>49675</v>
      </c>
      <c r="Y109" s="2">
        <v>50041</v>
      </c>
      <c r="Z109" s="2">
        <v>50406</v>
      </c>
      <c r="AA109" s="2">
        <v>50771</v>
      </c>
      <c r="AB109" s="2">
        <v>51136</v>
      </c>
      <c r="AC109" s="2">
        <v>51502</v>
      </c>
      <c r="AD109" s="2">
        <v>51867</v>
      </c>
      <c r="AE109" s="2">
        <v>52232</v>
      </c>
      <c r="AF109" s="2">
        <v>52597</v>
      </c>
      <c r="AG109" s="2">
        <v>52963</v>
      </c>
      <c r="AH109" s="2">
        <v>53328</v>
      </c>
      <c r="AI109" s="2">
        <v>53693</v>
      </c>
      <c r="AJ109" s="2">
        <v>54058</v>
      </c>
      <c r="AK109" s="2">
        <v>54424</v>
      </c>
      <c r="AL109" s="2">
        <v>54789</v>
      </c>
    </row>
    <row r="110" spans="2:38" x14ac:dyDescent="0.35">
      <c r="B110" t="s">
        <v>7</v>
      </c>
      <c r="C110" s="6">
        <f>[1]Production!B4+[1]Production!B6</f>
        <v>88260.597330000004</v>
      </c>
      <c r="D110" s="6">
        <f>[1]Production!C4+[1]Production!C6</f>
        <v>89566.500465999998</v>
      </c>
      <c r="E110" s="6">
        <f>[1]Production!D4+[1]Production!D6</f>
        <v>91122.501268000007</v>
      </c>
      <c r="F110" s="6">
        <f>[1]Production!E4+[1]Production!E6</f>
        <v>92908.638814000005</v>
      </c>
      <c r="G110" s="6">
        <f>[1]Production!F4+[1]Production!F6</f>
        <v>94925.403222999987</v>
      </c>
      <c r="H110" s="6">
        <f>[1]Production!G4+[1]Production!G6</f>
        <v>97135.720637999999</v>
      </c>
      <c r="I110" s="6">
        <f>[1]Production!H4+[1]Production!H6</f>
        <v>99525.362448999993</v>
      </c>
      <c r="J110" s="6">
        <f>[1]Production!I4+[1]Production!I6</f>
        <v>101550.68960499999</v>
      </c>
      <c r="K110" s="6">
        <f>[1]Production!J4+[1]Production!J6</f>
        <v>103603.54309400001</v>
      </c>
      <c r="L110" s="6">
        <f>[1]Production!K4+[1]Production!K6</f>
        <v>106150.15637700001</v>
      </c>
      <c r="M110" s="6">
        <f>[1]Production!L4+[1]Production!L6</f>
        <v>108728.21190900001</v>
      </c>
      <c r="N110" s="6">
        <f>[1]Production!M4+[1]Production!M6</f>
        <v>111012.317763</v>
      </c>
      <c r="O110" s="6">
        <f>[1]Production!N4+[1]Production!N6</f>
        <v>113035.20140599999</v>
      </c>
      <c r="P110" s="6">
        <f>[1]Production!O4+[1]Production!O6</f>
        <v>114856.22190600001</v>
      </c>
      <c r="Q110" s="6">
        <f>[1]Production!P4+[1]Production!P6</f>
        <v>116557.845644</v>
      </c>
      <c r="R110" s="6">
        <f>[1]Production!Q4+[1]Production!Q6</f>
        <v>118194.43380500001</v>
      </c>
      <c r="S110" s="6">
        <f>[1]Production!R4+[1]Production!R6</f>
        <v>119852.469212</v>
      </c>
      <c r="T110" s="6">
        <f>[1]Production!S4+[1]Production!S6</f>
        <v>121529.48234</v>
      </c>
      <c r="U110" s="6">
        <f>[1]Production!T4+[1]Production!T6</f>
        <v>123280.387055</v>
      </c>
      <c r="V110" s="6">
        <f>[1]Production!U4+[1]Production!U6</f>
        <v>125152.931801</v>
      </c>
      <c r="W110" s="6">
        <f>[1]Production!V4+[1]Production!V6</f>
        <v>127170.53546500001</v>
      </c>
      <c r="X110" s="6">
        <f>[1]Production!W4+[1]Production!W6</f>
        <v>129400.364996</v>
      </c>
      <c r="Y110" s="6">
        <f>[1]Production!X4+[1]Production!X6</f>
        <v>131884.01742299998</v>
      </c>
      <c r="Z110" s="6">
        <f>[1]Production!Y4+[1]Production!Y6</f>
        <v>134649.75426099999</v>
      </c>
      <c r="AA110" s="6">
        <f>[1]Production!Z4+[1]Production!Z6</f>
        <v>137709.71197599999</v>
      </c>
      <c r="AB110" s="6">
        <f>[1]Production!AA4+[1]Production!AA6</f>
        <v>141018.96620200001</v>
      </c>
      <c r="AC110" s="6">
        <f>[1]Production!AB4+[1]Production!AB6</f>
        <v>144403.58060099999</v>
      </c>
      <c r="AD110" s="6">
        <f>[1]Production!AC4+[1]Production!AC6</f>
        <v>148032.65557900001</v>
      </c>
      <c r="AE110" s="6">
        <f>[1]Production!AD4+[1]Production!AD6</f>
        <v>151957.647937</v>
      </c>
      <c r="AF110" s="6">
        <f>[1]Production!AE4+[1]Production!AE6</f>
        <v>156165.70771400002</v>
      </c>
      <c r="AG110" s="6">
        <f>[1]Production!AF4+[1]Production!AF6</f>
        <v>160614.26089999999</v>
      </c>
      <c r="AH110" s="6">
        <f>[1]Production!AG4+[1]Production!AG6</f>
        <v>165259.97712600001</v>
      </c>
      <c r="AI110" s="6">
        <f>[1]Production!AH4+[1]Production!AH6</f>
        <v>170064.00410799999</v>
      </c>
      <c r="AJ110" s="6">
        <f>[1]Production!AI4+[1]Production!AI6</f>
        <v>174985.47466199999</v>
      </c>
      <c r="AK110" s="6">
        <f>[1]Production!AJ4+[1]Production!AJ6</f>
        <v>179981.88152700002</v>
      </c>
      <c r="AL110" s="6">
        <f>[1]Production!AK4+[1]Production!AK6</f>
        <v>185008.72455899999</v>
      </c>
    </row>
    <row r="111" spans="2:38" x14ac:dyDescent="0.35">
      <c r="B111" t="s">
        <v>8</v>
      </c>
      <c r="C111" s="6">
        <f>[1]Production!B8+[1]Production!B10+[1]Production!B12+[1]Production!B14+[1]Production!B16+[1]Production!B18+[1]Production!B20+[1]Production!B22+[1]Production!B24+[1]Production!B26+[1]Production!B40</f>
        <v>978783.20468199998</v>
      </c>
      <c r="D111" s="6">
        <f>[1]Production!C8+[1]Production!C10+[1]Production!C12+[1]Production!C14+[1]Production!C16+[1]Production!C18+[1]Production!C20+[1]Production!C22+[1]Production!C24+[1]Production!C26+[1]Production!C40</f>
        <v>1000840.0433149999</v>
      </c>
      <c r="E111" s="6">
        <f>[1]Production!D8+[1]Production!D10+[1]Production!D12+[1]Production!D14+[1]Production!D16+[1]Production!D18+[1]Production!D20+[1]Production!D22+[1]Production!D24+[1]Production!D26+[1]Production!D40</f>
        <v>1025421.8670470001</v>
      </c>
      <c r="F111" s="6">
        <f>[1]Production!E8+[1]Production!E10+[1]Production!E12+[1]Production!E14+[1]Production!E16+[1]Production!E18+[1]Production!E20+[1]Production!E22+[1]Production!E24+[1]Production!E26+[1]Production!E40</f>
        <v>1051729.5035399999</v>
      </c>
      <c r="G111" s="6">
        <f>[1]Production!F8+[1]Production!F10+[1]Production!F12+[1]Production!F14+[1]Production!F16+[1]Production!F18+[1]Production!F20+[1]Production!F22+[1]Production!F24+[1]Production!F26+[1]Production!F40</f>
        <v>1079651.5608099999</v>
      </c>
      <c r="H111" s="6">
        <f>[1]Production!G8+[1]Production!G10+[1]Production!G12+[1]Production!G14+[1]Production!G16+[1]Production!G18+[1]Production!G20+[1]Production!G22+[1]Production!G24+[1]Production!G26+[1]Production!G40</f>
        <v>1108985.8094009997</v>
      </c>
      <c r="I111" s="6">
        <f>[1]Production!H8+[1]Production!H10+[1]Production!H12+[1]Production!H14+[1]Production!H16+[1]Production!H18+[1]Production!H20+[1]Production!H22+[1]Production!H24+[1]Production!H26+[1]Production!H40</f>
        <v>1139687.0757309999</v>
      </c>
      <c r="J111" s="6">
        <f>[1]Production!I8+[1]Production!I10+[1]Production!I12+[1]Production!I14+[1]Production!I16+[1]Production!I18+[1]Production!I20+[1]Production!I22+[1]Production!I24+[1]Production!I26+[1]Production!I40</f>
        <v>1166011.7155159998</v>
      </c>
      <c r="K111" s="6">
        <f>[1]Production!J8+[1]Production!J10+[1]Production!J12+[1]Production!J14+[1]Production!J16+[1]Production!J18+[1]Production!J20+[1]Production!J22+[1]Production!J24+[1]Production!J26+[1]Production!J40</f>
        <v>1193201.9315970002</v>
      </c>
      <c r="L111" s="6">
        <f>[1]Production!K8+[1]Production!K10+[1]Production!K12+[1]Production!K14+[1]Production!K16+[1]Production!K18+[1]Production!K20+[1]Production!K22+[1]Production!K24+[1]Production!K26+[1]Production!K40</f>
        <v>1228286.391139</v>
      </c>
      <c r="M111" s="6">
        <f>[1]Production!L8+[1]Production!L10+[1]Production!L12+[1]Production!L14+[1]Production!L16+[1]Production!L18+[1]Production!L20+[1]Production!L22+[1]Production!L24+[1]Production!L26+[1]Production!L40</f>
        <v>1263333.351276</v>
      </c>
      <c r="N111" s="6">
        <f>[1]Production!M8+[1]Production!M10+[1]Production!M12+[1]Production!M14+[1]Production!M16+[1]Production!M18+[1]Production!M20+[1]Production!M22+[1]Production!M24+[1]Production!M26+[1]Production!M40</f>
        <v>1293980.1246180001</v>
      </c>
      <c r="O111" s="6">
        <f>[1]Production!N8+[1]Production!N10+[1]Production!N12+[1]Production!N14+[1]Production!N16+[1]Production!N18+[1]Production!N20+[1]Production!N22+[1]Production!N24+[1]Production!N26+[1]Production!N40</f>
        <v>1321054.4382209999</v>
      </c>
      <c r="P111" s="6">
        <f>[1]Production!O8+[1]Production!O10+[1]Production!O12+[1]Production!O14+[1]Production!O16+[1]Production!O18+[1]Production!O20+[1]Production!O22+[1]Production!O24+[1]Production!O26+[1]Production!O40</f>
        <v>1345835.1345800001</v>
      </c>
      <c r="Q111" s="6">
        <f>[1]Production!P8+[1]Production!P10+[1]Production!P12+[1]Production!P14+[1]Production!P16+[1]Production!P18+[1]Production!P20+[1]Production!P22+[1]Production!P24+[1]Production!P26+[1]Production!P40</f>
        <v>1369953.376556</v>
      </c>
      <c r="R111" s="6">
        <f>[1]Production!Q8+[1]Production!Q10+[1]Production!Q12+[1]Production!Q14+[1]Production!Q16+[1]Production!Q18+[1]Production!Q20+[1]Production!Q22+[1]Production!Q24+[1]Production!Q26+[1]Production!Q40</f>
        <v>1394380.5563840002</v>
      </c>
      <c r="S111" s="6">
        <f>[1]Production!R8+[1]Production!R10+[1]Production!R12+[1]Production!R14+[1]Production!R16+[1]Production!R18+[1]Production!R20+[1]Production!R22+[1]Production!R24+[1]Production!R26+[1]Production!R40</f>
        <v>1419212.859529</v>
      </c>
      <c r="T111" s="6">
        <f>[1]Production!S8+[1]Production!S10+[1]Production!S12+[1]Production!S14+[1]Production!S16+[1]Production!S18+[1]Production!S20+[1]Production!S22+[1]Production!S24+[1]Production!S26+[1]Production!S40</f>
        <v>1445414.056201</v>
      </c>
      <c r="U111" s="6">
        <f>[1]Production!T8+[1]Production!T10+[1]Production!T12+[1]Production!T14+[1]Production!T16+[1]Production!T18+[1]Production!T20+[1]Production!T22+[1]Production!T24+[1]Production!T26+[1]Production!T40</f>
        <v>1473645.3555350001</v>
      </c>
      <c r="V111" s="6">
        <f>[1]Production!U8+[1]Production!U10+[1]Production!U12+[1]Production!U14+[1]Production!U16+[1]Production!U18+[1]Production!U20+[1]Production!U22+[1]Production!U24+[1]Production!U26+[1]Production!U40</f>
        <v>1504373.9902490003</v>
      </c>
      <c r="W111" s="6">
        <f>[1]Production!V8+[1]Production!V10+[1]Production!V12+[1]Production!V14+[1]Production!V16+[1]Production!V18+[1]Production!V20+[1]Production!V22+[1]Production!V24+[1]Production!V26+[1]Production!V40</f>
        <v>1537843.8777109997</v>
      </c>
      <c r="X111" s="6">
        <f>[1]Production!W8+[1]Production!W10+[1]Production!W12+[1]Production!W14+[1]Production!W16+[1]Production!W18+[1]Production!W20+[1]Production!W22+[1]Production!W24+[1]Production!W26+[1]Production!W40</f>
        <v>1574663.4904370001</v>
      </c>
      <c r="Y111" s="6">
        <f>[1]Production!X8+[1]Production!X10+[1]Production!X12+[1]Production!X14+[1]Production!X16+[1]Production!X18+[1]Production!X20+[1]Production!X22+[1]Production!X24+[1]Production!X26+[1]Production!X40</f>
        <v>1615225.8406739999</v>
      </c>
      <c r="Z111" s="6">
        <f>[1]Production!Y8+[1]Production!Y10+[1]Production!Y12+[1]Production!Y14+[1]Production!Y16+[1]Production!Y18+[1]Production!Y20+[1]Production!Y22+[1]Production!Y24+[1]Production!Y26+[1]Production!Y40</f>
        <v>1659762.4859240002</v>
      </c>
      <c r="AA111" s="6">
        <f>[1]Production!Z8+[1]Production!Z10+[1]Production!Z12+[1]Production!Z14+[1]Production!Z16+[1]Production!Z18+[1]Production!Z20+[1]Production!Z22+[1]Production!Z24+[1]Production!Z26+[1]Production!Z40</f>
        <v>1708321.7735340002</v>
      </c>
      <c r="AB111" s="6">
        <f>[1]Production!AA8+[1]Production!AA10+[1]Production!AA12+[1]Production!AA14+[1]Production!AA16+[1]Production!AA18+[1]Production!AA20+[1]Production!AA22+[1]Production!AA24+[1]Production!AA26+[1]Production!AA40</f>
        <v>1760612.7918229999</v>
      </c>
      <c r="AC111" s="6">
        <f>[1]Production!AB8+[1]Production!AB10+[1]Production!AB12+[1]Production!AB14+[1]Production!AB16+[1]Production!AB18+[1]Production!AB20+[1]Production!AB22+[1]Production!AB24+[1]Production!AB26+[1]Production!AB40</f>
        <v>1815818.2785939998</v>
      </c>
      <c r="AD111" s="6">
        <f>[1]Production!AC8+[1]Production!AC10+[1]Production!AC12+[1]Production!AC14+[1]Production!AC16+[1]Production!AC18+[1]Production!AC20+[1]Production!AC22+[1]Production!AC24+[1]Production!AC26+[1]Production!AC40</f>
        <v>1874130.53471</v>
      </c>
      <c r="AE111" s="6">
        <f>[1]Production!AD8+[1]Production!AD10+[1]Production!AD12+[1]Production!AD14+[1]Production!AD16+[1]Production!AD18+[1]Production!AD20+[1]Production!AD22+[1]Production!AD24+[1]Production!AD26+[1]Production!AD40</f>
        <v>1935701.6105679998</v>
      </c>
      <c r="AF111" s="6">
        <f>[1]Production!AE8+[1]Production!AE10+[1]Production!AE12+[1]Production!AE14+[1]Production!AE16+[1]Production!AE18+[1]Production!AE20+[1]Production!AE22+[1]Production!AE24+[1]Production!AE26+[1]Production!AE40</f>
        <v>2000169.4096009999</v>
      </c>
      <c r="AG111" s="6">
        <f>[1]Production!AF8+[1]Production!AF10+[1]Production!AF12+[1]Production!AF14+[1]Production!AF16+[1]Production!AF18+[1]Production!AF20+[1]Production!AF22+[1]Production!AF24+[1]Production!AF26+[1]Production!AF40</f>
        <v>2066919.2539879999</v>
      </c>
      <c r="AH111" s="6">
        <f>[1]Production!AG8+[1]Production!AG10+[1]Production!AG12+[1]Production!AG14+[1]Production!AG16+[1]Production!AG18+[1]Production!AG20+[1]Production!AG22+[1]Production!AG24+[1]Production!AG26+[1]Production!AG40</f>
        <v>2135469.6455270005</v>
      </c>
      <c r="AI111" s="6">
        <f>[1]Production!AH8+[1]Production!AH10+[1]Production!AH12+[1]Production!AH14+[1]Production!AH16+[1]Production!AH18+[1]Production!AH20+[1]Production!AH22+[1]Production!AH24+[1]Production!AH26+[1]Production!AH40</f>
        <v>2205395.9573189998</v>
      </c>
      <c r="AJ111" s="6">
        <f>[1]Production!AI8+[1]Production!AI10+[1]Production!AI12+[1]Production!AI14+[1]Production!AI16+[1]Production!AI18+[1]Production!AI20+[1]Production!AI22+[1]Production!AI24+[1]Production!AI26+[1]Production!AI40</f>
        <v>2276251.1017109999</v>
      </c>
      <c r="AK111" s="6">
        <f>[1]Production!AJ8+[1]Production!AJ10+[1]Production!AJ12+[1]Production!AJ14+[1]Production!AJ16+[1]Production!AJ18+[1]Production!AJ20+[1]Production!AJ22+[1]Production!AJ24+[1]Production!AJ26+[1]Production!AJ40</f>
        <v>2347592.1422819998</v>
      </c>
      <c r="AL111" s="6">
        <f>[1]Production!AK8+[1]Production!AK10+[1]Production!AK12+[1]Production!AK14+[1]Production!AK16+[1]Production!AK18+[1]Production!AK20+[1]Production!AK22+[1]Production!AK24+[1]Production!AK26+[1]Production!AK40</f>
        <v>2418971.9858789998</v>
      </c>
    </row>
    <row r="112" spans="2:38" x14ac:dyDescent="0.35">
      <c r="B112" t="s">
        <v>9</v>
      </c>
      <c r="C112" s="6">
        <f>[1]Production!B28+[1]Production!B30+[1]Production!B32+[1]Production!B34</f>
        <v>120899.250646</v>
      </c>
      <c r="D112" s="6">
        <f>[1]Production!C28+[1]Production!C30+[1]Production!C32+[1]Production!C34</f>
        <v>123412.69617700001</v>
      </c>
      <c r="E112" s="6">
        <f>[1]Production!D28+[1]Production!D30+[1]Production!D32+[1]Production!D34</f>
        <v>126094.00499399999</v>
      </c>
      <c r="F112" s="6">
        <f>[1]Production!E28+[1]Production!E30+[1]Production!E32+[1]Production!E34</f>
        <v>128897.26555700001</v>
      </c>
      <c r="G112" s="6">
        <f>[1]Production!F28+[1]Production!F30+[1]Production!F32+[1]Production!F34</f>
        <v>131877.490773</v>
      </c>
      <c r="H112" s="6">
        <f>[1]Production!G28+[1]Production!G30+[1]Production!G32+[1]Production!G34</f>
        <v>135035.77515900001</v>
      </c>
      <c r="I112" s="6">
        <f>[1]Production!H28+[1]Production!H30+[1]Production!H32+[1]Production!H34</f>
        <v>138352.26969000002</v>
      </c>
      <c r="J112" s="6">
        <f>[1]Production!I28+[1]Production!I30+[1]Production!I32+[1]Production!I34</f>
        <v>141014.45617200001</v>
      </c>
      <c r="K112" s="6">
        <f>[1]Production!J28+[1]Production!J30+[1]Production!J32+[1]Production!J34</f>
        <v>143646.734222</v>
      </c>
      <c r="L112" s="6">
        <f>[1]Production!K28+[1]Production!K30+[1]Production!K32+[1]Production!K34</f>
        <v>147007.18676299998</v>
      </c>
      <c r="M112" s="6">
        <f>[1]Production!L28+[1]Production!L30+[1]Production!L32+[1]Production!L34</f>
        <v>150064.274137</v>
      </c>
      <c r="N112" s="6">
        <f>[1]Production!M28+[1]Production!M30+[1]Production!M32+[1]Production!M34</f>
        <v>152511.837852</v>
      </c>
      <c r="O112" s="6">
        <f>[1]Production!N28+[1]Production!N30+[1]Production!N32+[1]Production!N34</f>
        <v>154551.690538</v>
      </c>
      <c r="P112" s="6">
        <f>[1]Production!O28+[1]Production!O30+[1]Production!O32+[1]Production!O34</f>
        <v>156340.661586</v>
      </c>
      <c r="Q112" s="6">
        <f>[1]Production!P28+[1]Production!P30+[1]Production!P32+[1]Production!P34</f>
        <v>158042.87804400001</v>
      </c>
      <c r="R112" s="6">
        <f>[1]Production!Q28+[1]Production!Q30+[1]Production!Q32+[1]Production!Q34</f>
        <v>159741.17222100002</v>
      </c>
      <c r="S112" s="6">
        <f>[1]Production!R28+[1]Production!R30+[1]Production!R32+[1]Production!R34</f>
        <v>161446.67408199998</v>
      </c>
      <c r="T112" s="6">
        <f>[1]Production!S28+[1]Production!S30+[1]Production!S32+[1]Production!S34</f>
        <v>163215.26295500001</v>
      </c>
      <c r="U112" s="6">
        <f>[1]Production!T28+[1]Production!T30+[1]Production!T32+[1]Production!T34</f>
        <v>165125.409575</v>
      </c>
      <c r="V112" s="6">
        <f>[1]Production!U28+[1]Production!U30+[1]Production!U32+[1]Production!U34</f>
        <v>167254.51961800002</v>
      </c>
      <c r="W112" s="6">
        <f>[1]Production!V28+[1]Production!V30+[1]Production!V32+[1]Production!V34</f>
        <v>169635.42619500001</v>
      </c>
      <c r="X112" s="6">
        <f>[1]Production!W28+[1]Production!W30+[1]Production!W32+[1]Production!W34</f>
        <v>172368.85978600002</v>
      </c>
      <c r="Y112" s="6">
        <f>[1]Production!X28+[1]Production!X30+[1]Production!X32+[1]Production!X34</f>
        <v>175509.82555799998</v>
      </c>
      <c r="Z112" s="6">
        <f>[1]Production!Y28+[1]Production!Y30+[1]Production!Y32+[1]Production!Y34</f>
        <v>179083.44475700002</v>
      </c>
      <c r="AA112" s="6">
        <f>[1]Production!Z28+[1]Production!Z30+[1]Production!Z32+[1]Production!Z34</f>
        <v>183090.65881999998</v>
      </c>
      <c r="AB112" s="6">
        <f>[1]Production!AA28+[1]Production!AA30+[1]Production!AA32+[1]Production!AA34</f>
        <v>187490.59243000002</v>
      </c>
      <c r="AC112" s="6">
        <f>[1]Production!AB28+[1]Production!AB30+[1]Production!AB32+[1]Production!AB34</f>
        <v>192303.26654999997</v>
      </c>
      <c r="AD112" s="6">
        <f>[1]Production!AC28+[1]Production!AC30+[1]Production!AC32+[1]Production!AC34</f>
        <v>197587.50935000001</v>
      </c>
      <c r="AE112" s="6">
        <f>[1]Production!AD28+[1]Production!AD30+[1]Production!AD32+[1]Production!AD34</f>
        <v>203358.45485999997</v>
      </c>
      <c r="AF112" s="6">
        <f>[1]Production!AE28+[1]Production!AE30+[1]Production!AE32+[1]Production!AE34</f>
        <v>209564.16404999999</v>
      </c>
      <c r="AG112" s="6">
        <f>[1]Production!AF28+[1]Production!AF30+[1]Production!AF32+[1]Production!AF34</f>
        <v>216124.12504000001</v>
      </c>
      <c r="AH112" s="6">
        <f>[1]Production!AG28+[1]Production!AG30+[1]Production!AG32+[1]Production!AG34</f>
        <v>222984.69669000004</v>
      </c>
      <c r="AI112" s="6">
        <f>[1]Production!AH28+[1]Production!AH30+[1]Production!AH32+[1]Production!AH34</f>
        <v>230093.82404000001</v>
      </c>
      <c r="AJ112" s="6">
        <f>[1]Production!AI28+[1]Production!AI30+[1]Production!AI32+[1]Production!AI34</f>
        <v>237390.05257999999</v>
      </c>
      <c r="AK112" s="6">
        <f>[1]Production!AJ28+[1]Production!AJ30+[1]Production!AJ32+[1]Production!AJ34</f>
        <v>244807.97295</v>
      </c>
      <c r="AL112" s="6">
        <f>[1]Production!AK28+[1]Production!AK30+[1]Production!AK32+[1]Production!AK34</f>
        <v>252279.49181999997</v>
      </c>
    </row>
    <row r="113" spans="2:38" x14ac:dyDescent="0.35">
      <c r="B113" t="s">
        <v>10</v>
      </c>
      <c r="C113" s="6">
        <f>[1]Production!B36+[1]Production!B38</f>
        <v>2556365.8569</v>
      </c>
      <c r="D113" s="6">
        <f>[1]Production!C36+[1]Production!C38</f>
        <v>2599751.4178999998</v>
      </c>
      <c r="E113" s="6">
        <f>[1]Production!D36+[1]Production!D38</f>
        <v>2649242.8250000002</v>
      </c>
      <c r="F113" s="6">
        <f>[1]Production!E36+[1]Production!E38</f>
        <v>2703742.1514999997</v>
      </c>
      <c r="G113" s="6">
        <f>[1]Production!F36+[1]Production!F38</f>
        <v>2762295.5614</v>
      </c>
      <c r="H113" s="6">
        <f>[1]Production!G36+[1]Production!G38</f>
        <v>2824233.7027000003</v>
      </c>
      <c r="I113" s="6">
        <f>[1]Production!H36+[1]Production!H38</f>
        <v>2889018.4567</v>
      </c>
      <c r="J113" s="6">
        <f>[1]Production!I36+[1]Production!I38</f>
        <v>2948931.2119999998</v>
      </c>
      <c r="K113" s="6">
        <f>[1]Production!J36+[1]Production!J38</f>
        <v>3009981.8820000002</v>
      </c>
      <c r="L113" s="6">
        <f>[1]Production!K36+[1]Production!K38</f>
        <v>3082854.7823000001</v>
      </c>
      <c r="M113" s="6">
        <f>[1]Production!L36+[1]Production!L38</f>
        <v>3159156.8704999997</v>
      </c>
      <c r="N113" s="6">
        <f>[1]Production!M36+[1]Production!M38</f>
        <v>3229574.3716000002</v>
      </c>
      <c r="O113" s="6">
        <f>[1]Production!N36+[1]Production!N38</f>
        <v>3293979.6364000002</v>
      </c>
      <c r="P113" s="6">
        <f>[1]Production!O36+[1]Production!O38</f>
        <v>3353196.7165000001</v>
      </c>
      <c r="Q113" s="6">
        <f>[1]Production!P36+[1]Production!P38</f>
        <v>3408944.7379000001</v>
      </c>
      <c r="R113" s="6">
        <f>[1]Production!Q36+[1]Production!Q38</f>
        <v>3462585.6774999998</v>
      </c>
      <c r="S113" s="6">
        <f>[1]Production!R36+[1]Production!R38</f>
        <v>3514492.0600999999</v>
      </c>
      <c r="T113" s="6">
        <f>[1]Production!S36+[1]Production!S38</f>
        <v>3566426.6291999999</v>
      </c>
      <c r="U113" s="6">
        <f>[1]Production!T36+[1]Production!T38</f>
        <v>3619888.2444000002</v>
      </c>
      <c r="V113" s="6">
        <f>[1]Production!U36+[1]Production!U38</f>
        <v>3676080.4476000001</v>
      </c>
      <c r="W113" s="6">
        <f>[1]Production!V36+[1]Production!V38</f>
        <v>3735489.1634</v>
      </c>
      <c r="X113" s="6">
        <f>[1]Production!W36+[1]Production!W38</f>
        <v>3799432.5757999998</v>
      </c>
      <c r="Y113" s="6">
        <f>[1]Production!X36+[1]Production!X38</f>
        <v>3868739.2118000002</v>
      </c>
      <c r="Z113" s="6">
        <f>[1]Production!Y36+[1]Production!Y38</f>
        <v>3944039.4772999999</v>
      </c>
      <c r="AA113" s="6">
        <f>[1]Production!Z36+[1]Production!Z38</f>
        <v>4025650.2017000001</v>
      </c>
      <c r="AB113" s="6">
        <f>[1]Production!AA36+[1]Production!AA38</f>
        <v>4112535.8912</v>
      </c>
      <c r="AC113" s="6">
        <f>[1]Production!AB36+[1]Production!AB38</f>
        <v>4203964.4409999996</v>
      </c>
      <c r="AD113" s="6">
        <f>[1]Production!AC36+[1]Production!AC38</f>
        <v>4300747.9029000001</v>
      </c>
      <c r="AE113" s="6">
        <f>[1]Production!AD36+[1]Production!AD38</f>
        <v>4403580.0546000004</v>
      </c>
      <c r="AF113" s="6">
        <f>[1]Production!AE36+[1]Production!AE38</f>
        <v>4512327.1909999996</v>
      </c>
      <c r="AG113" s="6">
        <f>[1]Production!AF36+[1]Production!AF38</f>
        <v>4626274.3231000006</v>
      </c>
      <c r="AH113" s="6">
        <f>[1]Production!AG36+[1]Production!AG38</f>
        <v>4744537.9884000001</v>
      </c>
      <c r="AI113" s="6">
        <f>[1]Production!AH36+[1]Production!AH38</f>
        <v>4866293.5767000001</v>
      </c>
      <c r="AJ113" s="6">
        <f>[1]Production!AI36+[1]Production!AI38</f>
        <v>4990703.8818999995</v>
      </c>
      <c r="AK113" s="6">
        <f>[1]Production!AJ36+[1]Production!AJ38</f>
        <v>5116913.3081999999</v>
      </c>
      <c r="AL113" s="6">
        <f>[1]Production!AK36+[1]Production!AK38</f>
        <v>5244019.5813999996</v>
      </c>
    </row>
    <row r="114" spans="2:38" x14ac:dyDescent="0.35">
      <c r="B114" t="s">
        <v>12</v>
      </c>
      <c r="C114" s="6">
        <f>[1]Production!B42+[1]Production!B46+[1]Production!B44+[1]Production!B48</f>
        <v>40221.849546600009</v>
      </c>
      <c r="D114" s="6">
        <f>[1]Production!C42+[1]Production!C46+[1]Production!C44+[1]Production!C48</f>
        <v>40557.643549700006</v>
      </c>
      <c r="E114" s="6">
        <f>[1]Production!D42+[1]Production!D46+[1]Production!D44+[1]Production!D48</f>
        <v>40899.401531499992</v>
      </c>
      <c r="F114" s="6">
        <f>[1]Production!E42+[1]Production!E46+[1]Production!E44+[1]Production!E48</f>
        <v>41267.883091900003</v>
      </c>
      <c r="G114" s="6">
        <f>[1]Production!F42+[1]Production!F46+[1]Production!F44+[1]Production!F48</f>
        <v>41765.577003600003</v>
      </c>
      <c r="H114" s="6">
        <f>[1]Production!G42+[1]Production!G46+[1]Production!G44+[1]Production!G48</f>
        <v>42377.605542800004</v>
      </c>
      <c r="I114" s="6">
        <f>[1]Production!H42+[1]Production!H46+[1]Production!H44+[1]Production!H48</f>
        <v>43127.186408300004</v>
      </c>
      <c r="J114" s="6">
        <f>[1]Production!I42+[1]Production!I46+[1]Production!I44+[1]Production!I48</f>
        <v>43762.843912900003</v>
      </c>
      <c r="K114" s="6">
        <f>[1]Production!J42+[1]Production!J46+[1]Production!J44+[1]Production!J48</f>
        <v>44322.940754399999</v>
      </c>
      <c r="L114" s="6">
        <f>[1]Production!K42+[1]Production!K46+[1]Production!K44+[1]Production!K48</f>
        <v>44960.793990799997</v>
      </c>
      <c r="M114" s="6">
        <f>[1]Production!L42+[1]Production!L46+[1]Production!L44+[1]Production!L48</f>
        <v>45471.8595346</v>
      </c>
      <c r="N114" s="6">
        <f>[1]Production!M42+[1]Production!M46+[1]Production!M44+[1]Production!M48</f>
        <v>45954.0327712</v>
      </c>
      <c r="O114" s="6">
        <f>[1]Production!N42+[1]Production!N46+[1]Production!N44+[1]Production!N48</f>
        <v>46419.017328900001</v>
      </c>
      <c r="P114" s="6">
        <f>[1]Production!O42+[1]Production!O46+[1]Production!O44+[1]Production!O48</f>
        <v>46881.205787200008</v>
      </c>
      <c r="Q114" s="6">
        <f>[1]Production!P42+[1]Production!P46+[1]Production!P44+[1]Production!P48</f>
        <v>47359.437809100004</v>
      </c>
      <c r="R114" s="6">
        <f>[1]Production!Q42+[1]Production!Q46+[1]Production!Q44+[1]Production!Q48</f>
        <v>47859.312591800001</v>
      </c>
      <c r="S114" s="6">
        <f>[1]Production!R42+[1]Production!R46+[1]Production!R44+[1]Production!R48</f>
        <v>48311.559694500007</v>
      </c>
      <c r="T114" s="6">
        <f>[1]Production!S42+[1]Production!S46+[1]Production!S44+[1]Production!S48</f>
        <v>48775.187415100001</v>
      </c>
      <c r="U114" s="6">
        <f>[1]Production!T42+[1]Production!T46+[1]Production!T44+[1]Production!T48</f>
        <v>49356.299460100003</v>
      </c>
      <c r="V114" s="6">
        <f>[1]Production!U42+[1]Production!U46+[1]Production!U44+[1]Production!U48</f>
        <v>50258.536050800001</v>
      </c>
      <c r="W114" s="6">
        <f>[1]Production!V42+[1]Production!V46+[1]Production!V44+[1]Production!V48</f>
        <v>51307.050501399994</v>
      </c>
      <c r="X114" s="6">
        <f>[1]Production!W42+[1]Production!W46+[1]Production!W44+[1]Production!W48</f>
        <v>52516.403511999997</v>
      </c>
      <c r="Y114" s="6">
        <f>[1]Production!X42+[1]Production!X46+[1]Production!X44+[1]Production!X48</f>
        <v>53901.290569299999</v>
      </c>
      <c r="Z114" s="6">
        <f>[1]Production!Y42+[1]Production!Y46+[1]Production!Y44+[1]Production!Y48</f>
        <v>55475.460842600005</v>
      </c>
      <c r="AA114" s="6">
        <f>[1]Production!Z42+[1]Production!Z46+[1]Production!Z44+[1]Production!Z48</f>
        <v>57248.827585000006</v>
      </c>
      <c r="AB114" s="6">
        <f>[1]Production!AA42+[1]Production!AA46+[1]Production!AA44+[1]Production!AA48</f>
        <v>59222.096930399988</v>
      </c>
      <c r="AC114" s="6">
        <f>[1]Production!AB42+[1]Production!AB46+[1]Production!AB44+[1]Production!AB48</f>
        <v>61294.639803899998</v>
      </c>
      <c r="AD114" s="6">
        <f>[1]Production!AC42+[1]Production!AC46+[1]Production!AC44+[1]Production!AC48</f>
        <v>63534.926350999995</v>
      </c>
      <c r="AE114" s="6">
        <f>[1]Production!AD42+[1]Production!AD46+[1]Production!AD44+[1]Production!AD48</f>
        <v>65976.066064999992</v>
      </c>
      <c r="AF114" s="6">
        <f>[1]Production!AE42+[1]Production!AE46+[1]Production!AE44+[1]Production!AE48</f>
        <v>68610.868865800003</v>
      </c>
      <c r="AG114" s="6">
        <f>[1]Production!AF42+[1]Production!AF46+[1]Production!AF44+[1]Production!AF48</f>
        <v>71414.556146599993</v>
      </c>
      <c r="AH114" s="6">
        <f>[1]Production!AG42+[1]Production!AG46+[1]Production!AG44+[1]Production!AG48</f>
        <v>74369.050527099986</v>
      </c>
      <c r="AI114" s="6">
        <f>[1]Production!AH42+[1]Production!AH46+[1]Production!AH44+[1]Production!AH48</f>
        <v>77448.308965400007</v>
      </c>
      <c r="AJ114" s="6">
        <f>[1]Production!AI42+[1]Production!AI46+[1]Production!AI44+[1]Production!AI48</f>
        <v>80621.650863300005</v>
      </c>
      <c r="AK114" s="6">
        <f>[1]Production!AJ42+[1]Production!AJ46+[1]Production!AJ44+[1]Production!AJ48</f>
        <v>83855.776859800011</v>
      </c>
      <c r="AL114" s="6">
        <f>[1]Production!AK42+[1]Production!AK46+[1]Production!AK44+[1]Production!AK48</f>
        <v>87116.017654899988</v>
      </c>
    </row>
    <row r="115" spans="2:38" x14ac:dyDescent="0.35">
      <c r="B115" t="s">
        <v>11</v>
      </c>
      <c r="C115" s="6">
        <f>[1]Production!B50+[1]Production!B52+[1]Production!B54+[1]Production!B56+[1]Production!B58+[1]Production!B60+[1]Production!B62+[1]Production!B64+[1]Production!B66</f>
        <v>67899.754699099998</v>
      </c>
      <c r="D115" s="6">
        <f>[1]Production!C50+[1]Production!C52+[1]Production!C54+[1]Production!C56+[1]Production!C58+[1]Production!C60+[1]Production!C62+[1]Production!C64+[1]Production!C66</f>
        <v>68899.21065149999</v>
      </c>
      <c r="E115" s="6">
        <f>[1]Production!D50+[1]Production!D52+[1]Production!D54+[1]Production!D56+[1]Production!D58+[1]Production!D60+[1]Production!D62+[1]Production!D64+[1]Production!D66</f>
        <v>69844.1609188</v>
      </c>
      <c r="F115" s="6">
        <f>[1]Production!E50+[1]Production!E52+[1]Production!E54+[1]Production!E56+[1]Production!E58+[1]Production!E60+[1]Production!E62+[1]Production!E64+[1]Production!E66</f>
        <v>70867.819040100017</v>
      </c>
      <c r="G115" s="6">
        <f>[1]Production!F50+[1]Production!F52+[1]Production!F54+[1]Production!F56+[1]Production!F58+[1]Production!F60+[1]Production!F62+[1]Production!F64+[1]Production!F66</f>
        <v>71807.598805000001</v>
      </c>
      <c r="H115" s="6">
        <f>[1]Production!G50+[1]Production!G52+[1]Production!G54+[1]Production!G56+[1]Production!G58+[1]Production!G60+[1]Production!G62+[1]Production!G64+[1]Production!G66</f>
        <v>72768.77421090001</v>
      </c>
      <c r="I115" s="6">
        <f>[1]Production!H50+[1]Production!H52+[1]Production!H54+[1]Production!H56+[1]Production!H58+[1]Production!H60+[1]Production!H62+[1]Production!H64+[1]Production!H66</f>
        <v>75886.76172390001</v>
      </c>
      <c r="J115" s="6">
        <f>[1]Production!I50+[1]Production!I52+[1]Production!I54+[1]Production!I56+[1]Production!I58+[1]Production!I60+[1]Production!I62+[1]Production!I64+[1]Production!I66</f>
        <v>79777.981492399995</v>
      </c>
      <c r="K115" s="6">
        <f>[1]Production!J50+[1]Production!J52+[1]Production!J54+[1]Production!J56+[1]Production!J58+[1]Production!J60+[1]Production!J62+[1]Production!J64+[1]Production!J66</f>
        <v>84219.619931300011</v>
      </c>
      <c r="L115" s="6">
        <f>[1]Production!K50+[1]Production!K52+[1]Production!K54+[1]Production!K56+[1]Production!K58+[1]Production!K60+[1]Production!K62+[1]Production!K64+[1]Production!K66</f>
        <v>89528.649209700001</v>
      </c>
      <c r="M115" s="6">
        <f>[1]Production!L50+[1]Production!L52+[1]Production!L54+[1]Production!L56+[1]Production!L58+[1]Production!L60+[1]Production!L62+[1]Production!L64+[1]Production!L66</f>
        <v>95465.519737300012</v>
      </c>
      <c r="N115" s="6">
        <f>[1]Production!M50+[1]Production!M52+[1]Production!M54+[1]Production!M56+[1]Production!M58+[1]Production!M60+[1]Production!M62+[1]Production!M64+[1]Production!M66</f>
        <v>99859.755193199991</v>
      </c>
      <c r="O115" s="6">
        <f>[1]Production!N50+[1]Production!N52+[1]Production!N54+[1]Production!N56+[1]Production!N58+[1]Production!N60+[1]Production!N62+[1]Production!N64+[1]Production!N66</f>
        <v>103823.0952119</v>
      </c>
      <c r="P115" s="6">
        <f>[1]Production!O50+[1]Production!O52+[1]Production!O54+[1]Production!O56+[1]Production!O58+[1]Production!O60+[1]Production!O62+[1]Production!O64+[1]Production!O66</f>
        <v>107757.7540148</v>
      </c>
      <c r="Q115" s="6">
        <f>[1]Production!P50+[1]Production!P52+[1]Production!P54+[1]Production!P56+[1]Production!P58+[1]Production!P60+[1]Production!P62+[1]Production!P64+[1]Production!P66</f>
        <v>111869.1026639</v>
      </c>
      <c r="R115" s="6">
        <f>[1]Production!Q50+[1]Production!Q52+[1]Production!Q54+[1]Production!Q56+[1]Production!Q58+[1]Production!Q60+[1]Production!Q62+[1]Production!Q64+[1]Production!Q66</f>
        <v>116270.30276729999</v>
      </c>
      <c r="S115" s="6">
        <f>[1]Production!R50+[1]Production!R52+[1]Production!R54+[1]Production!R56+[1]Production!R58+[1]Production!R60+[1]Production!R62+[1]Production!R64+[1]Production!R66</f>
        <v>121216.9049024</v>
      </c>
      <c r="T115" s="6">
        <f>[1]Production!S50+[1]Production!S52+[1]Production!S54+[1]Production!S56+[1]Production!S58+[1]Production!S60+[1]Production!S62+[1]Production!S64+[1]Production!S66</f>
        <v>126646.63330839999</v>
      </c>
      <c r="U115" s="6">
        <f>[1]Production!T50+[1]Production!T52+[1]Production!T54+[1]Production!T56+[1]Production!T58+[1]Production!T60+[1]Production!T62+[1]Production!T64+[1]Production!T66</f>
        <v>132606.71642871</v>
      </c>
      <c r="V115" s="6">
        <f>[1]Production!U50+[1]Production!U52+[1]Production!U54+[1]Production!U56+[1]Production!U58+[1]Production!U60+[1]Production!U62+[1]Production!U64+[1]Production!U66</f>
        <v>139176.35391564999</v>
      </c>
      <c r="W115" s="6">
        <f>[1]Production!V50+[1]Production!V52+[1]Production!V54+[1]Production!V56+[1]Production!V58+[1]Production!V60+[1]Production!V62+[1]Production!V64+[1]Production!V66</f>
        <v>146465.28492357</v>
      </c>
      <c r="X115" s="6">
        <f>[1]Production!W50+[1]Production!W52+[1]Production!W54+[1]Production!W56+[1]Production!W58+[1]Production!W60+[1]Production!W62+[1]Production!W64+[1]Production!W66</f>
        <v>154584.70260268002</v>
      </c>
      <c r="Y115" s="6">
        <f>[1]Production!X50+[1]Production!X52+[1]Production!X54+[1]Production!X56+[1]Production!X58+[1]Production!X60+[1]Production!X62+[1]Production!X64+[1]Production!X66</f>
        <v>163768.96980545003</v>
      </c>
      <c r="Z115" s="6">
        <f>[1]Production!Y50+[1]Production!Y52+[1]Production!Y54+[1]Production!Y56+[1]Production!Y58+[1]Production!Y60+[1]Production!Y62+[1]Production!Y64+[1]Production!Y66</f>
        <v>174233.535240773</v>
      </c>
      <c r="AA115" s="6">
        <f>[1]Production!Z50+[1]Production!Z52+[1]Production!Z54+[1]Production!Z56+[1]Production!Z58+[1]Production!Z60+[1]Production!Z62+[1]Production!Z64+[1]Production!Z66</f>
        <v>186189.07431584602</v>
      </c>
      <c r="AB115" s="6">
        <f>[1]Production!AA50+[1]Production!AA52+[1]Production!AA54+[1]Production!AA56+[1]Production!AA58+[1]Production!AA60+[1]Production!AA62+[1]Production!AA64+[1]Production!AA66</f>
        <v>199800.35004142698</v>
      </c>
      <c r="AC115" s="6">
        <f>[1]Production!AB50+[1]Production!AB52+[1]Production!AB54+[1]Production!AB56+[1]Production!AB58+[1]Production!AB60+[1]Production!AB62+[1]Production!AB64+[1]Production!AB66</f>
        <v>205777.27577092199</v>
      </c>
      <c r="AD115" s="6">
        <f>[1]Production!AC50+[1]Production!AC52+[1]Production!AC54+[1]Production!AC56+[1]Production!AC58+[1]Production!AC60+[1]Production!AC62+[1]Production!AC64+[1]Production!AC66</f>
        <v>209984.691059804</v>
      </c>
      <c r="AE115" s="6">
        <f>[1]Production!AD50+[1]Production!AD52+[1]Production!AD54+[1]Production!AD56+[1]Production!AD58+[1]Production!AD60+[1]Production!AD62+[1]Production!AD64+[1]Production!AD66</f>
        <v>214215.76244971802</v>
      </c>
      <c r="AF115" s="6">
        <f>[1]Production!AE50+[1]Production!AE52+[1]Production!AE54+[1]Production!AE56+[1]Production!AE58+[1]Production!AE60+[1]Production!AE62+[1]Production!AE64+[1]Production!AE66</f>
        <v>218816.02930133999</v>
      </c>
      <c r="AG115" s="6">
        <f>[1]Production!AF50+[1]Production!AF52+[1]Production!AF54+[1]Production!AF56+[1]Production!AF58+[1]Production!AF60+[1]Production!AF62+[1]Production!AF64+[1]Production!AF66</f>
        <v>223712.58691012498</v>
      </c>
      <c r="AH115" s="6">
        <f>[1]Production!AG50+[1]Production!AG52+[1]Production!AG54+[1]Production!AG56+[1]Production!AG58+[1]Production!AG60+[1]Production!AG62+[1]Production!AG64+[1]Production!AG66</f>
        <v>228741.26177968897</v>
      </c>
      <c r="AI115" s="6">
        <f>[1]Production!AH50+[1]Production!AH52+[1]Production!AH54+[1]Production!AH56+[1]Production!AH58+[1]Production!AH60+[1]Production!AH62+[1]Production!AH64+[1]Production!AH66</f>
        <v>233830.51729457299</v>
      </c>
      <c r="AJ115" s="6">
        <f>[1]Production!AI50+[1]Production!AI52+[1]Production!AI54+[1]Production!AI56+[1]Production!AI58+[1]Production!AI60+[1]Production!AI62+[1]Production!AI64+[1]Production!AI66</f>
        <v>238912.54854462203</v>
      </c>
      <c r="AK115" s="6">
        <f>[1]Production!AJ50+[1]Production!AJ52+[1]Production!AJ54+[1]Production!AJ56+[1]Production!AJ58+[1]Production!AJ60+[1]Production!AJ62+[1]Production!AJ64+[1]Production!AJ66</f>
        <v>243926.67050102499</v>
      </c>
      <c r="AL115" s="6">
        <f>[1]Production!AK50+[1]Production!AK52+[1]Production!AK54+[1]Production!AK56+[1]Production!AK58+[1]Production!AK60+[1]Production!AK62+[1]Production!AK64+[1]Production!AK66</f>
        <v>248822.39402106401</v>
      </c>
    </row>
    <row r="117" spans="2:38" x14ac:dyDescent="0.35">
      <c r="B117" t="s">
        <v>16</v>
      </c>
      <c r="C117" s="8" t="s">
        <v>17</v>
      </c>
      <c r="D117" s="8" t="s">
        <v>18</v>
      </c>
      <c r="E117" s="8" t="s">
        <v>19</v>
      </c>
    </row>
    <row r="118" spans="2:38" x14ac:dyDescent="0.35">
      <c r="B118" t="s">
        <v>7</v>
      </c>
      <c r="C118" s="6">
        <f t="shared" ref="C118:C123" si="9">(R110-R102)/R109*100</f>
        <v>-3.6054800690758837</v>
      </c>
      <c r="D118" s="6">
        <f t="shared" ref="D118:D123" si="10">(AB110-AB102)/AB109*100</f>
        <v>-5.2470463763297683</v>
      </c>
      <c r="E118" s="6">
        <f t="shared" ref="E118:E123" si="11">(AL110-AL102)/AL109*100</f>
        <v>-5.440364564054823</v>
      </c>
    </row>
    <row r="119" spans="2:38" x14ac:dyDescent="0.35">
      <c r="B119" t="s">
        <v>8</v>
      </c>
      <c r="C119" s="6">
        <f t="shared" si="9"/>
        <v>-9.5293602036979017</v>
      </c>
      <c r="D119" s="6">
        <f t="shared" si="10"/>
        <v>-11.102539638939721</v>
      </c>
      <c r="E119" s="6">
        <f t="shared" si="11"/>
        <v>8.2828201553882703</v>
      </c>
    </row>
    <row r="120" spans="2:38" x14ac:dyDescent="0.35">
      <c r="B120" t="s">
        <v>9</v>
      </c>
      <c r="C120" s="6">
        <f t="shared" si="9"/>
        <v>-0.3747149666623058</v>
      </c>
      <c r="D120" s="6">
        <f t="shared" si="10"/>
        <v>-0.61247936684786231</v>
      </c>
      <c r="E120" s="6">
        <f t="shared" si="11"/>
        <v>-0.37164821678301563</v>
      </c>
    </row>
    <row r="121" spans="2:38" x14ac:dyDescent="0.35">
      <c r="B121" t="s">
        <v>10</v>
      </c>
      <c r="C121" s="6">
        <f t="shared" si="9"/>
        <v>9.2857058664115595</v>
      </c>
      <c r="D121" s="6">
        <f t="shared" si="10"/>
        <v>11.065100190424552</v>
      </c>
      <c r="E121" s="6">
        <f t="shared" si="11"/>
        <v>14.317785381370518</v>
      </c>
    </row>
    <row r="122" spans="2:38" x14ac:dyDescent="0.35">
      <c r="B122" t="s">
        <v>12</v>
      </c>
      <c r="C122" s="6">
        <f t="shared" si="9"/>
        <v>-7.6858810105212214E-2</v>
      </c>
      <c r="D122" s="6">
        <f t="shared" si="10"/>
        <v>-7.152408318901792E-3</v>
      </c>
      <c r="E122" s="6">
        <f t="shared" si="11"/>
        <v>0.23497836456229051</v>
      </c>
    </row>
    <row r="123" spans="2:38" x14ac:dyDescent="0.35">
      <c r="B123" t="s">
        <v>11</v>
      </c>
      <c r="C123" s="6">
        <f t="shared" si="9"/>
        <v>7.8354272274744394</v>
      </c>
      <c r="D123" s="6">
        <f t="shared" si="10"/>
        <v>8.9476461192290735</v>
      </c>
      <c r="E123" s="6">
        <f t="shared" si="11"/>
        <v>3.8647354227533488</v>
      </c>
    </row>
    <row r="124" spans="2:38" x14ac:dyDescent="0.35">
      <c r="C124" s="5"/>
      <c r="D124" s="5"/>
      <c r="E124" s="5"/>
    </row>
    <row r="125" spans="2:38" x14ac:dyDescent="0.35">
      <c r="B125" t="s">
        <v>16</v>
      </c>
      <c r="C125" s="8" t="s">
        <v>17</v>
      </c>
      <c r="D125" s="8" t="s">
        <v>18</v>
      </c>
      <c r="E125" s="8" t="s">
        <v>19</v>
      </c>
    </row>
    <row r="126" spans="2:38" x14ac:dyDescent="0.35">
      <c r="B126" t="s">
        <v>7</v>
      </c>
      <c r="C126" s="4">
        <f t="shared" ref="C126:C131" si="12">R110/R102-1</f>
        <v>-1.4278014350159629E-2</v>
      </c>
      <c r="D126" s="4">
        <f t="shared" ref="D126:D131" si="13">AB110/AB102-1</f>
        <v>-1.8671471834644904E-2</v>
      </c>
      <c r="E126" s="4">
        <f t="shared" ref="E126:E131" si="14">AL110/AL102-1</f>
        <v>-1.5855790875545117E-2</v>
      </c>
    </row>
    <row r="127" spans="2:38" x14ac:dyDescent="0.35">
      <c r="B127" t="s">
        <v>8</v>
      </c>
      <c r="C127" s="4">
        <f t="shared" si="12"/>
        <v>-8.0128222392649162E-3</v>
      </c>
      <c r="D127" s="4">
        <f t="shared" si="13"/>
        <v>-8.8143644931146792E-3</v>
      </c>
      <c r="E127" s="4">
        <f t="shared" si="14"/>
        <v>6.3752844152065169E-3</v>
      </c>
    </row>
    <row r="128" spans="2:38" x14ac:dyDescent="0.35">
      <c r="B128" t="s">
        <v>9</v>
      </c>
      <c r="C128" s="4">
        <f t="shared" si="12"/>
        <v>-3.1672882184130446E-2</v>
      </c>
      <c r="D128" s="4">
        <f t="shared" si="13"/>
        <v>-5.4386309002776634E-2</v>
      </c>
      <c r="E128" s="4">
        <f t="shared" si="14"/>
        <v>-3.4409160854443566E-2</v>
      </c>
    </row>
    <row r="129" spans="2:5" x14ac:dyDescent="0.35">
      <c r="B129" t="s">
        <v>10</v>
      </c>
      <c r="C129" s="4">
        <f t="shared" si="12"/>
        <v>4.3022505376431042E-3</v>
      </c>
      <c r="D129" s="4">
        <f t="shared" si="13"/>
        <v>5.0701581857011124E-3</v>
      </c>
      <c r="E129" s="4">
        <f t="shared" si="14"/>
        <v>6.9357792782149819E-3</v>
      </c>
    </row>
    <row r="130" spans="2:5" x14ac:dyDescent="0.35">
      <c r="B130" t="s">
        <v>12</v>
      </c>
      <c r="C130" s="4">
        <f t="shared" si="12"/>
        <v>-5.2677548841591482E-2</v>
      </c>
      <c r="D130" s="4">
        <f t="shared" si="13"/>
        <v>-4.9422703430893611E-3</v>
      </c>
      <c r="E130" s="4">
        <f t="shared" si="14"/>
        <v>0.16475064647676585</v>
      </c>
    </row>
    <row r="131" spans="2:5" x14ac:dyDescent="0.35">
      <c r="B131" t="s">
        <v>11</v>
      </c>
      <c r="C131" s="4">
        <f t="shared" si="12"/>
        <v>3.3327149897196318E-2</v>
      </c>
      <c r="D131" s="4">
        <f t="shared" si="13"/>
        <v>2.7243940524640298E-2</v>
      </c>
      <c r="E131" s="4">
        <f t="shared" si="14"/>
        <v>1.3716548836113951E-2</v>
      </c>
    </row>
  </sheetData>
  <mergeCells count="3">
    <mergeCell ref="A56:A57"/>
    <mergeCell ref="A62:A63"/>
    <mergeCell ref="A59:A6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Graphiques</vt:lpstr>
      </vt:variant>
      <vt:variant>
        <vt:i4>7</vt:i4>
      </vt:variant>
    </vt:vector>
  </HeadingPairs>
  <TitlesOfParts>
    <vt:vector size="8" baseType="lpstr">
      <vt:lpstr>Données</vt:lpstr>
      <vt:lpstr>Gr Macro</vt:lpstr>
      <vt:lpstr>Gr inflation</vt:lpstr>
      <vt:lpstr>Gr émissions</vt:lpstr>
      <vt:lpstr>Gr VA secteurs (% dev)</vt:lpstr>
      <vt:lpstr>Gr VA secteurs (% share)</vt:lpstr>
      <vt:lpstr>Gr Y secteurs (% dev)</vt:lpstr>
      <vt:lpstr>Gr Y secteurs (% share)</vt:lpstr>
    </vt:vector>
  </TitlesOfParts>
  <Company>ADEME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JACQUETIN Florian</dc:creator>
  <cp:lastModifiedBy>JACQUETIN Florian</cp:lastModifiedBy>
  <dcterms:created xsi:type="dcterms:W3CDTF">2021-11-04T11:19:34Z</dcterms:created>
  <dcterms:modified xsi:type="dcterms:W3CDTF">2021-12-05T13:24:43Z</dcterms:modified>
</cp:coreProperties>
</file>