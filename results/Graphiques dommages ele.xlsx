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56DB0591-5DA9-40EA-9098-832AF3C2A348}" xr6:coauthVersionLast="47" xr6:coauthVersionMax="47" xr10:uidLastSave="{00000000-0000-0000-0000-000000000000}"/>
  <bookViews>
    <workbookView xWindow="-108" yWindow="-108" windowWidth="23256" windowHeight="12456" firstSheet="16" activeTab="16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Capital intensity" sheetId="17" r:id="rId18"/>
    <sheet name="Energy intensity" sheetId="18" r:id="rId19"/>
    <sheet name="Gr VA secteurs (% dev)" sheetId="12" r:id="rId20"/>
    <sheet name="Gr VA secteurs (% dev2)" sheetId="33" r:id="rId21"/>
    <sheet name="Gr VA secteurs (% share)" sheetId="13" r:id="rId22"/>
    <sheet name="Gr Y secteurs (% dev)" sheetId="14" r:id="rId23"/>
    <sheet name="Gr Y secteurs ctrb" sheetId="34" r:id="rId24"/>
    <sheet name="Gr Y secteurs (% share)" sheetId="15" r:id="rId25"/>
  </sheets>
  <externalReferences>
    <externalReference r:id="rId2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677" i="2" l="1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AL583" i="2" l="1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C573" i="2"/>
  <c r="C574" i="2"/>
  <c r="C575" i="2"/>
  <c r="C576" i="2"/>
  <c r="C577" i="2"/>
  <c r="C581" i="2"/>
  <c r="C580" i="2"/>
  <c r="C583" i="2"/>
  <c r="C582" i="2"/>
  <c r="C579" i="2"/>
  <c r="C578" i="2"/>
  <c r="I319" i="2" l="1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AK298" i="2" l="1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C294" i="2" l="1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AC228" i="2" l="1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C232" i="2" l="1"/>
  <c r="I161" i="2" l="1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D319" i="2" l="1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E174" i="2"/>
  <c r="E172" i="2"/>
  <c r="E176" i="2"/>
  <c r="E173" i="2"/>
  <c r="E175" i="2"/>
  <c r="E17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E171" i="2"/>
  <c r="C151" i="2"/>
  <c r="C161" i="2" s="1"/>
  <c r="D151" i="2"/>
  <c r="D161" i="2" s="1"/>
  <c r="I680" i="2"/>
  <c r="Q680" i="2"/>
  <c r="Y680" i="2"/>
  <c r="AG680" i="2"/>
  <c r="I682" i="2"/>
  <c r="Q682" i="2"/>
  <c r="Y682" i="2"/>
  <c r="AG682" i="2"/>
  <c r="E681" i="2"/>
  <c r="H681" i="2"/>
  <c r="M681" i="2"/>
  <c r="U681" i="2"/>
  <c r="AC681" i="2"/>
  <c r="AK681" i="2"/>
  <c r="AL682" i="2" l="1"/>
  <c r="AD682" i="2"/>
  <c r="V682" i="2"/>
  <c r="N682" i="2"/>
  <c r="F682" i="2"/>
  <c r="AL680" i="2"/>
  <c r="AD680" i="2"/>
  <c r="V680" i="2"/>
  <c r="N680" i="2"/>
  <c r="F680" i="2"/>
  <c r="AK682" i="2"/>
  <c r="AC682" i="2"/>
  <c r="U682" i="2"/>
  <c r="M682" i="2"/>
  <c r="E682" i="2"/>
  <c r="X681" i="2"/>
  <c r="AF681" i="2"/>
  <c r="P681" i="2"/>
  <c r="AI682" i="2"/>
  <c r="AA682" i="2"/>
  <c r="S682" i="2"/>
  <c r="K682" i="2"/>
  <c r="C682" i="2"/>
  <c r="AI680" i="2"/>
  <c r="AA680" i="2"/>
  <c r="S680" i="2"/>
  <c r="K680" i="2"/>
  <c r="C680" i="2"/>
  <c r="AF682" i="2"/>
  <c r="X682" i="2"/>
  <c r="P682" i="2"/>
  <c r="H682" i="2"/>
  <c r="AF680" i="2"/>
  <c r="X680" i="2"/>
  <c r="P680" i="2"/>
  <c r="H680" i="2"/>
  <c r="AJ683" i="2"/>
  <c r="AB683" i="2"/>
  <c r="T683" i="2"/>
  <c r="L683" i="2"/>
  <c r="D683" i="2"/>
  <c r="AJ682" i="2"/>
  <c r="AB682" i="2"/>
  <c r="T682" i="2"/>
  <c r="L682" i="2"/>
  <c r="D682" i="2"/>
  <c r="AJ680" i="2"/>
  <c r="AB680" i="2"/>
  <c r="T680" i="2"/>
  <c r="L680" i="2"/>
  <c r="D680" i="2"/>
  <c r="AI683" i="2"/>
  <c r="AA683" i="2"/>
  <c r="S683" i="2"/>
  <c r="K683" i="2"/>
  <c r="C683" i="2"/>
  <c r="AE681" i="2"/>
  <c r="W681" i="2"/>
  <c r="O681" i="2"/>
  <c r="G681" i="2"/>
  <c r="AH683" i="2"/>
  <c r="Z683" i="2"/>
  <c r="R683" i="2"/>
  <c r="J683" i="2"/>
  <c r="AL681" i="2"/>
  <c r="AD681" i="2"/>
  <c r="V681" i="2"/>
  <c r="N681" i="2"/>
  <c r="F681" i="2"/>
  <c r="AH682" i="2"/>
  <c r="Z682" i="2"/>
  <c r="R682" i="2"/>
  <c r="J682" i="2"/>
  <c r="AH680" i="2"/>
  <c r="Z680" i="2"/>
  <c r="R680" i="2"/>
  <c r="J680" i="2"/>
  <c r="AG683" i="2"/>
  <c r="Y683" i="2"/>
  <c r="Q683" i="2"/>
  <c r="I683" i="2"/>
  <c r="AF683" i="2"/>
  <c r="X683" i="2"/>
  <c r="P683" i="2"/>
  <c r="H683" i="2"/>
  <c r="AJ681" i="2"/>
  <c r="AB681" i="2"/>
  <c r="T681" i="2"/>
  <c r="L681" i="2"/>
  <c r="D681" i="2"/>
  <c r="AE683" i="2"/>
  <c r="W683" i="2"/>
  <c r="O683" i="2"/>
  <c r="G683" i="2"/>
  <c r="AI681" i="2"/>
  <c r="AA681" i="2"/>
  <c r="S681" i="2"/>
  <c r="K681" i="2"/>
  <c r="C681" i="2"/>
  <c r="AE682" i="2"/>
  <c r="W682" i="2"/>
  <c r="O682" i="2"/>
  <c r="G682" i="2"/>
  <c r="AE680" i="2"/>
  <c r="W680" i="2"/>
  <c r="O680" i="2"/>
  <c r="G680" i="2"/>
  <c r="AL683" i="2"/>
  <c r="AD683" i="2"/>
  <c r="V683" i="2"/>
  <c r="N683" i="2"/>
  <c r="F683" i="2"/>
  <c r="AH681" i="2"/>
  <c r="Z681" i="2"/>
  <c r="R681" i="2"/>
  <c r="J681" i="2"/>
  <c r="AK683" i="2"/>
  <c r="AC683" i="2"/>
  <c r="U683" i="2"/>
  <c r="M683" i="2"/>
  <c r="E683" i="2"/>
  <c r="AG681" i="2"/>
  <c r="Y681" i="2"/>
  <c r="Q681" i="2"/>
  <c r="I681" i="2"/>
  <c r="AK680" i="2"/>
  <c r="AC680" i="2"/>
  <c r="U680" i="2"/>
  <c r="M680" i="2"/>
  <c r="E680" i="2"/>
  <c r="C660" i="2"/>
  <c r="G660" i="2"/>
  <c r="O660" i="2"/>
  <c r="W660" i="2"/>
  <c r="AE660" i="2"/>
  <c r="K664" i="2"/>
  <c r="F661" i="2" l="1"/>
  <c r="AF664" i="2"/>
  <c r="X664" i="2"/>
  <c r="P664" i="2"/>
  <c r="H664" i="2"/>
  <c r="AF660" i="2"/>
  <c r="X660" i="2"/>
  <c r="P660" i="2"/>
  <c r="H660" i="2"/>
  <c r="C663" i="2"/>
  <c r="AH663" i="2"/>
  <c r="R663" i="2"/>
  <c r="Z663" i="2"/>
  <c r="J663" i="2"/>
  <c r="AI664" i="2"/>
  <c r="AA664" i="2"/>
  <c r="S664" i="2"/>
  <c r="AI660" i="2"/>
  <c r="AA660" i="2"/>
  <c r="S660" i="2"/>
  <c r="K660" i="2"/>
  <c r="AL661" i="2"/>
  <c r="AD661" i="2"/>
  <c r="V661" i="2"/>
  <c r="N661" i="2"/>
  <c r="AG661" i="2"/>
  <c r="Y661" i="2"/>
  <c r="Q661" i="2"/>
  <c r="I661" i="2"/>
  <c r="AG664" i="2"/>
  <c r="Y664" i="2"/>
  <c r="Q664" i="2"/>
  <c r="I664" i="2"/>
  <c r="AK663" i="2"/>
  <c r="AC663" i="2"/>
  <c r="U663" i="2"/>
  <c r="M663" i="2"/>
  <c r="E663" i="2"/>
  <c r="AK661" i="2"/>
  <c r="AC661" i="2"/>
  <c r="U661" i="2"/>
  <c r="M661" i="2"/>
  <c r="E661" i="2"/>
  <c r="AG660" i="2"/>
  <c r="Y660" i="2"/>
  <c r="Q660" i="2"/>
  <c r="I660" i="2"/>
  <c r="AJ663" i="2"/>
  <c r="AB663" i="2"/>
  <c r="T663" i="2"/>
  <c r="L663" i="2"/>
  <c r="D663" i="2"/>
  <c r="AE664" i="2"/>
  <c r="W664" i="2"/>
  <c r="O664" i="2"/>
  <c r="G664" i="2"/>
  <c r="AI663" i="2"/>
  <c r="AA663" i="2"/>
  <c r="S663" i="2"/>
  <c r="K663" i="2"/>
  <c r="AI661" i="2"/>
  <c r="AA661" i="2"/>
  <c r="S661" i="2"/>
  <c r="K661" i="2"/>
  <c r="AL664" i="2"/>
  <c r="AD664" i="2"/>
  <c r="V664" i="2"/>
  <c r="N664" i="2"/>
  <c r="F664" i="2"/>
  <c r="AH661" i="2"/>
  <c r="Z661" i="2"/>
  <c r="R661" i="2"/>
  <c r="J661" i="2"/>
  <c r="AL660" i="2"/>
  <c r="AD660" i="2"/>
  <c r="V660" i="2"/>
  <c r="N660" i="2"/>
  <c r="F660" i="2"/>
  <c r="AK664" i="2"/>
  <c r="AC664" i="2"/>
  <c r="U664" i="2"/>
  <c r="M664" i="2"/>
  <c r="E664" i="2"/>
  <c r="AG663" i="2"/>
  <c r="Y663" i="2"/>
  <c r="Q663" i="2"/>
  <c r="I663" i="2"/>
  <c r="AK660" i="2"/>
  <c r="AC660" i="2"/>
  <c r="U660" i="2"/>
  <c r="M660" i="2"/>
  <c r="E660" i="2"/>
  <c r="AJ661" i="2"/>
  <c r="AB661" i="2"/>
  <c r="T661" i="2"/>
  <c r="L661" i="2"/>
  <c r="D661" i="2"/>
  <c r="AJ664" i="2"/>
  <c r="AB664" i="2"/>
  <c r="T664" i="2"/>
  <c r="L664" i="2"/>
  <c r="D664" i="2"/>
  <c r="AF663" i="2"/>
  <c r="X663" i="2"/>
  <c r="P663" i="2"/>
  <c r="H663" i="2"/>
  <c r="AF661" i="2"/>
  <c r="X661" i="2"/>
  <c r="P661" i="2"/>
  <c r="H661" i="2"/>
  <c r="AJ660" i="2"/>
  <c r="AB660" i="2"/>
  <c r="T660" i="2"/>
  <c r="L660" i="2"/>
  <c r="D660" i="2"/>
  <c r="C664" i="2"/>
  <c r="AE663" i="2"/>
  <c r="W663" i="2"/>
  <c r="O663" i="2"/>
  <c r="G663" i="2"/>
  <c r="AE661" i="2"/>
  <c r="W661" i="2"/>
  <c r="O661" i="2"/>
  <c r="G661" i="2"/>
  <c r="AH664" i="2"/>
  <c r="Z664" i="2"/>
  <c r="R664" i="2"/>
  <c r="J664" i="2"/>
  <c r="AL663" i="2"/>
  <c r="AD663" i="2"/>
  <c r="V663" i="2"/>
  <c r="N663" i="2"/>
  <c r="F663" i="2"/>
  <c r="AH660" i="2"/>
  <c r="Z660" i="2"/>
  <c r="R660" i="2"/>
  <c r="J660" i="2"/>
  <c r="C661" i="2"/>
  <c r="AH648" i="2"/>
  <c r="R654" i="2"/>
  <c r="M648" i="2"/>
  <c r="AJ654" i="2"/>
  <c r="AB654" i="2"/>
  <c r="T654" i="2"/>
  <c r="L654" i="2"/>
  <c r="D654" i="2"/>
  <c r="AI654" i="2"/>
  <c r="AA654" i="2"/>
  <c r="S654" i="2"/>
  <c r="K654" i="2"/>
  <c r="C654" i="2"/>
  <c r="AA641" i="2"/>
  <c r="AE635" i="2"/>
  <c r="J654" i="2"/>
  <c r="AG654" i="2"/>
  <c r="Y654" i="2"/>
  <c r="Q654" i="2"/>
  <c r="I654" i="2"/>
  <c r="AK648" i="2"/>
  <c r="AC648" i="2"/>
  <c r="U648" i="2"/>
  <c r="E648" i="2"/>
  <c r="AF654" i="2"/>
  <c r="X654" i="2"/>
  <c r="P654" i="2"/>
  <c r="H654" i="2"/>
  <c r="AE654" i="2"/>
  <c r="W654" i="2"/>
  <c r="O654" i="2"/>
  <c r="G654" i="2"/>
  <c r="Z654" i="2"/>
  <c r="AL654" i="2"/>
  <c r="AD654" i="2"/>
  <c r="V654" i="2"/>
  <c r="N654" i="2"/>
  <c r="F654" i="2"/>
  <c r="Z648" i="2"/>
  <c r="R648" i="2"/>
  <c r="J648" i="2"/>
  <c r="AH654" i="2"/>
  <c r="AK654" i="2"/>
  <c r="AC654" i="2"/>
  <c r="U654" i="2"/>
  <c r="M654" i="2"/>
  <c r="E654" i="2"/>
  <c r="AG648" i="2"/>
  <c r="Y648" i="2"/>
  <c r="Q648" i="2"/>
  <c r="I648" i="2"/>
  <c r="AI641" i="2"/>
  <c r="AL648" i="2"/>
  <c r="AD648" i="2"/>
  <c r="V648" i="2"/>
  <c r="N648" i="2"/>
  <c r="F648" i="2"/>
  <c r="S641" i="2"/>
  <c r="W648" i="2"/>
  <c r="G635" i="2"/>
  <c r="AJ648" i="2"/>
  <c r="AB648" i="2"/>
  <c r="T648" i="2"/>
  <c r="L648" i="2"/>
  <c r="D648" i="2"/>
  <c r="AE648" i="2"/>
  <c r="AI648" i="2"/>
  <c r="AA648" i="2"/>
  <c r="S648" i="2"/>
  <c r="K648" i="2"/>
  <c r="C648" i="2"/>
  <c r="C635" i="2"/>
  <c r="G648" i="2"/>
  <c r="O635" i="2"/>
  <c r="O648" i="2"/>
  <c r="W635" i="2"/>
  <c r="K641" i="2"/>
  <c r="AF648" i="2"/>
  <c r="X648" i="2"/>
  <c r="P648" i="2"/>
  <c r="H648" i="2"/>
  <c r="AF635" i="2"/>
  <c r="X635" i="2"/>
  <c r="P635" i="2"/>
  <c r="H635" i="2"/>
  <c r="AK641" i="2"/>
  <c r="AC641" i="2"/>
  <c r="U641" i="2"/>
  <c r="M641" i="2"/>
  <c r="E641" i="2"/>
  <c r="AG635" i="2"/>
  <c r="Y635" i="2"/>
  <c r="Q635" i="2"/>
  <c r="I635" i="2"/>
  <c r="AH641" i="2"/>
  <c r="Z641" i="2"/>
  <c r="R641" i="2"/>
  <c r="J641" i="2"/>
  <c r="AL635" i="2"/>
  <c r="AD635" i="2"/>
  <c r="V635" i="2"/>
  <c r="N635" i="2"/>
  <c r="F635" i="2"/>
  <c r="AG641" i="2"/>
  <c r="Y641" i="2"/>
  <c r="Q641" i="2"/>
  <c r="I641" i="2"/>
  <c r="AK635" i="2"/>
  <c r="AC635" i="2"/>
  <c r="U635" i="2"/>
  <c r="M635" i="2"/>
  <c r="E635" i="2"/>
  <c r="E662" i="2" s="1"/>
  <c r="AJ641" i="2"/>
  <c r="AB641" i="2"/>
  <c r="T641" i="2"/>
  <c r="L641" i="2"/>
  <c r="AF641" i="2"/>
  <c r="X641" i="2"/>
  <c r="P641" i="2"/>
  <c r="H641" i="2"/>
  <c r="AJ635" i="2"/>
  <c r="AB635" i="2"/>
  <c r="T635" i="2"/>
  <c r="L635" i="2"/>
  <c r="D635" i="2"/>
  <c r="C641" i="2"/>
  <c r="AE641" i="2"/>
  <c r="W641" i="2"/>
  <c r="O641" i="2"/>
  <c r="G641" i="2"/>
  <c r="AI635" i="2"/>
  <c r="AI662" i="2" s="1"/>
  <c r="AA635" i="2"/>
  <c r="S635" i="2"/>
  <c r="S662" i="2" s="1"/>
  <c r="K635" i="2"/>
  <c r="D641" i="2"/>
  <c r="AL641" i="2"/>
  <c r="AD641" i="2"/>
  <c r="V641" i="2"/>
  <c r="N641" i="2"/>
  <c r="F641" i="2"/>
  <c r="AH635" i="2"/>
  <c r="Z635" i="2"/>
  <c r="R635" i="2"/>
  <c r="J635" i="2"/>
  <c r="AE630" i="2"/>
  <c r="AL607" i="2"/>
  <c r="AD607" i="2"/>
  <c r="V607" i="2"/>
  <c r="N607" i="2"/>
  <c r="F607" i="2"/>
  <c r="AI626" i="2"/>
  <c r="AA626" i="2"/>
  <c r="S626" i="2"/>
  <c r="K626" i="2"/>
  <c r="AE627" i="2"/>
  <c r="W627" i="2"/>
  <c r="O627" i="2"/>
  <c r="G627" i="2"/>
  <c r="AH626" i="2"/>
  <c r="Z626" i="2"/>
  <c r="R626" i="2"/>
  <c r="J626" i="2"/>
  <c r="C626" i="2"/>
  <c r="C629" i="2"/>
  <c r="AI620" i="2"/>
  <c r="AA620" i="2"/>
  <c r="S620" i="2"/>
  <c r="K620" i="2"/>
  <c r="AL620" i="2"/>
  <c r="AD620" i="2"/>
  <c r="V620" i="2"/>
  <c r="N620" i="2"/>
  <c r="F620" i="2"/>
  <c r="AK614" i="2"/>
  <c r="AC614" i="2"/>
  <c r="U614" i="2"/>
  <c r="M614" i="2"/>
  <c r="E614" i="2"/>
  <c r="AJ607" i="2"/>
  <c r="AB607" i="2"/>
  <c r="T607" i="2"/>
  <c r="L607" i="2"/>
  <c r="D607" i="2"/>
  <c r="W630" i="2"/>
  <c r="O630" i="2"/>
  <c r="G630" i="2"/>
  <c r="AH629" i="2"/>
  <c r="Z629" i="2"/>
  <c r="R629" i="2"/>
  <c r="J629" i="2"/>
  <c r="AL627" i="2"/>
  <c r="AD627" i="2"/>
  <c r="V627" i="2"/>
  <c r="N627" i="2"/>
  <c r="F627" i="2"/>
  <c r="AG626" i="2"/>
  <c r="Y626" i="2"/>
  <c r="Q626" i="2"/>
  <c r="I626" i="2"/>
  <c r="AE629" i="2"/>
  <c r="W629" i="2"/>
  <c r="O629" i="2"/>
  <c r="G629" i="2"/>
  <c r="AL626" i="2"/>
  <c r="AD626" i="2"/>
  <c r="V626" i="2"/>
  <c r="N626" i="2"/>
  <c r="F626" i="2"/>
  <c r="AG630" i="2"/>
  <c r="Y630" i="2"/>
  <c r="Q630" i="2"/>
  <c r="I630" i="2"/>
  <c r="AJ629" i="2"/>
  <c r="AB629" i="2"/>
  <c r="T629" i="2"/>
  <c r="L629" i="2"/>
  <c r="D629" i="2"/>
  <c r="AF627" i="2"/>
  <c r="X627" i="2"/>
  <c r="P627" i="2"/>
  <c r="H627" i="2"/>
  <c r="C630" i="2"/>
  <c r="AL630" i="2"/>
  <c r="AD630" i="2"/>
  <c r="V630" i="2"/>
  <c r="N630" i="2"/>
  <c r="F630" i="2"/>
  <c r="AG629" i="2"/>
  <c r="Y629" i="2"/>
  <c r="Q629" i="2"/>
  <c r="I629" i="2"/>
  <c r="AK627" i="2"/>
  <c r="AC627" i="2"/>
  <c r="U627" i="2"/>
  <c r="M627" i="2"/>
  <c r="E627" i="2"/>
  <c r="AF626" i="2"/>
  <c r="X626" i="2"/>
  <c r="P626" i="2"/>
  <c r="H626" i="2"/>
  <c r="AJ627" i="2"/>
  <c r="AB627" i="2"/>
  <c r="T627" i="2"/>
  <c r="L627" i="2"/>
  <c r="D627" i="2"/>
  <c r="AE626" i="2"/>
  <c r="W626" i="2"/>
  <c r="O626" i="2"/>
  <c r="G626" i="2"/>
  <c r="AJ630" i="2"/>
  <c r="AB630" i="2"/>
  <c r="T630" i="2"/>
  <c r="L630" i="2"/>
  <c r="D630" i="2"/>
  <c r="AI627" i="2"/>
  <c r="AA627" i="2"/>
  <c r="S627" i="2"/>
  <c r="K627" i="2"/>
  <c r="AK630" i="2"/>
  <c r="U630" i="2"/>
  <c r="E630" i="2"/>
  <c r="X629" i="2"/>
  <c r="P629" i="2"/>
  <c r="AI630" i="2"/>
  <c r="AA630" i="2"/>
  <c r="S630" i="2"/>
  <c r="K630" i="2"/>
  <c r="AL629" i="2"/>
  <c r="AD629" i="2"/>
  <c r="V629" i="2"/>
  <c r="N629" i="2"/>
  <c r="F629" i="2"/>
  <c r="AH627" i="2"/>
  <c r="Z627" i="2"/>
  <c r="R627" i="2"/>
  <c r="J627" i="2"/>
  <c r="AK626" i="2"/>
  <c r="AC626" i="2"/>
  <c r="U626" i="2"/>
  <c r="M626" i="2"/>
  <c r="E626" i="2"/>
  <c r="AC630" i="2"/>
  <c r="M630" i="2"/>
  <c r="AF629" i="2"/>
  <c r="H629" i="2"/>
  <c r="AE607" i="2"/>
  <c r="W607" i="2"/>
  <c r="O607" i="2"/>
  <c r="G607" i="2"/>
  <c r="AH630" i="2"/>
  <c r="Z630" i="2"/>
  <c r="R630" i="2"/>
  <c r="J630" i="2"/>
  <c r="AK629" i="2"/>
  <c r="AC629" i="2"/>
  <c r="U629" i="2"/>
  <c r="M629" i="2"/>
  <c r="E629" i="2"/>
  <c r="AG627" i="2"/>
  <c r="Y627" i="2"/>
  <c r="Q627" i="2"/>
  <c r="I627" i="2"/>
  <c r="AJ626" i="2"/>
  <c r="AB626" i="2"/>
  <c r="T626" i="2"/>
  <c r="L626" i="2"/>
  <c r="D626" i="2"/>
  <c r="AF630" i="2"/>
  <c r="X630" i="2"/>
  <c r="P630" i="2"/>
  <c r="H630" i="2"/>
  <c r="AI629" i="2"/>
  <c r="AA629" i="2"/>
  <c r="S629" i="2"/>
  <c r="K629" i="2"/>
  <c r="AE620" i="2"/>
  <c r="W620" i="2"/>
  <c r="O620" i="2"/>
  <c r="G620" i="2"/>
  <c r="AH607" i="2"/>
  <c r="Z607" i="2"/>
  <c r="R607" i="2"/>
  <c r="J607" i="2"/>
  <c r="AK607" i="2"/>
  <c r="AC607" i="2"/>
  <c r="U607" i="2"/>
  <c r="M607" i="2"/>
  <c r="E607" i="2"/>
  <c r="AF620" i="2"/>
  <c r="AI607" i="2"/>
  <c r="AA607" i="2"/>
  <c r="S607" i="2"/>
  <c r="K607" i="2"/>
  <c r="H620" i="2"/>
  <c r="P620" i="2"/>
  <c r="C607" i="2"/>
  <c r="AG607" i="2"/>
  <c r="Y607" i="2"/>
  <c r="Q607" i="2"/>
  <c r="I607" i="2"/>
  <c r="AF607" i="2"/>
  <c r="X607" i="2"/>
  <c r="P607" i="2"/>
  <c r="H607" i="2"/>
  <c r="X620" i="2"/>
  <c r="C627" i="2"/>
  <c r="C620" i="2"/>
  <c r="AK620" i="2"/>
  <c r="AC620" i="2"/>
  <c r="U620" i="2"/>
  <c r="M620" i="2"/>
  <c r="E620" i="2"/>
  <c r="AJ614" i="2"/>
  <c r="AB614" i="2"/>
  <c r="T614" i="2"/>
  <c r="L614" i="2"/>
  <c r="D614" i="2"/>
  <c r="AJ620" i="2"/>
  <c r="AB620" i="2"/>
  <c r="T620" i="2"/>
  <c r="L620" i="2"/>
  <c r="D620" i="2"/>
  <c r="AH620" i="2"/>
  <c r="Z620" i="2"/>
  <c r="R620" i="2"/>
  <c r="J620" i="2"/>
  <c r="C601" i="2"/>
  <c r="AG620" i="2"/>
  <c r="Y620" i="2"/>
  <c r="Q620" i="2"/>
  <c r="I620" i="2"/>
  <c r="AI614" i="2"/>
  <c r="AA614" i="2"/>
  <c r="S614" i="2"/>
  <c r="K614" i="2"/>
  <c r="AE614" i="2"/>
  <c r="W614" i="2"/>
  <c r="O614" i="2"/>
  <c r="G614" i="2"/>
  <c r="AH614" i="2"/>
  <c r="Z614" i="2"/>
  <c r="R614" i="2"/>
  <c r="J614" i="2"/>
  <c r="AH601" i="2"/>
  <c r="Z601" i="2"/>
  <c r="R601" i="2"/>
  <c r="J601" i="2"/>
  <c r="AF601" i="2"/>
  <c r="X601" i="2"/>
  <c r="P601" i="2"/>
  <c r="H601" i="2"/>
  <c r="I614" i="2"/>
  <c r="H614" i="2"/>
  <c r="Y614" i="2"/>
  <c r="P614" i="2"/>
  <c r="AG614" i="2"/>
  <c r="Q614" i="2"/>
  <c r="AF614" i="2"/>
  <c r="X614" i="2"/>
  <c r="C614" i="2"/>
  <c r="AL614" i="2"/>
  <c r="AD614" i="2"/>
  <c r="V614" i="2"/>
  <c r="N614" i="2"/>
  <c r="F614" i="2"/>
  <c r="AE601" i="2"/>
  <c r="W601" i="2"/>
  <c r="O601" i="2"/>
  <c r="G601" i="2"/>
  <c r="AK601" i="2"/>
  <c r="AC601" i="2"/>
  <c r="U601" i="2"/>
  <c r="M601" i="2"/>
  <c r="E601" i="2"/>
  <c r="AL601" i="2"/>
  <c r="AD601" i="2"/>
  <c r="V601" i="2"/>
  <c r="N601" i="2"/>
  <c r="F601" i="2"/>
  <c r="AG601" i="2"/>
  <c r="Y601" i="2"/>
  <c r="Q601" i="2"/>
  <c r="I601" i="2"/>
  <c r="AJ601" i="2"/>
  <c r="AB601" i="2"/>
  <c r="T601" i="2"/>
  <c r="L601" i="2"/>
  <c r="D601" i="2"/>
  <c r="AI601" i="2"/>
  <c r="AA601" i="2"/>
  <c r="S601" i="2"/>
  <c r="K601" i="2"/>
  <c r="AA662" i="2" l="1"/>
  <c r="K662" i="2"/>
  <c r="M662" i="2"/>
  <c r="P665" i="2"/>
  <c r="AL665" i="2"/>
  <c r="I662" i="2"/>
  <c r="AK665" i="2"/>
  <c r="AD665" i="2"/>
  <c r="AC665" i="2"/>
  <c r="X665" i="2"/>
  <c r="AH662" i="2"/>
  <c r="D662" i="2"/>
  <c r="AF665" i="2"/>
  <c r="N662" i="2"/>
  <c r="Q662" i="2"/>
  <c r="L662" i="2"/>
  <c r="AG662" i="2"/>
  <c r="G665" i="2"/>
  <c r="J665" i="2"/>
  <c r="R662" i="2"/>
  <c r="D665" i="2"/>
  <c r="AH665" i="2"/>
  <c r="V662" i="2"/>
  <c r="H662" i="2"/>
  <c r="K665" i="2"/>
  <c r="L665" i="2"/>
  <c r="Z662" i="2"/>
  <c r="T662" i="2"/>
  <c r="I665" i="2"/>
  <c r="X662" i="2"/>
  <c r="C665" i="2"/>
  <c r="O665" i="2"/>
  <c r="AJ665" i="2"/>
  <c r="U662" i="2"/>
  <c r="AJ662" i="2"/>
  <c r="AE665" i="2"/>
  <c r="F662" i="2"/>
  <c r="AC662" i="2"/>
  <c r="F665" i="2"/>
  <c r="AK662" i="2"/>
  <c r="AD662" i="2"/>
  <c r="Y662" i="2"/>
  <c r="G662" i="2"/>
  <c r="AI665" i="2"/>
  <c r="N665" i="2"/>
  <c r="T665" i="2"/>
  <c r="AL662" i="2"/>
  <c r="V665" i="2"/>
  <c r="AB662" i="2"/>
  <c r="AB665" i="2"/>
  <c r="Q665" i="2"/>
  <c r="E665" i="2"/>
  <c r="AF662" i="2"/>
  <c r="O662" i="2"/>
  <c r="S665" i="2"/>
  <c r="J662" i="2"/>
  <c r="W665" i="2"/>
  <c r="H665" i="2"/>
  <c r="AG665" i="2"/>
  <c r="Z665" i="2"/>
  <c r="U665" i="2"/>
  <c r="C662" i="2"/>
  <c r="AE662" i="2"/>
  <c r="AA665" i="2"/>
  <c r="P662" i="2"/>
  <c r="W662" i="2"/>
  <c r="Y665" i="2"/>
  <c r="R665" i="2"/>
  <c r="M665" i="2"/>
  <c r="U628" i="2"/>
  <c r="T631" i="2"/>
  <c r="L631" i="2"/>
  <c r="P631" i="2"/>
  <c r="I631" i="2"/>
  <c r="S631" i="2"/>
  <c r="F631" i="2"/>
  <c r="M628" i="2"/>
  <c r="K631" i="2"/>
  <c r="N631" i="2"/>
  <c r="V631" i="2"/>
  <c r="AD631" i="2"/>
  <c r="AL631" i="2"/>
  <c r="AA628" i="2"/>
  <c r="Q628" i="2"/>
  <c r="E628" i="2"/>
  <c r="AJ631" i="2"/>
  <c r="O631" i="2"/>
  <c r="AE631" i="2"/>
  <c r="AA631" i="2"/>
  <c r="AK628" i="2"/>
  <c r="AI631" i="2"/>
  <c r="G631" i="2"/>
  <c r="W631" i="2"/>
  <c r="AC628" i="2"/>
  <c r="D631" i="2"/>
  <c r="Z628" i="2"/>
  <c r="K628" i="2"/>
  <c r="AB631" i="2"/>
  <c r="AG628" i="2"/>
  <c r="T628" i="2"/>
  <c r="AB628" i="2"/>
  <c r="V628" i="2"/>
  <c r="G628" i="2"/>
  <c r="AG631" i="2"/>
  <c r="Z631" i="2"/>
  <c r="C631" i="2"/>
  <c r="L628" i="2"/>
  <c r="AD628" i="2"/>
  <c r="AH628" i="2"/>
  <c r="AE628" i="2"/>
  <c r="P628" i="2"/>
  <c r="O628" i="2"/>
  <c r="AH631" i="2"/>
  <c r="AI628" i="2"/>
  <c r="Y628" i="2"/>
  <c r="X628" i="2"/>
  <c r="AJ628" i="2"/>
  <c r="H631" i="2"/>
  <c r="E631" i="2"/>
  <c r="S628" i="2"/>
  <c r="I628" i="2"/>
  <c r="AL628" i="2"/>
  <c r="W628" i="2"/>
  <c r="H628" i="2"/>
  <c r="C628" i="2"/>
  <c r="M631" i="2"/>
  <c r="AF628" i="2"/>
  <c r="AK631" i="2"/>
  <c r="U631" i="2"/>
  <c r="AF631" i="2"/>
  <c r="AC631" i="2"/>
  <c r="D628" i="2"/>
  <c r="F628" i="2"/>
  <c r="J628" i="2"/>
  <c r="Q631" i="2"/>
  <c r="J631" i="2"/>
  <c r="X631" i="2"/>
  <c r="N628" i="2"/>
  <c r="R628" i="2"/>
  <c r="Y631" i="2"/>
  <c r="R631" i="2"/>
  <c r="C587" i="2" l="1"/>
  <c r="D587" i="2"/>
  <c r="E587" i="2"/>
  <c r="F587" i="2"/>
  <c r="C589" i="2"/>
  <c r="D589" i="2"/>
  <c r="E589" i="2"/>
  <c r="F589" i="2"/>
  <c r="C590" i="2"/>
  <c r="D590" i="2"/>
  <c r="E590" i="2"/>
  <c r="F590" i="2"/>
  <c r="C592" i="2"/>
  <c r="D592" i="2"/>
  <c r="E592" i="2"/>
  <c r="F592" i="2"/>
  <c r="C594" i="2"/>
  <c r="D594" i="2"/>
  <c r="E594" i="2"/>
  <c r="F594" i="2"/>
  <c r="C593" i="2"/>
  <c r="D593" i="2"/>
  <c r="E593" i="2"/>
  <c r="F593" i="2"/>
  <c r="E596" i="2" l="1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C591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<sst xmlns="http://schemas.openxmlformats.org/spreadsheetml/2006/main" count="437" uniqueCount="101">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</sst>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externalLink" Target="externalLinks/externalLink1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styles" Target="styles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Données!$C$7:$AL$7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5.2815952685756054E-3</c:v>
                </c:pt>
                <c:pt idx="7">
                  <c:v>-4.7688182434190575E-2</c:v>
                </c:pt>
                <c:pt idx="8">
                  <c:v>-0.12758807954992746</c:v>
                </c:pt>
                <c:pt idx="9">
                  <c:v>-0.19144478043266111</c:v>
                </c:pt>
                <c:pt idx="10">
                  <c:v>-0.20864267439020542</c:v>
                </c:pt>
                <c:pt idx="11">
                  <c:v>-0.17917018140535382</c:v>
                </c:pt>
                <c:pt idx="12">
                  <c:v>-0.11395013430803259</c:v>
                </c:pt>
                <c:pt idx="13">
                  <c:v>-3.5388875717137447E-2</c:v>
                </c:pt>
                <c:pt idx="14">
                  <c:v>3.5083206042022544E-2</c:v>
                </c:pt>
                <c:pt idx="15">
                  <c:v>8.4057840944060838E-2</c:v>
                </c:pt>
                <c:pt idx="16">
                  <c:v>0.10810349463953844</c:v>
                </c:pt>
                <c:pt idx="17">
                  <c:v>0.11146049365658567</c:v>
                </c:pt>
                <c:pt idx="18">
                  <c:v>0.10169851253599901</c:v>
                </c:pt>
                <c:pt idx="19">
                  <c:v>8.5765849506701949E-2</c:v>
                </c:pt>
                <c:pt idx="20">
                  <c:v>6.8370453218813312E-2</c:v>
                </c:pt>
                <c:pt idx="21">
                  <c:v>4.9548336191509459E-2</c:v>
                </c:pt>
                <c:pt idx="22">
                  <c:v>2.9740003690388008E-2</c:v>
                </c:pt>
                <c:pt idx="23">
                  <c:v>8.2618515665852463E-3</c:v>
                </c:pt>
                <c:pt idx="24">
                  <c:v>-1.4892609292833028E-2</c:v>
                </c:pt>
                <c:pt idx="25">
                  <c:v>-3.8720923056695979E-2</c:v>
                </c:pt>
                <c:pt idx="26">
                  <c:v>-6.1447549642801511E-2</c:v>
                </c:pt>
                <c:pt idx="27">
                  <c:v>-8.0614705374176587E-2</c:v>
                </c:pt>
                <c:pt idx="28">
                  <c:v>-9.4651071597901468E-2</c:v>
                </c:pt>
                <c:pt idx="29">
                  <c:v>-0.10304448792255734</c:v>
                </c:pt>
                <c:pt idx="30">
                  <c:v>-0.1063272172383542</c:v>
                </c:pt>
                <c:pt idx="31">
                  <c:v>-0.10570707049063913</c:v>
                </c:pt>
                <c:pt idx="32">
                  <c:v>-0.10260855299273014</c:v>
                </c:pt>
                <c:pt idx="33">
                  <c:v>-9.8335635947199809E-2</c:v>
                </c:pt>
                <c:pt idx="34">
                  <c:v>-9.3872379975428299E-2</c:v>
                </c:pt>
                <c:pt idx="35">
                  <c:v>-8.9836898183148134E-2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1.947978814271888E-2</c:v>
                </c:pt>
                <c:pt idx="7">
                  <c:v>3.80859680419589E-3</c:v>
                </c:pt>
                <c:pt idx="8">
                  <c:v>-4.122059406541765E-2</c:v>
                </c:pt>
                <c:pt idx="9">
                  <c:v>-9.4835590183985005E-2</c:v>
                </c:pt>
                <c:pt idx="10">
                  <c:v>-0.13696580079260828</c:v>
                </c:pt>
                <c:pt idx="11">
                  <c:v>-0.1578787611208898</c:v>
                </c:pt>
                <c:pt idx="12">
                  <c:v>-0.15490440381755843</c:v>
                </c:pt>
                <c:pt idx="13">
                  <c:v>-0.13326262706760278</c:v>
                </c:pt>
                <c:pt idx="14">
                  <c:v>-0.10181892740156177</c:v>
                </c:pt>
                <c:pt idx="15">
                  <c:v>-6.9020825152314627E-2</c:v>
                </c:pt>
                <c:pt idx="16">
                  <c:v>-4.028336774791369E-2</c:v>
                </c:pt>
                <c:pt idx="17">
                  <c:v>-1.7460332581462151E-2</c:v>
                </c:pt>
                <c:pt idx="18">
                  <c:v>1.6574131165728232E-4</c:v>
                </c:pt>
                <c:pt idx="19">
                  <c:v>1.4325448676249266E-2</c:v>
                </c:pt>
                <c:pt idx="20">
                  <c:v>2.6660258964110544E-2</c:v>
                </c:pt>
                <c:pt idx="21">
                  <c:v>3.7248516933232036E-2</c:v>
                </c:pt>
                <c:pt idx="22">
                  <c:v>4.5927107636921427E-2</c:v>
                </c:pt>
                <c:pt idx="23">
                  <c:v>5.1975814206653197E-2</c:v>
                </c:pt>
                <c:pt idx="24">
                  <c:v>5.4744023496164904E-2</c:v>
                </c:pt>
                <c:pt idx="25">
                  <c:v>5.4258923407725701E-2</c:v>
                </c:pt>
                <c:pt idx="26">
                  <c:v>5.0554657976661685E-2</c:v>
                </c:pt>
                <c:pt idx="27">
                  <c:v>4.4940615098407383E-2</c:v>
                </c:pt>
                <c:pt idx="28">
                  <c:v>3.8662923382099389E-2</c:v>
                </c:pt>
                <c:pt idx="29">
                  <c:v>3.2751305855698708E-2</c:v>
                </c:pt>
                <c:pt idx="30">
                  <c:v>2.7848584207817308E-2</c:v>
                </c:pt>
                <c:pt idx="31">
                  <c:v>2.420403251292173E-2</c:v>
                </c:pt>
                <c:pt idx="32">
                  <c:v>2.1783141257360205E-2</c:v>
                </c:pt>
                <c:pt idx="33">
                  <c:v>2.0398678779651572E-2</c:v>
                </c:pt>
                <c:pt idx="34">
                  <c:v>1.98340537345933E-2</c:v>
                </c:pt>
                <c:pt idx="35">
                  <c:v>1.9920619544357632E-2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Données!$C$12:$AL$12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-4.4613332538709277E-2</c:v>
                </c:pt>
                <c:pt idx="7">
                  <c:v>-6.3985007256912779E-2</c:v>
                </c:pt>
                <c:pt idx="8">
                  <c:v>-8.5355652128645113E-2</c:v>
                </c:pt>
                <c:pt idx="9">
                  <c:v>-0.11882762822206108</c:v>
                </c:pt>
                <c:pt idx="10">
                  <c:v>-0.16380266114386641</c:v>
                </c:pt>
                <c:pt idx="11">
                  <c:v>-0.21309755023942067</c:v>
                </c:pt>
                <c:pt idx="12">
                  <c:v>-0.25901146382652102</c:v>
                </c:pt>
                <c:pt idx="13">
                  <c:v>-0.29527890700096043</c:v>
                </c:pt>
                <c:pt idx="14">
                  <c:v>-0.31866446915070196</c:v>
                </c:pt>
                <c:pt idx="15">
                  <c:v>-0.32916897585260946</c:v>
                </c:pt>
                <c:pt idx="16">
                  <c:v>-0.32905127221614383</c:v>
                </c:pt>
                <c:pt idx="17">
                  <c:v>-0.32144724412160003</c:v>
                </c:pt>
                <c:pt idx="18">
                  <c:v>-0.30920989152220535</c:v>
                </c:pt>
                <c:pt idx="19">
                  <c:v>-0.29434638366217591</c:v>
                </c:pt>
                <c:pt idx="20">
                  <c:v>-0.27808646060470116</c:v>
                </c:pt>
                <c:pt idx="21">
                  <c:v>-0.26097986306431109</c:v>
                </c:pt>
                <c:pt idx="22">
                  <c:v>-0.24383274270392935</c:v>
                </c:pt>
                <c:pt idx="23">
                  <c:v>-0.22740013150889787</c:v>
                </c:pt>
                <c:pt idx="24">
                  <c:v>-0.21259334047071435</c:v>
                </c:pt>
                <c:pt idx="25">
                  <c:v>-0.20039640456435967</c:v>
                </c:pt>
                <c:pt idx="26">
                  <c:v>-0.19131136533912887</c:v>
                </c:pt>
                <c:pt idx="27">
                  <c:v>-0.18594042956524276</c:v>
                </c:pt>
                <c:pt idx="28">
                  <c:v>-0.18407896574899674</c:v>
                </c:pt>
                <c:pt idx="29">
                  <c:v>-0.18518437378472863</c:v>
                </c:pt>
                <c:pt idx="30">
                  <c:v>-0.18849998748133784</c:v>
                </c:pt>
                <c:pt idx="31">
                  <c:v>-0.19321483594373171</c:v>
                </c:pt>
                <c:pt idx="32">
                  <c:v>-0.19858848449763378</c:v>
                </c:pt>
                <c:pt idx="33">
                  <c:v>-0.20401353271139583</c:v>
                </c:pt>
                <c:pt idx="34">
                  <c:v>-0.20903009705475889</c:v>
                </c:pt>
                <c:pt idx="35">
                  <c:v>-0.21331392479792666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Données!$C$6:$AL$6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-4.8276562368498865E-2</c:v>
                      </c:pt>
                      <c:pt idx="7">
                        <c:v>-0.16002605742696518</c:v>
                      </c:pt>
                      <c:pt idx="8">
                        <c:v>-0.34141987693696585</c:v>
                      </c:pt>
                      <c:pt idx="9">
                        <c:v>-0.5328420358037711</c:v>
                      </c:pt>
                      <c:pt idx="10">
                        <c:v>-0.67309895764217087</c:v>
                      </c:pt>
                      <c:pt idx="11">
                        <c:v>-0.73989640140498247</c:v>
                      </c:pt>
                      <c:pt idx="12">
                        <c:v>-0.73077721680256946</c:v>
                      </c:pt>
                      <c:pt idx="13">
                        <c:v>-0.66864590652429001</c:v>
                      </c:pt>
                      <c:pt idx="14">
                        <c:v>-0.58417839643080116</c:v>
                      </c:pt>
                      <c:pt idx="15">
                        <c:v>-0.50321768586335525</c:v>
                      </c:pt>
                      <c:pt idx="16">
                        <c:v>-0.43968983355107127</c:v>
                      </c:pt>
                      <c:pt idx="17">
                        <c:v>-0.39566252105022182</c:v>
                      </c:pt>
                      <c:pt idx="18">
                        <c:v>-0.36587224964858001</c:v>
                      </c:pt>
                      <c:pt idx="19">
                        <c:v>-0.34333378178261764</c:v>
                      </c:pt>
                      <c:pt idx="20">
                        <c:v>-0.322660608549874</c:v>
                      </c:pt>
                      <c:pt idx="21">
                        <c:v>-0.30451809529136176</c:v>
                      </c:pt>
                      <c:pt idx="22">
                        <c:v>-0.29001476019892003</c:v>
                      </c:pt>
                      <c:pt idx="23">
                        <c:v>-0.28200194037428794</c:v>
                      </c:pt>
                      <c:pt idx="24">
                        <c:v>-0.28268025338662461</c:v>
                      </c:pt>
                      <c:pt idx="25">
                        <c:v>-0.29246473239711301</c:v>
                      </c:pt>
                      <c:pt idx="26">
                        <c:v>-0.30966365395524997</c:v>
                      </c:pt>
                      <c:pt idx="27">
                        <c:v>-0.3308610463817252</c:v>
                      </c:pt>
                      <c:pt idx="28">
                        <c:v>-0.35230703560789056</c:v>
                      </c:pt>
                      <c:pt idx="29">
                        <c:v>-0.37127262924504523</c:v>
                      </c:pt>
                      <c:pt idx="30">
                        <c:v>-0.38640822407027819</c:v>
                      </c:pt>
                      <c:pt idx="31">
                        <c:v>-0.39754999047637574</c:v>
                      </c:pt>
                      <c:pt idx="32">
                        <c:v>-0.40523610153011536</c:v>
                      </c:pt>
                      <c:pt idx="33">
                        <c:v>-0.41026679990954218</c:v>
                      </c:pt>
                      <c:pt idx="34">
                        <c:v>-0.41333561646347272</c:v>
                      </c:pt>
                      <c:pt idx="35">
                        <c:v>-0.41485455597330967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1.3675613803268442E-3</c:v>
                      </c:pt>
                      <c:pt idx="7">
                        <c:v>1.3555374002081554E-3</c:v>
                      </c:pt>
                      <c:pt idx="8">
                        <c:v>1.114543918308374E-3</c:v>
                      </c:pt>
                      <c:pt idx="9">
                        <c:v>3.8930473126527936E-3</c:v>
                      </c:pt>
                      <c:pt idx="10">
                        <c:v>1.0085078377425272E-2</c:v>
                      </c:pt>
                      <c:pt idx="11">
                        <c:v>1.7896306546618654E-2</c:v>
                      </c:pt>
                      <c:pt idx="12">
                        <c:v>2.4968571526931282E-2</c:v>
                      </c:pt>
                      <c:pt idx="13">
                        <c:v>2.9731392718452848E-2</c:v>
                      </c:pt>
                      <c:pt idx="14">
                        <c:v>3.1640415863265409E-2</c:v>
                      </c:pt>
                      <c:pt idx="15">
                        <c:v>3.1171060778362326E-2</c:v>
                      </c:pt>
                      <c:pt idx="16">
                        <c:v>2.9391549862199103E-2</c:v>
                      </c:pt>
                      <c:pt idx="17">
                        <c:v>2.7429679448550896E-2</c:v>
                      </c:pt>
                      <c:pt idx="18">
                        <c:v>2.6082051968767356E-2</c:v>
                      </c:pt>
                      <c:pt idx="19">
                        <c:v>2.5678941722832773E-2</c:v>
                      </c:pt>
                      <c:pt idx="20">
                        <c:v>2.6146588171094855E-2</c:v>
                      </c:pt>
                      <c:pt idx="21">
                        <c:v>2.7319987562161977E-2</c:v>
                      </c:pt>
                      <c:pt idx="22">
                        <c:v>2.8952791345233285E-2</c:v>
                      </c:pt>
                      <c:pt idx="23">
                        <c:v>3.0941541580603967E-2</c:v>
                      </c:pt>
                      <c:pt idx="24">
                        <c:v>3.3285513026323828E-2</c:v>
                      </c:pt>
                      <c:pt idx="25">
                        <c:v>3.5938161837430045E-2</c:v>
                      </c:pt>
                      <c:pt idx="26">
                        <c:v>3.9183413229773811E-2</c:v>
                      </c:pt>
                      <c:pt idx="27">
                        <c:v>4.3034549632839057E-2</c:v>
                      </c:pt>
                      <c:pt idx="28">
                        <c:v>4.7379701172847455E-2</c:v>
                      </c:pt>
                      <c:pt idx="29">
                        <c:v>5.2049528038609842E-2</c:v>
                      </c:pt>
                      <c:pt idx="30">
                        <c:v>5.686598078890507E-2</c:v>
                      </c:pt>
                      <c:pt idx="31">
                        <c:v>6.1685980810804744E-2</c:v>
                      </c:pt>
                      <c:pt idx="32">
                        <c:v>6.6421964896367147E-2</c:v>
                      </c:pt>
                      <c:pt idx="33">
                        <c:v>7.1037248476816472E-2</c:v>
                      </c:pt>
                      <c:pt idx="34">
                        <c:v>7.5527607274853026E-2</c:v>
                      </c:pt>
                      <c:pt idx="35">
                        <c:v>7.9901118412012265E-2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Données!$C$9:$AL$9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Données!$C$11:$AL$11</c15:sqref>
                        </c15:formulaRef>
                      </c:ext>
                    </c:extLst>
                    <c:numCache>
                      <c:formatCode>#,##0.0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Données!$C$5:$AL$5</c:f>
              <c:numCache>
                <c:formatCode>#,##0.0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-1.9851961630290571E-2</c:v>
                </c:pt>
                <c:pt idx="7">
                  <c:v>-0.10786461753808929</c:v>
                </c:pt>
                <c:pt idx="8">
                  <c:v>-0.25416428524474011</c:v>
                </c:pt>
                <c:pt idx="9">
                  <c:v>-0.40510803475947155</c:v>
                </c:pt>
                <c:pt idx="10">
                  <c:v>-0.50941111275784046</c:v>
                </c:pt>
                <c:pt idx="11">
                  <c:v>-0.55014651984570673</c:v>
                </c:pt>
                <c:pt idx="12">
                  <c:v>-0.5278660019521153</c:v>
                </c:pt>
                <c:pt idx="13">
                  <c:v>-0.46393043229695508</c:v>
                </c:pt>
                <c:pt idx="14">
                  <c:v>-0.38540019790217483</c:v>
                </c:pt>
                <c:pt idx="15">
                  <c:v>-0.31413193093162706</c:v>
                </c:pt>
                <c:pt idx="16">
                  <c:v>-0.26123114891148935</c:v>
                </c:pt>
                <c:pt idx="17">
                  <c:v>-0.22744707598025826</c:v>
                </c:pt>
                <c:pt idx="18">
                  <c:v>-0.20734567246930569</c:v>
                </c:pt>
                <c:pt idx="19">
                  <c:v>-0.19425506149606253</c:v>
                </c:pt>
                <c:pt idx="20">
                  <c:v>-0.1830557180366621</c:v>
                </c:pt>
                <c:pt idx="21">
                  <c:v>-0.17418298666940224</c:v>
                </c:pt>
                <c:pt idx="22">
                  <c:v>-0.16816565101537284</c:v>
                </c:pt>
                <c:pt idx="23">
                  <c:v>-0.16716245929061513</c:v>
                </c:pt>
                <c:pt idx="24">
                  <c:v>-0.17274191357687929</c:v>
                </c:pt>
                <c:pt idx="25">
                  <c:v>-0.18485843239681721</c:v>
                </c:pt>
                <c:pt idx="26">
                  <c:v>-0.20220421997245719</c:v>
                </c:pt>
                <c:pt idx="27">
                  <c:v>-0.22161448637801895</c:v>
                </c:pt>
                <c:pt idx="28">
                  <c:v>-0.24006710496851102</c:v>
                </c:pt>
                <c:pt idx="29">
                  <c:v>-0.25547754698381775</c:v>
                </c:pt>
                <c:pt idx="30">
                  <c:v>-0.26697866713089047</c:v>
                </c:pt>
                <c:pt idx="31">
                  <c:v>-0.27471784232713237</c:v>
                </c:pt>
                <c:pt idx="32">
                  <c:v>-0.27941387924357297</c:v>
                </c:pt>
                <c:pt idx="33">
                  <c:v>-0.2819504480027768</c:v>
                </c:pt>
                <c:pt idx="34">
                  <c:v>-0.28306841228504798</c:v>
                </c:pt>
                <c:pt idx="35">
                  <c:v>-0.28323019529434834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#,##0.0</c:formatCode>
                <c:ptCount val="36"/>
                <c:pt idx="1">
                  <c:v>1.1783817287266851</c:v>
                </c:pt>
                <c:pt idx="2">
                  <c:v>1.1205948567904578</c:v>
                </c:pt>
                <c:pt idx="3">
                  <c:v>1.1764441617844401</c:v>
                </c:pt>
                <c:pt idx="4">
                  <c:v>1.3043698263911718</c:v>
                </c:pt>
                <c:pt idx="5">
                  <c:v>1.462456837382331</c:v>
                </c:pt>
                <c:pt idx="6">
                  <c:v>1.6086018067133834</c:v>
                </c:pt>
                <c:pt idx="7">
                  <c:v>1.7480062249928707</c:v>
                </c:pt>
                <c:pt idx="8">
                  <c:v>1.8394094794702776</c:v>
                </c:pt>
                <c:pt idx="9">
                  <c:v>1.9003238253715304</c:v>
                </c:pt>
                <c:pt idx="10">
                  <c:v>1.9266682172188521</c:v>
                </c:pt>
                <c:pt idx="11">
                  <c:v>2.0025693332672789</c:v>
                </c:pt>
                <c:pt idx="12">
                  <c:v>2.1041211850091557</c:v>
                </c:pt>
                <c:pt idx="13">
                  <c:v>2.1989896201366266</c:v>
                </c:pt>
                <c:pt idx="14">
                  <c:v>2.2663119954750233</c:v>
                </c:pt>
                <c:pt idx="15">
                  <c:v>2.298289362344863</c:v>
                </c:pt>
                <c:pt idx="16">
                  <c:v>2.2986509695338775</c:v>
                </c:pt>
                <c:pt idx="17">
                  <c:v>2.2779908533999915</c:v>
                </c:pt>
                <c:pt idx="18">
                  <c:v>2.2480613455202691</c:v>
                </c:pt>
                <c:pt idx="19">
                  <c:v>2.2177677198235601</c:v>
                </c:pt>
                <c:pt idx="20">
                  <c:v>2.2078088017681852</c:v>
                </c:pt>
                <c:pt idx="21">
                  <c:v>2.1728259856909515</c:v>
                </c:pt>
                <c:pt idx="22">
                  <c:v>2.1408369066479249</c:v>
                </c:pt>
                <c:pt idx="23">
                  <c:v>2.1172923701030522</c:v>
                </c:pt>
                <c:pt idx="24">
                  <c:v>2.1031926481843932</c:v>
                </c:pt>
                <c:pt idx="25">
                  <c:v>2.1287454713712961</c:v>
                </c:pt>
                <c:pt idx="26">
                  <c:v>2.1140871967220143</c:v>
                </c:pt>
                <c:pt idx="27">
                  <c:v>2.0784042172283801</c:v>
                </c:pt>
                <c:pt idx="28">
                  <c:v>2.0426749482050477</c:v>
                </c:pt>
                <c:pt idx="29">
                  <c:v>2.0190544662612053</c:v>
                </c:pt>
                <c:pt idx="30">
                  <c:v>2.0119507132702719</c:v>
                </c:pt>
                <c:pt idx="31">
                  <c:v>2.0187340408111876</c:v>
                </c:pt>
                <c:pt idx="32">
                  <c:v>2.0327481601439157</c:v>
                </c:pt>
                <c:pt idx="33">
                  <c:v>2.0469631775838604</c:v>
                </c:pt>
                <c:pt idx="34">
                  <c:v>2.0567404831742353</c:v>
                </c:pt>
                <c:pt idx="35">
                  <c:v>2.0609449471705954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#,##0.0</c:formatCode>
                <c:ptCount val="36"/>
                <c:pt idx="1">
                  <c:v>1.1783817287266851</c:v>
                </c:pt>
                <c:pt idx="2">
                  <c:v>1.1205948567904578</c:v>
                </c:pt>
                <c:pt idx="3">
                  <c:v>1.1764441617844401</c:v>
                </c:pt>
                <c:pt idx="4">
                  <c:v>1.3043698263911718</c:v>
                </c:pt>
                <c:pt idx="5">
                  <c:v>1.462456837382331</c:v>
                </c:pt>
                <c:pt idx="6">
                  <c:v>1.6430313648231776</c:v>
                </c:pt>
                <c:pt idx="7">
                  <c:v>2.0380978042742859</c:v>
                </c:pt>
                <c:pt idx="8">
                  <c:v>2.2140746069899242</c:v>
                </c:pt>
                <c:pt idx="9">
                  <c:v>2.2476784524701365</c:v>
                </c:pt>
                <c:pt idx="10">
                  <c:v>2.1627003347508555</c:v>
                </c:pt>
                <c:pt idx="11">
                  <c:v>2.1161929186835238</c:v>
                </c:pt>
                <c:pt idx="12">
                  <c:v>2.1017465185137807</c:v>
                </c:pt>
                <c:pt idx="13">
                  <c:v>2.1200643403010977</c:v>
                </c:pt>
                <c:pt idx="14">
                  <c:v>2.1541671808024576</c:v>
                </c:pt>
                <c:pt idx="15">
                  <c:v>2.1843169527072437</c:v>
                </c:pt>
                <c:pt idx="16">
                  <c:v>2.1965420092719068</c:v>
                </c:pt>
                <c:pt idx="17">
                  <c:v>2.1872669722342364</c:v>
                </c:pt>
                <c:pt idx="18">
                  <c:v>2.1620209216234754</c:v>
                </c:pt>
                <c:pt idx="19">
                  <c:v>2.1308808816272951</c:v>
                </c:pt>
                <c:pt idx="20">
                  <c:v>2.1182591083775959</c:v>
                </c:pt>
                <c:pt idx="21">
                  <c:v>2.0886141892575649</c:v>
                </c:pt>
                <c:pt idx="22">
                  <c:v>2.0669019920686482</c:v>
                </c:pt>
                <c:pt idx="23">
                  <c:v>2.0601558742140869</c:v>
                </c:pt>
                <c:pt idx="24">
                  <c:v>2.0665071634422105</c:v>
                </c:pt>
                <c:pt idx="25">
                  <c:v>2.1123802816533921</c:v>
                </c:pt>
                <c:pt idx="26">
                  <c:v>2.1147986304419053</c:v>
                </c:pt>
                <c:pt idx="27">
                  <c:v>2.0891713145758883</c:v>
                </c:pt>
                <c:pt idx="28">
                  <c:v>2.0573878813248792</c:v>
                </c:pt>
                <c:pt idx="29">
                  <c:v>2.0331957193255423</c:v>
                </c:pt>
                <c:pt idx="30">
                  <c:v>2.0229092182483033</c:v>
                </c:pt>
                <c:pt idx="31">
                  <c:v>2.0253929428118322</c:v>
                </c:pt>
                <c:pt idx="32">
                  <c:v>2.0348225722849556</c:v>
                </c:pt>
                <c:pt idx="33">
                  <c:v>2.0445087458666578</c:v>
                </c:pt>
                <c:pt idx="34">
                  <c:v>2.0498016538274877</c:v>
                </c:pt>
                <c:pt idx="35">
                  <c:v>2.0494476428282837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352.41218830000003</c:v>
                </c:pt>
                <c:pt idx="1">
                  <c:v>354.24761139999998</c:v>
                </c:pt>
                <c:pt idx="2">
                  <c:v>356.16947119999998</c:v>
                </c:pt>
                <c:pt idx="3">
                  <c:v>358.45450449999998</c:v>
                </c:pt>
                <c:pt idx="4">
                  <c:v>361.24571070000002</c:v>
                </c:pt>
                <c:pt idx="5">
                  <c:v>364.62746499999997</c:v>
                </c:pt>
                <c:pt idx="6">
                  <c:v>368.14126379999999</c:v>
                </c:pt>
                <c:pt idx="7">
                  <c:v>372.16778249999999</c:v>
                </c:pt>
                <c:pt idx="8">
                  <c:v>376.57082320000001</c:v>
                </c:pt>
                <c:pt idx="9">
                  <c:v>381.18904270000002</c:v>
                </c:pt>
                <c:pt idx="10">
                  <c:v>386.50365190000002</c:v>
                </c:pt>
                <c:pt idx="11">
                  <c:v>391.25512620000001</c:v>
                </c:pt>
                <c:pt idx="12">
                  <c:v>396.04449039999997</c:v>
                </c:pt>
                <c:pt idx="13">
                  <c:v>400.90188590000002</c:v>
                </c:pt>
                <c:pt idx="14">
                  <c:v>405.74885330000001</c:v>
                </c:pt>
                <c:pt idx="15">
                  <c:v>410.51323380000002</c:v>
                </c:pt>
                <c:pt idx="16">
                  <c:v>415.15422080000002</c:v>
                </c:pt>
                <c:pt idx="17">
                  <c:v>419.66554239999999</c:v>
                </c:pt>
                <c:pt idx="18">
                  <c:v>424.06933739999999</c:v>
                </c:pt>
                <c:pt idx="19">
                  <c:v>428.40440189999998</c:v>
                </c:pt>
                <c:pt idx="20">
                  <c:v>432.2699935</c:v>
                </c:pt>
                <c:pt idx="21">
                  <c:v>436.58415710000003</c:v>
                </c:pt>
                <c:pt idx="22">
                  <c:v>440.956367</c:v>
                </c:pt>
                <c:pt idx="23">
                  <c:v>445.34216249999997</c:v>
                </c:pt>
                <c:pt idx="24">
                  <c:v>449.77159510000001</c:v>
                </c:pt>
                <c:pt idx="25">
                  <c:v>452.9192281</c:v>
                </c:pt>
                <c:pt idx="26">
                  <c:v>456.96169400000002</c:v>
                </c:pt>
                <c:pt idx="27">
                  <c:v>461.12640679999998</c:v>
                </c:pt>
                <c:pt idx="28">
                  <c:v>465.25422650000002</c:v>
                </c:pt>
                <c:pt idx="29">
                  <c:v>469.35654019999998</c:v>
                </c:pt>
                <c:pt idx="30">
                  <c:v>473.47183790000003</c:v>
                </c:pt>
                <c:pt idx="31">
                  <c:v>477.62833360000002</c:v>
                </c:pt>
                <c:pt idx="32">
                  <c:v>481.83523589999999</c:v>
                </c:pt>
                <c:pt idx="33">
                  <c:v>486.08479290000002</c:v>
                </c:pt>
                <c:pt idx="34">
                  <c:v>490.35966459999997</c:v>
                </c:pt>
                <c:pt idx="35">
                  <c:v>494.64095370000001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352.41218830000003</c:v>
                </c:pt>
                <c:pt idx="1">
                  <c:v>354.24761139999998</c:v>
                </c:pt>
                <c:pt idx="2">
                  <c:v>356.16947119999998</c:v>
                </c:pt>
                <c:pt idx="3">
                  <c:v>358.45450449999998</c:v>
                </c:pt>
                <c:pt idx="4">
                  <c:v>361.24571070000002</c:v>
                </c:pt>
                <c:pt idx="5">
                  <c:v>364.62746499999997</c:v>
                </c:pt>
                <c:pt idx="6">
                  <c:v>370.24318670000002</c:v>
                </c:pt>
                <c:pt idx="7">
                  <c:v>374.72444200000001</c:v>
                </c:pt>
                <c:pt idx="8">
                  <c:v>379.23045960000002</c:v>
                </c:pt>
                <c:pt idx="9">
                  <c:v>383.70972360000002</c:v>
                </c:pt>
                <c:pt idx="10">
                  <c:v>388.64349340000001</c:v>
                </c:pt>
                <c:pt idx="11">
                  <c:v>392.8087008</c:v>
                </c:pt>
                <c:pt idx="12">
                  <c:v>396.91592279999998</c:v>
                </c:pt>
                <c:pt idx="13">
                  <c:v>401.12616530000003</c:v>
                </c:pt>
                <c:pt idx="14">
                  <c:v>405.47076299999998</c:v>
                </c:pt>
                <c:pt idx="15">
                  <c:v>409.93689230000001</c:v>
                </c:pt>
                <c:pt idx="16">
                  <c:v>414.49784890000001</c:v>
                </c:pt>
                <c:pt idx="17">
                  <c:v>419.12616860000003</c:v>
                </c:pt>
                <c:pt idx="18">
                  <c:v>423.80379790000001</c:v>
                </c:pt>
                <c:pt idx="19">
                  <c:v>428.52651580000003</c:v>
                </c:pt>
                <c:pt idx="20">
                  <c:v>432.85288329999997</c:v>
                </c:pt>
                <c:pt idx="21">
                  <c:v>437.69295870000002</c:v>
                </c:pt>
                <c:pt idx="22">
                  <c:v>442.63142290000002</c:v>
                </c:pt>
                <c:pt idx="23">
                  <c:v>447.60977320000001</c:v>
                </c:pt>
                <c:pt idx="24">
                  <c:v>452.6446176</c:v>
                </c:pt>
                <c:pt idx="25">
                  <c:v>456.38521379999997</c:v>
                </c:pt>
                <c:pt idx="26">
                  <c:v>461.0124611</c:v>
                </c:pt>
                <c:pt idx="27">
                  <c:v>465.73331619999999</c:v>
                </c:pt>
                <c:pt idx="28">
                  <c:v>470.38190020000002</c:v>
                </c:pt>
                <c:pt idx="29">
                  <c:v>474.97171500000002</c:v>
                </c:pt>
                <c:pt idx="30">
                  <c:v>479.55015550000002</c:v>
                </c:pt>
                <c:pt idx="31">
                  <c:v>484.15870169999999</c:v>
                </c:pt>
                <c:pt idx="32">
                  <c:v>488.82144479999999</c:v>
                </c:pt>
                <c:pt idx="33">
                  <c:v>493.54380079999999</c:v>
                </c:pt>
                <c:pt idx="34">
                  <c:v>498.31893500000001</c:v>
                </c:pt>
                <c:pt idx="35">
                  <c:v>503.13584420000001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115.311927</c:v>
                </c:pt>
                <c:pt idx="1">
                  <c:v>115.0300843</c:v>
                </c:pt>
                <c:pt idx="2">
                  <c:v>114.427746</c:v>
                </c:pt>
                <c:pt idx="3">
                  <c:v>113.93245109999999</c:v>
                </c:pt>
                <c:pt idx="4">
                  <c:v>113.63229219999999</c:v>
                </c:pt>
                <c:pt idx="5">
                  <c:v>113.5051517</c:v>
                </c:pt>
                <c:pt idx="6">
                  <c:v>113.48489170000001</c:v>
                </c:pt>
                <c:pt idx="7">
                  <c:v>113.54389399999999</c:v>
                </c:pt>
                <c:pt idx="8">
                  <c:v>113.6616223</c:v>
                </c:pt>
                <c:pt idx="9">
                  <c:v>113.8242544</c:v>
                </c:pt>
                <c:pt idx="10">
                  <c:v>114.0567199</c:v>
                </c:pt>
                <c:pt idx="11">
                  <c:v>114.3000109</c:v>
                </c:pt>
                <c:pt idx="12">
                  <c:v>114.5513425</c:v>
                </c:pt>
                <c:pt idx="13">
                  <c:v>114.8052474</c:v>
                </c:pt>
                <c:pt idx="14">
                  <c:v>115.0564813</c:v>
                </c:pt>
                <c:pt idx="15">
                  <c:v>115.30138359999999</c:v>
                </c:pt>
                <c:pt idx="16">
                  <c:v>115.5368744</c:v>
                </c:pt>
                <c:pt idx="17">
                  <c:v>115.759496</c:v>
                </c:pt>
                <c:pt idx="18">
                  <c:v>115.96493890000001</c:v>
                </c:pt>
                <c:pt idx="19">
                  <c:v>116.1481256</c:v>
                </c:pt>
                <c:pt idx="20">
                  <c:v>116.2791117</c:v>
                </c:pt>
                <c:pt idx="21">
                  <c:v>116.38684170000001</c:v>
                </c:pt>
                <c:pt idx="22">
                  <c:v>116.4630131</c:v>
                </c:pt>
                <c:pt idx="23">
                  <c:v>116.5018319</c:v>
                </c:pt>
                <c:pt idx="24">
                  <c:v>116.4987577</c:v>
                </c:pt>
                <c:pt idx="25">
                  <c:v>116.38260990000001</c:v>
                </c:pt>
                <c:pt idx="26">
                  <c:v>116.21386219999999</c:v>
                </c:pt>
                <c:pt idx="27">
                  <c:v>115.99269649999999</c:v>
                </c:pt>
                <c:pt idx="28">
                  <c:v>115.718941</c:v>
                </c:pt>
                <c:pt idx="29">
                  <c:v>115.3915492</c:v>
                </c:pt>
                <c:pt idx="30">
                  <c:v>115.00892159999999</c:v>
                </c:pt>
                <c:pt idx="31">
                  <c:v>114.5695656</c:v>
                </c:pt>
                <c:pt idx="32">
                  <c:v>114.07260789999999</c:v>
                </c:pt>
                <c:pt idx="33">
                  <c:v>113.5179651</c:v>
                </c:pt>
                <c:pt idx="34">
                  <c:v>112.9061992</c:v>
                </c:pt>
                <c:pt idx="35">
                  <c:v>112.2382111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115.311927</c:v>
                </c:pt>
                <c:pt idx="1">
                  <c:v>115.0300843</c:v>
                </c:pt>
                <c:pt idx="2">
                  <c:v>114.427746</c:v>
                </c:pt>
                <c:pt idx="3">
                  <c:v>113.93245109999999</c:v>
                </c:pt>
                <c:pt idx="4">
                  <c:v>113.63229219999999</c:v>
                </c:pt>
                <c:pt idx="5">
                  <c:v>113.5051517</c:v>
                </c:pt>
                <c:pt idx="6">
                  <c:v>113.4853231</c:v>
                </c:pt>
                <c:pt idx="7">
                  <c:v>113.5537046</c:v>
                </c:pt>
                <c:pt idx="8">
                  <c:v>113.6910029</c:v>
                </c:pt>
                <c:pt idx="9">
                  <c:v>113.89423290000001</c:v>
                </c:pt>
                <c:pt idx="10">
                  <c:v>114.200812</c:v>
                </c:pt>
                <c:pt idx="11">
                  <c:v>114.53586079999999</c:v>
                </c:pt>
                <c:pt idx="12">
                  <c:v>114.89711339999999</c:v>
                </c:pt>
                <c:pt idx="13">
                  <c:v>115.281019</c:v>
                </c:pt>
                <c:pt idx="14">
                  <c:v>115.6816503</c:v>
                </c:pt>
                <c:pt idx="15">
                  <c:v>116.09269500000001</c:v>
                </c:pt>
                <c:pt idx="16">
                  <c:v>116.50835789999999</c:v>
                </c:pt>
                <c:pt idx="17">
                  <c:v>116.9236215</c:v>
                </c:pt>
                <c:pt idx="18">
                  <c:v>117.33382330000001</c:v>
                </c:pt>
                <c:pt idx="19">
                  <c:v>117.7342518</c:v>
                </c:pt>
                <c:pt idx="20">
                  <c:v>118.09521169999999</c:v>
                </c:pt>
                <c:pt idx="21">
                  <c:v>118.4462685</c:v>
                </c:pt>
                <c:pt idx="22">
                  <c:v>118.77980839999999</c:v>
                </c:pt>
                <c:pt idx="23">
                  <c:v>119.0909535</c:v>
                </c:pt>
                <c:pt idx="24">
                  <c:v>119.37646700000001</c:v>
                </c:pt>
                <c:pt idx="25">
                  <c:v>119.5647654</c:v>
                </c:pt>
                <c:pt idx="26">
                  <c:v>119.71941630000001</c:v>
                </c:pt>
                <c:pt idx="27">
                  <c:v>119.8435121</c:v>
                </c:pt>
                <c:pt idx="28">
                  <c:v>119.9393706</c:v>
                </c:pt>
                <c:pt idx="29">
                  <c:v>120.0076534</c:v>
                </c:pt>
                <c:pt idx="30">
                  <c:v>120.0475886</c:v>
                </c:pt>
                <c:pt idx="31">
                  <c:v>120.0577208</c:v>
                </c:pt>
                <c:pt idx="32">
                  <c:v>120.0365999</c:v>
                </c:pt>
                <c:pt idx="33">
                  <c:v>119.983115</c:v>
                </c:pt>
                <c:pt idx="34">
                  <c:v>119.89644149999999</c:v>
                </c:pt>
                <c:pt idx="35">
                  <c:v>119.7757531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237.100261214</c:v>
                      </c:pt>
                      <c:pt idx="1">
                        <c:v>239.21752708999998</c:v>
                      </c:pt>
                      <c:pt idx="2">
                        <c:v>241.74172519000001</c:v>
                      </c:pt>
                      <c:pt idx="3">
                        <c:v>244.52205333999999</c:v>
                      </c:pt>
                      <c:pt idx="4">
                        <c:v>247.61341849999999</c:v>
                      </c:pt>
                      <c:pt idx="5">
                        <c:v>251.12231323899999</c:v>
                      </c:pt>
                      <c:pt idx="6">
                        <c:v>256.757863665</c:v>
                      </c:pt>
                      <c:pt idx="7">
                        <c:v>261.17073741499996</c:v>
                      </c:pt>
                      <c:pt idx="8">
                        <c:v>265.539456728</c:v>
                      </c:pt>
                      <c:pt idx="9">
                        <c:v>269.81549067000003</c:v>
                      </c:pt>
                      <c:pt idx="10">
                        <c:v>274.44268139000002</c:v>
                      </c:pt>
                      <c:pt idx="11">
                        <c:v>278.27283997199999</c:v>
                      </c:pt>
                      <c:pt idx="12">
                        <c:v>282.01880940400002</c:v>
                      </c:pt>
                      <c:pt idx="13">
                        <c:v>285.84514620900001</c:v>
                      </c:pt>
                      <c:pt idx="14">
                        <c:v>289.78911263600003</c:v>
                      </c:pt>
                      <c:pt idx="15">
                        <c:v>293.84419729799998</c:v>
                      </c:pt>
                      <c:pt idx="16">
                        <c:v>297.98949101199997</c:v>
                      </c:pt>
                      <c:pt idx="17">
                        <c:v>302.20254712999997</c:v>
                      </c:pt>
                      <c:pt idx="18">
                        <c:v>306.46997458000004</c:v>
                      </c:pt>
                      <c:pt idx="19">
                        <c:v>310.79226394599999</c:v>
                      </c:pt>
                      <c:pt idx="20">
                        <c:v>314.757671571</c:v>
                      </c:pt>
                      <c:pt idx="21">
                        <c:v>319.24669019300001</c:v>
                      </c:pt>
                      <c:pt idx="22">
                        <c:v>323.85161458100004</c:v>
                      </c:pt>
                      <c:pt idx="23">
                        <c:v>328.51881969100003</c:v>
                      </c:pt>
                      <c:pt idx="24">
                        <c:v>333.26815061799994</c:v>
                      </c:pt>
                      <c:pt idx="25">
                        <c:v>336.82044843799997</c:v>
                      </c:pt>
                      <c:pt idx="26">
                        <c:v>341.293044882</c:v>
                      </c:pt>
                      <c:pt idx="27">
                        <c:v>345.88980403199997</c:v>
                      </c:pt>
                      <c:pt idx="28">
                        <c:v>350.44252962799999</c:v>
                      </c:pt>
                      <c:pt idx="29">
                        <c:v>354.96406162000005</c:v>
                      </c:pt>
                      <c:pt idx="30">
                        <c:v>359.50256687299998</c:v>
                      </c:pt>
                      <c:pt idx="31">
                        <c:v>364.10098092499999</c:v>
                      </c:pt>
                      <c:pt idx="32">
                        <c:v>368.78484491900002</c:v>
                      </c:pt>
                      <c:pt idx="33">
                        <c:v>373.56068580399995</c:v>
                      </c:pt>
                      <c:pt idx="34">
                        <c:v>378.42249345900001</c:v>
                      </c:pt>
                      <c:pt idx="35">
                        <c:v>383.36009109700001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237.100261214</c:v>
                      </c:pt>
                      <c:pt idx="1">
                        <c:v>239.21752708999998</c:v>
                      </c:pt>
                      <c:pt idx="2">
                        <c:v>241.74172519000001</c:v>
                      </c:pt>
                      <c:pt idx="3">
                        <c:v>244.52205333999999</c:v>
                      </c:pt>
                      <c:pt idx="4">
                        <c:v>247.61341849999999</c:v>
                      </c:pt>
                      <c:pt idx="5">
                        <c:v>251.12231323899999</c:v>
                      </c:pt>
                      <c:pt idx="6">
                        <c:v>254.65637213400001</c:v>
                      </c:pt>
                      <c:pt idx="7">
                        <c:v>258.62388848199998</c:v>
                      </c:pt>
                      <c:pt idx="8">
                        <c:v>262.90920090999998</c:v>
                      </c:pt>
                      <c:pt idx="9">
                        <c:v>267.36478824900001</c:v>
                      </c:pt>
                      <c:pt idx="10">
                        <c:v>272.44693201400003</c:v>
                      </c:pt>
                      <c:pt idx="11">
                        <c:v>276.95511528399999</c:v>
                      </c:pt>
                      <c:pt idx="12">
                        <c:v>281.49314784400002</c:v>
                      </c:pt>
                      <c:pt idx="13">
                        <c:v>286.09663859800003</c:v>
                      </c:pt>
                      <c:pt idx="14">
                        <c:v>290.69237201599998</c:v>
                      </c:pt>
                      <c:pt idx="15">
                        <c:v>295.21185013299998</c:v>
                      </c:pt>
                      <c:pt idx="16">
                        <c:v>299.61734646600001</c:v>
                      </c:pt>
                      <c:pt idx="17">
                        <c:v>303.90604644500002</c:v>
                      </c:pt>
                      <c:pt idx="18">
                        <c:v>308.10439842900001</c:v>
                      </c:pt>
                      <c:pt idx="19">
                        <c:v>312.25627628299998</c:v>
                      </c:pt>
                      <c:pt idx="20">
                        <c:v>315.99088186400002</c:v>
                      </c:pt>
                      <c:pt idx="21">
                        <c:v>320.197315532</c:v>
                      </c:pt>
                      <c:pt idx="22">
                        <c:v>324.49335396799995</c:v>
                      </c:pt>
                      <c:pt idx="23">
                        <c:v>328.84033055300006</c:v>
                      </c:pt>
                      <c:pt idx="24">
                        <c:v>333.27283742500003</c:v>
                      </c:pt>
                      <c:pt idx="25">
                        <c:v>336.53661829499998</c:v>
                      </c:pt>
                      <c:pt idx="26">
                        <c:v>340.74783182900001</c:v>
                      </c:pt>
                      <c:pt idx="27">
                        <c:v>345.13371022200005</c:v>
                      </c:pt>
                      <c:pt idx="28">
                        <c:v>349.53528547799999</c:v>
                      </c:pt>
                      <c:pt idx="29">
                        <c:v>353.96499104100002</c:v>
                      </c:pt>
                      <c:pt idx="30">
                        <c:v>358.46291623699994</c:v>
                      </c:pt>
                      <c:pt idx="31">
                        <c:v>363.05876795</c:v>
                      </c:pt>
                      <c:pt idx="32">
                        <c:v>367.76262796100002</c:v>
                      </c:pt>
                      <c:pt idx="33">
                        <c:v>372.56682785699996</c:v>
                      </c:pt>
                      <c:pt idx="34">
                        <c:v>377.45346532100001</c:v>
                      </c:pt>
                      <c:pt idx="35">
                        <c:v>382.402742574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8457713027791363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Données!$B$627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Données!$C$627:$AL$627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2.246868859513446E-4</c:v>
                </c:pt>
                <c:pt idx="7">
                  <c:v>3.7592664965184166E-4</c:v>
                </c:pt>
                <c:pt idx="8">
                  <c:v>5.081165784542646E-4</c:v>
                </c:pt>
                <c:pt idx="9">
                  <c:v>6.2939563476040964E-4</c:v>
                </c:pt>
                <c:pt idx="10">
                  <c:v>7.3786391536333001E-4</c:v>
                </c:pt>
                <c:pt idx="11">
                  <c:v>8.3137707893095108E-4</c:v>
                </c:pt>
                <c:pt idx="12">
                  <c:v>9.1109025291344749E-4</c:v>
                </c:pt>
                <c:pt idx="13">
                  <c:v>9.7588103516598856E-4</c:v>
                </c:pt>
                <c:pt idx="14">
                  <c:v>1.0220283510057645E-3</c:v>
                </c:pt>
                <c:pt idx="15">
                  <c:v>1.0446854564937064E-3</c:v>
                </c:pt>
                <c:pt idx="16">
                  <c:v>1.0409422884099107E-3</c:v>
                </c:pt>
                <c:pt idx="17">
                  <c:v>1.0115621778504307E-3</c:v>
                </c:pt>
                <c:pt idx="18">
                  <c:v>9.6117570913438141E-4</c:v>
                </c:pt>
                <c:pt idx="19">
                  <c:v>8.9719755684945042E-4</c:v>
                </c:pt>
                <c:pt idx="20">
                  <c:v>8.2749258525851091E-4</c:v>
                </c:pt>
                <c:pt idx="21">
                  <c:v>7.6147052783430696E-4</c:v>
                </c:pt>
                <c:pt idx="22">
                  <c:v>7.0404198747755174E-4</c:v>
                </c:pt>
                <c:pt idx="23">
                  <c:v>6.5839183351732572E-4</c:v>
                </c:pt>
                <c:pt idx="24">
                  <c:v>6.2554723554719238E-4</c:v>
                </c:pt>
                <c:pt idx="25">
                  <c:v>6.0378893421518759E-4</c:v>
                </c:pt>
                <c:pt idx="26">
                  <c:v>5.9322209471622197E-4</c:v>
                </c:pt>
                <c:pt idx="27">
                  <c:v>5.9106290298218008E-4</c:v>
                </c:pt>
                <c:pt idx="28">
                  <c:v>5.9503257469917682E-4</c:v>
                </c:pt>
                <c:pt idx="29">
                  <c:v>6.0310860429367043E-4</c:v>
                </c:pt>
                <c:pt idx="30">
                  <c:v>6.1332125424591328E-4</c:v>
                </c:pt>
                <c:pt idx="31">
                  <c:v>6.2372776719507833E-4</c:v>
                </c:pt>
                <c:pt idx="32">
                  <c:v>6.3251789239862448E-4</c:v>
                </c:pt>
                <c:pt idx="33">
                  <c:v>6.3811120509979003E-4</c:v>
                </c:pt>
                <c:pt idx="34">
                  <c:v>6.3934331349522317E-4</c:v>
                </c:pt>
                <c:pt idx="35">
                  <c:v>6.3564071202363822E-4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Données!$B$628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Données!$C$628:$AL$628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1.5017523201394791E-4</c:v>
                </c:pt>
                <c:pt idx="7">
                  <c:v>5.8593657240518251E-4</c:v>
                </c:pt>
                <c:pt idx="8">
                  <c:v>1.1561502290811912E-3</c:v>
                </c:pt>
                <c:pt idx="9">
                  <c:v>1.7362707139759888E-3</c:v>
                </c:pt>
                <c:pt idx="10">
                  <c:v>2.2455055137855168E-3</c:v>
                </c:pt>
                <c:pt idx="11">
                  <c:v>2.646637710803501E-3</c:v>
                </c:pt>
                <c:pt idx="12">
                  <c:v>2.9646918489523257E-3</c:v>
                </c:pt>
                <c:pt idx="13">
                  <c:v>3.2495717142102831E-3</c:v>
                </c:pt>
                <c:pt idx="14">
                  <c:v>3.549184326795738E-3</c:v>
                </c:pt>
                <c:pt idx="15">
                  <c:v>3.8950945929881763E-3</c:v>
                </c:pt>
                <c:pt idx="16">
                  <c:v>4.2989021409036267E-3</c:v>
                </c:pt>
                <c:pt idx="17">
                  <c:v>4.7575771210943999E-3</c:v>
                </c:pt>
                <c:pt idx="18">
                  <c:v>5.2621977968902271E-3</c:v>
                </c:pt>
                <c:pt idx="19">
                  <c:v>5.8057274583438187E-3</c:v>
                </c:pt>
                <c:pt idx="20">
                  <c:v>6.3850377105320122E-3</c:v>
                </c:pt>
                <c:pt idx="21">
                  <c:v>7.0108095930992206E-3</c:v>
                </c:pt>
                <c:pt idx="22">
                  <c:v>7.6871918153883839E-3</c:v>
                </c:pt>
                <c:pt idx="23">
                  <c:v>8.4215722501746314E-3</c:v>
                </c:pt>
                <c:pt idx="24">
                  <c:v>9.2177368377864503E-3</c:v>
                </c:pt>
                <c:pt idx="25">
                  <c:v>1.0081688426951105E-2</c:v>
                </c:pt>
                <c:pt idx="26">
                  <c:v>1.1000209614249756E-2</c:v>
                </c:pt>
                <c:pt idx="27">
                  <c:v>1.1969879588404522E-2</c:v>
                </c:pt>
                <c:pt idx="28">
                  <c:v>1.2987146410057564E-2</c:v>
                </c:pt>
                <c:pt idx="29">
                  <c:v>1.4047022958101046E-2</c:v>
                </c:pt>
                <c:pt idx="30">
                  <c:v>1.5144588638653575E-2</c:v>
                </c:pt>
                <c:pt idx="31">
                  <c:v>1.6275571325247359E-2</c:v>
                </c:pt>
                <c:pt idx="32">
                  <c:v>1.7436482183552052E-2</c:v>
                </c:pt>
                <c:pt idx="33">
                  <c:v>1.8624581467182925E-2</c:v>
                </c:pt>
                <c:pt idx="34">
                  <c:v>1.9837511497382429E-2</c:v>
                </c:pt>
                <c:pt idx="35">
                  <c:v>2.1072927471058458E-2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Données!$B$629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Données!$C$629:$AL$629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9.6135745048607919E-5</c:v>
                </c:pt>
                <c:pt idx="7">
                  <c:v>4.8052005217082003E-4</c:v>
                </c:pt>
                <c:pt idx="8">
                  <c:v>9.821120539403518E-4</c:v>
                </c:pt>
                <c:pt idx="9">
                  <c:v>1.447087982376383E-3</c:v>
                </c:pt>
                <c:pt idx="10">
                  <c:v>1.7691767734513096E-3</c:v>
                </c:pt>
                <c:pt idx="11">
                  <c:v>1.9018988952041981E-3</c:v>
                </c:pt>
                <c:pt idx="12">
                  <c:v>1.8659038160173335E-3</c:v>
                </c:pt>
                <c:pt idx="13">
                  <c:v>1.7215148747853834E-3</c:v>
                </c:pt>
                <c:pt idx="14">
                  <c:v>1.5299494415694787E-3</c:v>
                </c:pt>
                <c:pt idx="15">
                  <c:v>1.3308568662306569E-3</c:v>
                </c:pt>
                <c:pt idx="16">
                  <c:v>1.1395765383993743E-3</c:v>
                </c:pt>
                <c:pt idx="17">
                  <c:v>9.5485642183741832E-4</c:v>
                </c:pt>
                <c:pt idx="18">
                  <c:v>7.7003871536142582E-4</c:v>
                </c:pt>
                <c:pt idx="19">
                  <c:v>5.8219671375114E-4</c:v>
                </c:pt>
                <c:pt idx="20">
                  <c:v>3.9237948392225431E-4</c:v>
                </c:pt>
                <c:pt idx="21">
                  <c:v>2.203933828905396E-4</c:v>
                </c:pt>
                <c:pt idx="22">
                  <c:v>7.4013410584946966E-5</c:v>
                </c:pt>
                <c:pt idx="23">
                  <c:v>-3.7909179801456532E-5</c:v>
                </c:pt>
                <c:pt idx="24">
                  <c:v>-1.1153575158799488E-4</c:v>
                </c:pt>
                <c:pt idx="25">
                  <c:v>-1.5490128627899775E-4</c:v>
                </c:pt>
                <c:pt idx="26">
                  <c:v>-1.655639548565496E-4</c:v>
                </c:pt>
                <c:pt idx="27">
                  <c:v>-1.59763501696542E-4</c:v>
                </c:pt>
                <c:pt idx="28">
                  <c:v>-1.4924017539829558E-4</c:v>
                </c:pt>
                <c:pt idx="29">
                  <c:v>-1.4205740418533422E-4</c:v>
                </c:pt>
                <c:pt idx="30">
                  <c:v>-1.4299601433415739E-4</c:v>
                </c:pt>
                <c:pt idx="31">
                  <c:v>-1.5446755928854187E-4</c:v>
                </c:pt>
                <c:pt idx="32">
                  <c:v>-1.7753243296223987E-4</c:v>
                </c:pt>
                <c:pt idx="33">
                  <c:v>-2.1252930147382977E-4</c:v>
                </c:pt>
                <c:pt idx="34">
                  <c:v>-2.5942251871561054E-4</c:v>
                </c:pt>
                <c:pt idx="35">
                  <c:v>-3.1785171842406667E-4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Données!$B$630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Données!$C$630:$AL$630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2.0404098989082359E-4</c:v>
                </c:pt>
                <c:pt idx="7">
                  <c:v>-2.0558808204863112E-3</c:v>
                </c:pt>
                <c:pt idx="8">
                  <c:v>-6.1217309797668333E-3</c:v>
                </c:pt>
                <c:pt idx="9">
                  <c:v>-1.1426003586170548E-2</c:v>
                </c:pt>
                <c:pt idx="10">
                  <c:v>-1.7412161715722612E-2</c:v>
                </c:pt>
                <c:pt idx="11">
                  <c:v>-2.3510607494880834E-2</c:v>
                </c:pt>
                <c:pt idx="12">
                  <c:v>-2.9141036106543349E-2</c:v>
                </c:pt>
                <c:pt idx="13">
                  <c:v>-3.3815328750489204E-2</c:v>
                </c:pt>
                <c:pt idx="14">
                  <c:v>-3.7206366702391303E-2</c:v>
                </c:pt>
                <c:pt idx="15">
                  <c:v>-3.9237954626129258E-2</c:v>
                </c:pt>
                <c:pt idx="16">
                  <c:v>-3.9968161191380289E-2</c:v>
                </c:pt>
                <c:pt idx="17">
                  <c:v>-3.9576979026337035E-2</c:v>
                </c:pt>
                <c:pt idx="18">
                  <c:v>-3.8326105966061431E-2</c:v>
                </c:pt>
                <c:pt idx="19">
                  <c:v>-3.6509070262351694E-2</c:v>
                </c:pt>
                <c:pt idx="20">
                  <c:v>-3.441664221095582E-2</c:v>
                </c:pt>
                <c:pt idx="21">
                  <c:v>-3.2230430511991016E-2</c:v>
                </c:pt>
                <c:pt idx="22">
                  <c:v>-3.0160411799639426E-2</c:v>
                </c:pt>
                <c:pt idx="23">
                  <c:v>-2.8355199247524901E-2</c:v>
                </c:pt>
                <c:pt idx="24">
                  <c:v>-2.6919746332104179E-2</c:v>
                </c:pt>
                <c:pt idx="25">
                  <c:v>-2.594711608078595E-2</c:v>
                </c:pt>
                <c:pt idx="26">
                  <c:v>-2.5406918711830873E-2</c:v>
                </c:pt>
                <c:pt idx="27">
                  <c:v>-2.5315302832237496E-2</c:v>
                </c:pt>
                <c:pt idx="28">
                  <c:v>-2.5633006855652493E-2</c:v>
                </c:pt>
                <c:pt idx="29">
                  <c:v>-2.6286418176227087E-2</c:v>
                </c:pt>
                <c:pt idx="30">
                  <c:v>-2.7181641071455553E-2</c:v>
                </c:pt>
                <c:pt idx="31">
                  <c:v>-2.8213395305793611E-2</c:v>
                </c:pt>
                <c:pt idx="32">
                  <c:v>-2.9275587328838594E-2</c:v>
                </c:pt>
                <c:pt idx="33">
                  <c:v>-3.0281111897194554E-2</c:v>
                </c:pt>
                <c:pt idx="34">
                  <c:v>-3.1162285825463095E-2</c:v>
                </c:pt>
                <c:pt idx="35">
                  <c:v>-3.186749098487697E-2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Données!$B$631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Données!$C$631:$AL$631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8.7722035827333489E-5</c:v>
                </c:pt>
                <c:pt idx="7">
                  <c:v>1.6976365575380116E-5</c:v>
                </c:pt>
                <c:pt idx="8">
                  <c:v>-2.1614982817231274E-4</c:v>
                </c:pt>
                <c:pt idx="9">
                  <c:v>-6.2406730298295639E-4</c:v>
                </c:pt>
                <c:pt idx="10">
                  <c:v>-1.1967375703794822E-3</c:v>
                </c:pt>
                <c:pt idx="11">
                  <c:v>-1.8975664239072446E-3</c:v>
                </c:pt>
                <c:pt idx="12">
                  <c:v>-2.6397856130803208E-3</c:v>
                </c:pt>
                <c:pt idx="13">
                  <c:v>-3.3246913611563824E-3</c:v>
                </c:pt>
                <c:pt idx="14">
                  <c:v>-3.8717957438730083E-3</c:v>
                </c:pt>
                <c:pt idx="15">
                  <c:v>-4.2410902689452986E-3</c:v>
                </c:pt>
                <c:pt idx="16">
                  <c:v>-4.42565314288815E-3</c:v>
                </c:pt>
                <c:pt idx="17">
                  <c:v>-4.446574388801033E-3</c:v>
                </c:pt>
                <c:pt idx="18">
                  <c:v>-4.3417841776583841E-3</c:v>
                </c:pt>
                <c:pt idx="19">
                  <c:v>-4.1538446686194934E-3</c:v>
                </c:pt>
                <c:pt idx="20">
                  <c:v>-3.9240948384785534E-3</c:v>
                </c:pt>
                <c:pt idx="21">
                  <c:v>-3.6693279318363707E-3</c:v>
                </c:pt>
                <c:pt idx="22">
                  <c:v>-3.4163260245016233E-3</c:v>
                </c:pt>
                <c:pt idx="23">
                  <c:v>-3.1805239960636294E-3</c:v>
                </c:pt>
                <c:pt idx="24">
                  <c:v>-2.9732253150149155E-3</c:v>
                </c:pt>
                <c:pt idx="25">
                  <c:v>-2.8095699468502107E-3</c:v>
                </c:pt>
                <c:pt idx="26">
                  <c:v>-2.6829678451253803E-3</c:v>
                </c:pt>
                <c:pt idx="27">
                  <c:v>-2.6039911668638404E-3</c:v>
                </c:pt>
                <c:pt idx="28">
                  <c:v>-2.5733071200898404E-3</c:v>
                </c:pt>
                <c:pt idx="29">
                  <c:v>-2.5858237824934621E-3</c:v>
                </c:pt>
                <c:pt idx="30">
                  <c:v>-2.6323977347799481E-3</c:v>
                </c:pt>
                <c:pt idx="31">
                  <c:v>-2.7012268915170634E-3</c:v>
                </c:pt>
                <c:pt idx="32">
                  <c:v>-2.7796086185567881E-3</c:v>
                </c:pt>
                <c:pt idx="33">
                  <c:v>-2.856698665058709E-3</c:v>
                </c:pt>
                <c:pt idx="34">
                  <c:v>-2.9238451538832733E-3</c:v>
                </c:pt>
                <c:pt idx="35">
                  <c:v>-2.9742837845572801E-3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Données!$B$626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Données!$C$625:$AL$625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Données!$C$626:$AL$626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7.6276113176332316E-4</c:v>
                </c:pt>
                <c:pt idx="7">
                  <c:v>-5.9652132592502571E-4</c:v>
                </c:pt>
                <c:pt idx="8">
                  <c:v>-3.6915018841718883E-3</c:v>
                </c:pt>
                <c:pt idx="9">
                  <c:v>-8.2373163798986626E-3</c:v>
                </c:pt>
                <c:pt idx="10">
                  <c:v>-1.3856353204573679E-2</c:v>
                </c:pt>
                <c:pt idx="11">
                  <c:v>-2.0028260066619397E-2</c:v>
                </c:pt>
                <c:pt idx="12">
                  <c:v>-2.6039136249795924E-2</c:v>
                </c:pt>
                <c:pt idx="13">
                  <c:v>-3.1193052330288351E-2</c:v>
                </c:pt>
                <c:pt idx="14">
                  <c:v>-3.4977000764127242E-2</c:v>
                </c:pt>
                <c:pt idx="15">
                  <c:v>-3.7208407740413563E-2</c:v>
                </c:pt>
                <c:pt idx="16">
                  <c:v>-3.79143933496634E-2</c:v>
                </c:pt>
                <c:pt idx="17">
                  <c:v>-3.7299557778007197E-2</c:v>
                </c:pt>
                <c:pt idx="18">
                  <c:v>-3.5674477535482918E-2</c:v>
                </c:pt>
                <c:pt idx="19">
                  <c:v>-3.3377793618382445E-2</c:v>
                </c:pt>
                <c:pt idx="20">
                  <c:v>-3.0735827530581128E-2</c:v>
                </c:pt>
                <c:pt idx="21">
                  <c:v>-2.7907084907673241E-2</c:v>
                </c:pt>
                <c:pt idx="22">
                  <c:v>-2.5111490322252683E-2</c:v>
                </c:pt>
                <c:pt idx="23">
                  <c:v>-2.2493668329110261E-2</c:v>
                </c:pt>
                <c:pt idx="24">
                  <c:v>-2.0161223084084856E-2</c:v>
                </c:pt>
                <c:pt idx="25">
                  <c:v>-1.822611001000829E-2</c:v>
                </c:pt>
                <c:pt idx="26">
                  <c:v>-1.666201897313746E-2</c:v>
                </c:pt>
                <c:pt idx="27">
                  <c:v>-1.5518114820161966E-2</c:v>
                </c:pt>
                <c:pt idx="28">
                  <c:v>-1.4773375495960805E-2</c:v>
                </c:pt>
                <c:pt idx="29">
                  <c:v>-1.4364168071969607E-2</c:v>
                </c:pt>
                <c:pt idx="30">
                  <c:v>-1.4199125127039913E-2</c:v>
                </c:pt>
                <c:pt idx="31">
                  <c:v>-1.4169790659214976E-2</c:v>
                </c:pt>
                <c:pt idx="32">
                  <c:v>-1.4163728059423786E-2</c:v>
                </c:pt>
                <c:pt idx="33">
                  <c:v>-1.408764678337493E-2</c:v>
                </c:pt>
                <c:pt idx="34">
                  <c:v>-1.3868698875049157E-2</c:v>
                </c:pt>
                <c:pt idx="35">
                  <c:v>-1.3451058194900223E-2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Données!$B$681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Données!$C$681:$AL$681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2.4077059316594472E-6</c:v>
                </c:pt>
                <c:pt idx="7">
                  <c:v>-7.2126218551828722E-4</c:v>
                </c:pt>
                <c:pt idx="8">
                  <c:v>-1.7382683326049712E-3</c:v>
                </c:pt>
                <c:pt idx="9">
                  <c:v>-2.7705221187794187E-3</c:v>
                </c:pt>
                <c:pt idx="10">
                  <c:v>-3.6433342826635499E-3</c:v>
                </c:pt>
                <c:pt idx="11">
                  <c:v>-4.3596206816830527E-3</c:v>
                </c:pt>
                <c:pt idx="12">
                  <c:v>-4.8622576230349717E-3</c:v>
                </c:pt>
                <c:pt idx="13">
                  <c:v>-5.1056936652295343E-3</c:v>
                </c:pt>
                <c:pt idx="14">
                  <c:v>-5.0782438934531245E-3</c:v>
                </c:pt>
                <c:pt idx="15">
                  <c:v>-4.8668910952354679E-3</c:v>
                </c:pt>
                <c:pt idx="16">
                  <c:v>-4.5296845098584948E-3</c:v>
                </c:pt>
                <c:pt idx="17">
                  <c:v>-4.1128124114669217E-3</c:v>
                </c:pt>
                <c:pt idx="18">
                  <c:v>-3.6565131210531472E-3</c:v>
                </c:pt>
                <c:pt idx="19">
                  <c:v>-3.1954391360605881E-3</c:v>
                </c:pt>
                <c:pt idx="20">
                  <c:v>-2.7505384787672293E-3</c:v>
                </c:pt>
                <c:pt idx="21">
                  <c:v>-2.3150678056832051E-3</c:v>
                </c:pt>
                <c:pt idx="22">
                  <c:v>-1.8919010131332862E-3</c:v>
                </c:pt>
                <c:pt idx="23">
                  <c:v>-1.4832594954066363E-3</c:v>
                </c:pt>
                <c:pt idx="24">
                  <c:v>-1.0885863856814183E-3</c:v>
                </c:pt>
                <c:pt idx="25">
                  <c:v>-7.0603765239165173E-4</c:v>
                </c:pt>
                <c:pt idx="26">
                  <c:v>-3.2649648894845362E-4</c:v>
                </c:pt>
                <c:pt idx="27">
                  <c:v>5.9667317501970214E-5</c:v>
                </c:pt>
                <c:pt idx="28">
                  <c:v>4.6263020544398225E-4</c:v>
                </c:pt>
                <c:pt idx="29">
                  <c:v>8.908249149954464E-4</c:v>
                </c:pt>
                <c:pt idx="30">
                  <c:v>1.3480236306854659E-3</c:v>
                </c:pt>
                <c:pt idx="31">
                  <c:v>1.8374672010634597E-3</c:v>
                </c:pt>
                <c:pt idx="32">
                  <c:v>2.3644221435855468E-3</c:v>
                </c:pt>
                <c:pt idx="33">
                  <c:v>2.9264537575651004E-3</c:v>
                </c:pt>
                <c:pt idx="34">
                  <c:v>3.5204788447659391E-3</c:v>
                </c:pt>
                <c:pt idx="35">
                  <c:v>4.1502999622009141E-3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Données!$B$682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Données!$C$682:$AL$682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1.4826405356063155E-2</c:v>
                </c:pt>
                <c:pt idx="7">
                  <c:v>1.4942556367629966E-2</c:v>
                </c:pt>
                <c:pt idx="8">
                  <c:v>1.1110639656127467E-2</c:v>
                </c:pt>
                <c:pt idx="9">
                  <c:v>5.0455871615114022E-3</c:v>
                </c:pt>
                <c:pt idx="10">
                  <c:v>-2.5903258113509015E-3</c:v>
                </c:pt>
                <c:pt idx="11">
                  <c:v>-1.0957301765361414E-2</c:v>
                </c:pt>
                <c:pt idx="12">
                  <c:v>-1.9095530468898583E-2</c:v>
                </c:pt>
                <c:pt idx="13">
                  <c:v>-2.6089723127733989E-2</c:v>
                </c:pt>
                <c:pt idx="14">
                  <c:v>-3.126275615073567E-2</c:v>
                </c:pt>
                <c:pt idx="15">
                  <c:v>-3.4316022933012565E-2</c:v>
                </c:pt>
                <c:pt idx="16">
                  <c:v>-3.526351237000655E-2</c:v>
                </c:pt>
                <c:pt idx="17">
                  <c:v>-3.4368505951883024E-2</c:v>
                </c:pt>
                <c:pt idx="18">
                  <c:v>-3.2044171502909689E-2</c:v>
                </c:pt>
                <c:pt idx="19">
                  <c:v>-2.8748697877794882E-2</c:v>
                </c:pt>
                <c:pt idx="20">
                  <c:v>-2.4930369046438989E-2</c:v>
                </c:pt>
                <c:pt idx="21">
                  <c:v>-2.0852852649008206E-2</c:v>
                </c:pt>
                <c:pt idx="22">
                  <c:v>-1.6823479924366853E-2</c:v>
                </c:pt>
                <c:pt idx="23">
                  <c:v>-1.3052214209308473E-2</c:v>
                </c:pt>
                <c:pt idx="24">
                  <c:v>-9.696762973542045E-3</c:v>
                </c:pt>
                <c:pt idx="25">
                  <c:v>-6.8980195109973174E-3</c:v>
                </c:pt>
                <c:pt idx="26">
                  <c:v>-4.6605783203491078E-3</c:v>
                </c:pt>
                <c:pt idx="27">
                  <c:v>-3.0335858971505154E-3</c:v>
                </c:pt>
                <c:pt idx="28">
                  <c:v>-1.9841976071382256E-3</c:v>
                </c:pt>
                <c:pt idx="29">
                  <c:v>-1.4227184975224608E-3</c:v>
                </c:pt>
                <c:pt idx="30">
                  <c:v>-1.2188352533827858E-3</c:v>
                </c:pt>
                <c:pt idx="31">
                  <c:v>-1.2202289355474681E-3</c:v>
                </c:pt>
                <c:pt idx="32">
                  <c:v>-1.2728452143013832E-3</c:v>
                </c:pt>
                <c:pt idx="33">
                  <c:v>-1.2445102792831171E-3</c:v>
                </c:pt>
                <c:pt idx="34">
                  <c:v>-1.032961458605977E-3</c:v>
                </c:pt>
                <c:pt idx="35">
                  <c:v>-5.6704399790665275E-4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Données!$B$683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Données!$C$683:$AL$683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-6.8337934057974246E-3</c:v>
                </c:pt>
                <c:pt idx="7">
                  <c:v>-9.0786285872790067E-3</c:v>
                </c:pt>
                <c:pt idx="8">
                  <c:v>-1.0685451910826243E-2</c:v>
                </c:pt>
                <c:pt idx="9">
                  <c:v>-1.2093144616750836E-2</c:v>
                </c:pt>
                <c:pt idx="10">
                  <c:v>-1.3160985099393598E-2</c:v>
                </c:pt>
                <c:pt idx="11">
                  <c:v>-1.3785449353483813E-2</c:v>
                </c:pt>
                <c:pt idx="12">
                  <c:v>-1.4044394214457303E-2</c:v>
                </c:pt>
                <c:pt idx="13">
                  <c:v>-1.4101912630156973E-2</c:v>
                </c:pt>
                <c:pt idx="14">
                  <c:v>-1.4119536492837637E-2</c:v>
                </c:pt>
                <c:pt idx="15">
                  <c:v>-1.4188292775917533E-2</c:v>
                </c:pt>
                <c:pt idx="16">
                  <c:v>-1.4344258400512611E-2</c:v>
                </c:pt>
                <c:pt idx="17">
                  <c:v>-1.4581994205938859E-2</c:v>
                </c:pt>
                <c:pt idx="18">
                  <c:v>-1.4877592624924212E-2</c:v>
                </c:pt>
                <c:pt idx="19">
                  <c:v>-1.5211641599695945E-2</c:v>
                </c:pt>
                <c:pt idx="20">
                  <c:v>-1.5570223052558674E-2</c:v>
                </c:pt>
                <c:pt idx="21">
                  <c:v>-1.6011881076422863E-2</c:v>
                </c:pt>
                <c:pt idx="22">
                  <c:v>-1.6547896813391725E-2</c:v>
                </c:pt>
                <c:pt idx="23">
                  <c:v>-1.7202606208559464E-2</c:v>
                </c:pt>
                <c:pt idx="24">
                  <c:v>-1.7989503140224048E-2</c:v>
                </c:pt>
                <c:pt idx="25">
                  <c:v>-1.8896503265426436E-2</c:v>
                </c:pt>
                <c:pt idx="26">
                  <c:v>-1.9930630595221984E-2</c:v>
                </c:pt>
                <c:pt idx="27">
                  <c:v>-2.1057496722253675E-2</c:v>
                </c:pt>
                <c:pt idx="28">
                  <c:v>-2.2250201416647755E-2</c:v>
                </c:pt>
                <c:pt idx="29">
                  <c:v>-2.3486042796640502E-2</c:v>
                </c:pt>
                <c:pt idx="30">
                  <c:v>-2.4746907266155839E-2</c:v>
                </c:pt>
                <c:pt idx="31">
                  <c:v>-2.6019855780268247E-2</c:v>
                </c:pt>
                <c:pt idx="32">
                  <c:v>-2.7296823725109255E-2</c:v>
                </c:pt>
                <c:pt idx="33">
                  <c:v>-2.8571289448867106E-2</c:v>
                </c:pt>
                <c:pt idx="34">
                  <c:v>-2.9838759447162803E-2</c:v>
                </c:pt>
                <c:pt idx="35">
                  <c:v>-3.1098294699238367E-2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Données!$B$680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Données!$C$679:$AL$679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Données!$C$680:$AL$680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7.9950199908429553E-3</c:v>
                </c:pt>
                <c:pt idx="7">
                  <c:v>5.1426659891871118E-3</c:v>
                </c:pt>
                <c:pt idx="8">
                  <c:v>-1.3130805227827835E-3</c:v>
                </c:pt>
                <c:pt idx="9">
                  <c:v>-9.8180788772109784E-3</c:v>
                </c:pt>
                <c:pt idx="10">
                  <c:v>-1.93946444473303E-2</c:v>
                </c:pt>
                <c:pt idx="11">
                  <c:v>-2.9102371800528437E-2</c:v>
                </c:pt>
                <c:pt idx="12">
                  <c:v>-3.8002181524938505E-2</c:v>
                </c:pt>
                <c:pt idx="13">
                  <c:v>-4.5297329067981118E-2</c:v>
                </c:pt>
                <c:pt idx="14">
                  <c:v>-5.0460536303649217E-2</c:v>
                </c:pt>
                <c:pt idx="15">
                  <c:v>-5.337120703447007E-2</c:v>
                </c:pt>
                <c:pt idx="16">
                  <c:v>-5.4137455109741217E-2</c:v>
                </c:pt>
                <c:pt idx="17">
                  <c:v>-5.3063312738006685E-2</c:v>
                </c:pt>
                <c:pt idx="18">
                  <c:v>-5.0578277415807227E-2</c:v>
                </c:pt>
                <c:pt idx="19">
                  <c:v>-4.7155778062932141E-2</c:v>
                </c:pt>
                <c:pt idx="20">
                  <c:v>-4.3251130468725862E-2</c:v>
                </c:pt>
                <c:pt idx="21">
                  <c:v>-3.9179802016651388E-2</c:v>
                </c:pt>
                <c:pt idx="22">
                  <c:v>-3.5263278071066995E-2</c:v>
                </c:pt>
                <c:pt idx="23">
                  <c:v>-3.1738079913274819E-2</c:v>
                </c:pt>
                <c:pt idx="24">
                  <c:v>-2.877485281228076E-2</c:v>
                </c:pt>
                <c:pt idx="25">
                  <c:v>-2.6500560531991124E-2</c:v>
                </c:pt>
                <c:pt idx="26">
                  <c:v>-2.4917705710491234E-2</c:v>
                </c:pt>
                <c:pt idx="27">
                  <c:v>-2.4031415352304353E-2</c:v>
                </c:pt>
                <c:pt idx="28">
                  <c:v>-2.3771768818341976E-2</c:v>
                </c:pt>
                <c:pt idx="29">
                  <c:v>-2.401793628068094E-2</c:v>
                </c:pt>
                <c:pt idx="30">
                  <c:v>-2.461771913224764E-2</c:v>
                </c:pt>
                <c:pt idx="31">
                  <c:v>-2.5402617322260457E-2</c:v>
                </c:pt>
                <c:pt idx="32">
                  <c:v>-2.6205246557945316E-2</c:v>
                </c:pt>
                <c:pt idx="33">
                  <c:v>-2.6889345923545638E-2</c:v>
                </c:pt>
                <c:pt idx="34">
                  <c:v>-2.7351241735391718E-2</c:v>
                </c:pt>
                <c:pt idx="35">
                  <c:v>-2.7515038964983196E-2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Données!$B$661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Données!$C$661:$AL$661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2.0061240669169394E-5</c:v>
                </c:pt>
                <c:pt idx="7">
                  <c:v>1.8810315873138259E-6</c:v>
                </c:pt>
                <c:pt idx="8">
                  <c:v>-1.8775728451989761E-5</c:v>
                </c:pt>
                <c:pt idx="9">
                  <c:v>-4.0842352041228051E-5</c:v>
                </c:pt>
                <c:pt idx="10">
                  <c:v>-6.5720592376926714E-5</c:v>
                </c:pt>
                <c:pt idx="11">
                  <c:v>-9.167949373120566E-5</c:v>
                </c:pt>
                <c:pt idx="12">
                  <c:v>-1.1762007779340148E-4</c:v>
                </c:pt>
                <c:pt idx="13">
                  <c:v>-1.4084826655766551E-4</c:v>
                </c:pt>
                <c:pt idx="14">
                  <c:v>-1.5829239881641856E-4</c:v>
                </c:pt>
                <c:pt idx="15">
                  <c:v>-1.6769985468806177E-4</c:v>
                </c:pt>
                <c:pt idx="16">
                  <c:v>-1.6817915460902672E-4</c:v>
                </c:pt>
                <c:pt idx="17">
                  <c:v>-1.6035244239142002E-4</c:v>
                </c:pt>
                <c:pt idx="18">
                  <c:v>-1.4599470291561215E-4</c:v>
                </c:pt>
                <c:pt idx="19">
                  <c:v>-1.2742348291711864E-4</c:v>
                </c:pt>
                <c:pt idx="20">
                  <c:v>-1.0652210180456567E-4</c:v>
                </c:pt>
                <c:pt idx="21">
                  <c:v>-8.602626475771863E-5</c:v>
                </c:pt>
                <c:pt idx="22">
                  <c:v>-6.6582204287701387E-5</c:v>
                </c:pt>
                <c:pt idx="23">
                  <c:v>-4.8849790061042602E-5</c:v>
                </c:pt>
                <c:pt idx="24">
                  <c:v>-3.3143044016958621E-5</c:v>
                </c:pt>
                <c:pt idx="25">
                  <c:v>-1.8801832704801819E-5</c:v>
                </c:pt>
                <c:pt idx="26">
                  <c:v>-7.072797639801E-6</c:v>
                </c:pt>
                <c:pt idx="27">
                  <c:v>2.7343645353397303E-6</c:v>
                </c:pt>
                <c:pt idx="28">
                  <c:v>1.0933994150390262E-5</c:v>
                </c:pt>
                <c:pt idx="29">
                  <c:v>1.7865882400794515E-5</c:v>
                </c:pt>
                <c:pt idx="30">
                  <c:v>2.3975623404888438E-5</c:v>
                </c:pt>
                <c:pt idx="31">
                  <c:v>2.9789735329640821E-5</c:v>
                </c:pt>
                <c:pt idx="32">
                  <c:v>3.5845739314641015E-5</c:v>
                </c:pt>
                <c:pt idx="33">
                  <c:v>4.2606115079289134E-5</c:v>
                </c:pt>
                <c:pt idx="34">
                  <c:v>5.040916437272501E-5</c:v>
                </c:pt>
                <c:pt idx="35">
                  <c:v>5.9444468285298988E-5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Données!$B$662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Données!$C$662:$AL$662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9.0598617598803503E-4</c:v>
                </c:pt>
                <c:pt idx="7">
                  <c:v>1.207724803948509E-3</c:v>
                </c:pt>
                <c:pt idx="8">
                  <c:v>1.4381544497104042E-3</c:v>
                </c:pt>
                <c:pt idx="9">
                  <c:v>1.6164724472646436E-3</c:v>
                </c:pt>
                <c:pt idx="10">
                  <c:v>1.7167827518636402E-3</c:v>
                </c:pt>
                <c:pt idx="11">
                  <c:v>1.7393573412814883E-3</c:v>
                </c:pt>
                <c:pt idx="12">
                  <c:v>1.71811240260818E-3</c:v>
                </c:pt>
                <c:pt idx="13">
                  <c:v>1.7004000286346679E-3</c:v>
                </c:pt>
                <c:pt idx="14">
                  <c:v>1.7275955997934935E-3</c:v>
                </c:pt>
                <c:pt idx="15">
                  <c:v>1.8226974280146884E-3</c:v>
                </c:pt>
                <c:pt idx="16">
                  <c:v>1.9915519491312699E-3</c:v>
                </c:pt>
                <c:pt idx="17">
                  <c:v>2.2267951730233523E-3</c:v>
                </c:pt>
                <c:pt idx="18">
                  <c:v>2.5145697255081595E-3</c:v>
                </c:pt>
                <c:pt idx="19">
                  <c:v>2.8410267258922187E-3</c:v>
                </c:pt>
                <c:pt idx="20">
                  <c:v>3.1947527997740408E-3</c:v>
                </c:pt>
                <c:pt idx="21">
                  <c:v>3.5763054864387071E-3</c:v>
                </c:pt>
                <c:pt idx="22">
                  <c:v>3.9815332361533614E-3</c:v>
                </c:pt>
                <c:pt idx="23">
                  <c:v>4.4095354711738543E-3</c:v>
                </c:pt>
                <c:pt idx="24">
                  <c:v>4.8587614435533586E-3</c:v>
                </c:pt>
                <c:pt idx="25">
                  <c:v>5.3279900062648752E-3</c:v>
                </c:pt>
                <c:pt idx="26">
                  <c:v>5.8119979114176377E-3</c:v>
                </c:pt>
                <c:pt idx="27">
                  <c:v>6.3066954440011329E-3</c:v>
                </c:pt>
                <c:pt idx="28">
                  <c:v>6.8094700901246592E-3</c:v>
                </c:pt>
                <c:pt idx="29">
                  <c:v>7.319188696511522E-3</c:v>
                </c:pt>
                <c:pt idx="30">
                  <c:v>7.835970735827924E-3</c:v>
                </c:pt>
                <c:pt idx="31">
                  <c:v>8.3609093957770168E-3</c:v>
                </c:pt>
                <c:pt idx="32">
                  <c:v>8.89562640029792E-3</c:v>
                </c:pt>
                <c:pt idx="33">
                  <c:v>9.4415097233929105E-3</c:v>
                </c:pt>
                <c:pt idx="34">
                  <c:v>9.9994661188835647E-3</c:v>
                </c:pt>
                <c:pt idx="35">
                  <c:v>1.0569916822612378E-2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Données!$B$663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Données!$C$663:$AL$663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1.802247330300236E-3</c:v>
                </c:pt>
                <c:pt idx="7">
                  <c:v>1.7039129512138799E-3</c:v>
                </c:pt>
                <c:pt idx="8">
                  <c:v>1.5506977191058317E-3</c:v>
                </c:pt>
                <c:pt idx="9">
                  <c:v>1.3448540867831455E-3</c:v>
                </c:pt>
                <c:pt idx="10">
                  <c:v>1.0656152765232596E-3</c:v>
                </c:pt>
                <c:pt idx="11">
                  <c:v>7.2842894087241073E-4</c:v>
                </c:pt>
                <c:pt idx="12">
                  <c:v>3.7229417586267469E-4</c:v>
                </c:pt>
                <c:pt idx="13">
                  <c:v>4.4950066410774451E-5</c:v>
                </c:pt>
                <c:pt idx="14">
                  <c:v>-2.1721241133559459E-4</c:v>
                </c:pt>
                <c:pt idx="15">
                  <c:v>-4.0215549523299303E-4</c:v>
                </c:pt>
                <c:pt idx="16">
                  <c:v>-5.1158234689493022E-4</c:v>
                </c:pt>
                <c:pt idx="17">
                  <c:v>-5.5790834998664695E-4</c:v>
                </c:pt>
                <c:pt idx="18">
                  <c:v>-5.5871833254780574E-4</c:v>
                </c:pt>
                <c:pt idx="19">
                  <c:v>-5.3145895556299283E-4</c:v>
                </c:pt>
                <c:pt idx="20">
                  <c:v>-4.9043428951839145E-4</c:v>
                </c:pt>
                <c:pt idx="21">
                  <c:v>-4.4232610010119431E-4</c:v>
                </c:pt>
                <c:pt idx="22">
                  <c:v>-3.9477435278194171E-4</c:v>
                </c:pt>
                <c:pt idx="23">
                  <c:v>-3.5319745393026878E-4</c:v>
                </c:pt>
                <c:pt idx="24">
                  <c:v>-3.223818457509659E-4</c:v>
                </c:pt>
                <c:pt idx="25">
                  <c:v>-3.0786271227606495E-4</c:v>
                </c:pt>
                <c:pt idx="26">
                  <c:v>-3.1139091252948192E-4</c:v>
                </c:pt>
                <c:pt idx="27">
                  <c:v>-3.3675613817624319E-4</c:v>
                </c:pt>
                <c:pt idx="28">
                  <c:v>-3.843084726384763E-4</c:v>
                </c:pt>
                <c:pt idx="29">
                  <c:v>-4.5167416282094927E-4</c:v>
                </c:pt>
                <c:pt idx="30">
                  <c:v>-5.3456078521565259E-4</c:v>
                </c:pt>
                <c:pt idx="31">
                  <c:v>-6.2747639322605271E-4</c:v>
                </c:pt>
                <c:pt idx="32">
                  <c:v>-7.2461326861309068E-4</c:v>
                </c:pt>
                <c:pt idx="33">
                  <c:v>-8.2136755038160871E-4</c:v>
                </c:pt>
                <c:pt idx="34">
                  <c:v>-9.1420373428029817E-4</c:v>
                </c:pt>
                <c:pt idx="35">
                  <c:v>-1.0002737402854272E-3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Données!$B$664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Données!$C$664:$AL$664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2.3764712163609897E-3</c:v>
                </c:pt>
                <c:pt idx="7">
                  <c:v>-8.0026333161722105E-4</c:v>
                </c:pt>
                <c:pt idx="8">
                  <c:v>-6.8527581229261116E-3</c:v>
                </c:pt>
                <c:pt idx="9">
                  <c:v>-1.4621845942479599E-2</c:v>
                </c:pt>
                <c:pt idx="10">
                  <c:v>-2.3189233886841097E-2</c:v>
                </c:pt>
                <c:pt idx="11">
                  <c:v>-3.1695740792284627E-2</c:v>
                </c:pt>
                <c:pt idx="12">
                  <c:v>-3.9367138903011099E-2</c:v>
                </c:pt>
                <c:pt idx="13">
                  <c:v>-4.5593393767770954E-2</c:v>
                </c:pt>
                <c:pt idx="14">
                  <c:v>-4.9992094601972382E-2</c:v>
                </c:pt>
                <c:pt idx="15">
                  <c:v>-5.2495897141216552E-2</c:v>
                </c:pt>
                <c:pt idx="16">
                  <c:v>-5.3209611978265875E-2</c:v>
                </c:pt>
                <c:pt idx="17">
                  <c:v>-5.2388089219330906E-2</c:v>
                </c:pt>
                <c:pt idx="18">
                  <c:v>-5.038607510457923E-2</c:v>
                </c:pt>
                <c:pt idx="19">
                  <c:v>-4.7598337456127883E-2</c:v>
                </c:pt>
                <c:pt idx="20">
                  <c:v>-4.4410645704741986E-2</c:v>
                </c:pt>
                <c:pt idx="21">
                  <c:v>-4.1107749638875181E-2</c:v>
                </c:pt>
                <c:pt idx="22">
                  <c:v>-3.7972273719094049E-2</c:v>
                </c:pt>
                <c:pt idx="23">
                  <c:v>-3.521600432100714E-2</c:v>
                </c:pt>
                <c:pt idx="24">
                  <c:v>-3.299016467788949E-2</c:v>
                </c:pt>
                <c:pt idx="25">
                  <c:v>-3.1403427994962145E-2</c:v>
                </c:pt>
                <c:pt idx="26">
                  <c:v>-3.0452503144338897E-2</c:v>
                </c:pt>
                <c:pt idx="27">
                  <c:v>-3.0131825087763305E-2</c:v>
                </c:pt>
                <c:pt idx="28">
                  <c:v>-3.0372244046129579E-2</c:v>
                </c:pt>
                <c:pt idx="29">
                  <c:v>-3.1062770267215458E-2</c:v>
                </c:pt>
                <c:pt idx="30">
                  <c:v>-3.2067296455798575E-2</c:v>
                </c:pt>
                <c:pt idx="31">
                  <c:v>-3.3237719084352503E-2</c:v>
                </c:pt>
                <c:pt idx="32">
                  <c:v>-3.4428668373389017E-2</c:v>
                </c:pt>
                <c:pt idx="33">
                  <c:v>-3.552132298844643E-2</c:v>
                </c:pt>
                <c:pt idx="34">
                  <c:v>-3.6425179147089287E-2</c:v>
                </c:pt>
                <c:pt idx="35">
                  <c:v>-3.7074907800469882E-2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Données!$B$665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Données!$C$665:$AL$665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3.0692105529019254E-3</c:v>
                </c:pt>
                <c:pt idx="7">
                  <c:v>3.1296098177261977E-3</c:v>
                </c:pt>
                <c:pt idx="8">
                  <c:v>2.5792032181815873E-3</c:v>
                </c:pt>
                <c:pt idx="9">
                  <c:v>1.7901607211836302E-3</c:v>
                </c:pt>
                <c:pt idx="10">
                  <c:v>8.732841850852671E-4</c:v>
                </c:pt>
                <c:pt idx="11">
                  <c:v>-9.8288434800280827E-5</c:v>
                </c:pt>
                <c:pt idx="12">
                  <c:v>-1.0246785452583751E-3</c:v>
                </c:pt>
                <c:pt idx="13">
                  <c:v>-1.8088513540445168E-3</c:v>
                </c:pt>
                <c:pt idx="14">
                  <c:v>-2.3819253115530499E-3</c:v>
                </c:pt>
                <c:pt idx="15">
                  <c:v>-2.7281022084947601E-3</c:v>
                </c:pt>
                <c:pt idx="16">
                  <c:v>-2.8578600769395964E-3</c:v>
                </c:pt>
                <c:pt idx="17">
                  <c:v>-2.8037184924008364E-3</c:v>
                </c:pt>
                <c:pt idx="18">
                  <c:v>-2.6117447373006746E-3</c:v>
                </c:pt>
                <c:pt idx="19">
                  <c:v>-2.3315343126336647E-3</c:v>
                </c:pt>
                <c:pt idx="20">
                  <c:v>-2.0088200348732325E-3</c:v>
                </c:pt>
                <c:pt idx="21">
                  <c:v>-1.6688336753753529E-3</c:v>
                </c:pt>
                <c:pt idx="22">
                  <c:v>-1.340368046250439E-3</c:v>
                </c:pt>
                <c:pt idx="23">
                  <c:v>-1.0433430476073282E-3</c:v>
                </c:pt>
                <c:pt idx="24">
                  <c:v>-7.922282315907614E-4</c:v>
                </c:pt>
                <c:pt idx="25">
                  <c:v>-6.0027195405676966E-4</c:v>
                </c:pt>
                <c:pt idx="26">
                  <c:v>-4.6603803186919939E-4</c:v>
                </c:pt>
                <c:pt idx="27">
                  <c:v>-3.9300922877805487E-4</c:v>
                </c:pt>
                <c:pt idx="28">
                  <c:v>-3.7712782781850395E-4</c:v>
                </c:pt>
                <c:pt idx="29">
                  <c:v>-4.088810575716279E-4</c:v>
                </c:pt>
                <c:pt idx="30">
                  <c:v>-4.7540232379289016E-4</c:v>
                </c:pt>
                <c:pt idx="31">
                  <c:v>-5.6158011866737866E-4</c:v>
                </c:pt>
                <c:pt idx="32">
                  <c:v>-6.5157529500144346E-4</c:v>
                </c:pt>
                <c:pt idx="33">
                  <c:v>-7.3300370365829589E-4</c:v>
                </c:pt>
                <c:pt idx="34">
                  <c:v>-7.9643313787867921E-4</c:v>
                </c:pt>
                <c:pt idx="35">
                  <c:v>-8.3397911410514264E-4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Données!$B$660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Données!$C$659:$AL$659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Données!$C$660:$AL$660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8.1739764379293867E-3</c:v>
                </c:pt>
                <c:pt idx="7">
                  <c:v>5.2428650286269196E-3</c:v>
                </c:pt>
                <c:pt idx="8">
                  <c:v>-1.303478306880046E-3</c:v>
                </c:pt>
                <c:pt idx="9">
                  <c:v>-9.9112010819895069E-3</c:v>
                </c:pt>
                <c:pt idx="10">
                  <c:v>-1.9599272636898535E-2</c:v>
                </c:pt>
                <c:pt idx="11">
                  <c:v>-2.9417922564472621E-2</c:v>
                </c:pt>
                <c:pt idx="12">
                  <c:v>-3.8419030933336873E-2</c:v>
                </c:pt>
                <c:pt idx="13">
                  <c:v>-4.57977433404817E-2</c:v>
                </c:pt>
                <c:pt idx="14">
                  <c:v>-5.102192917146442E-2</c:v>
                </c:pt>
                <c:pt idx="15">
                  <c:v>-5.3971157408098103E-2</c:v>
                </c:pt>
                <c:pt idx="16">
                  <c:v>-5.4755681555268776E-2</c:v>
                </c:pt>
                <c:pt idx="17">
                  <c:v>-5.3683273188193659E-2</c:v>
                </c:pt>
                <c:pt idx="18">
                  <c:v>-5.11879635036665E-2</c:v>
                </c:pt>
                <c:pt idx="19">
                  <c:v>-4.7747727357637548E-2</c:v>
                </c:pt>
                <c:pt idx="20">
                  <c:v>-4.3821669553921305E-2</c:v>
                </c:pt>
                <c:pt idx="21">
                  <c:v>-3.9728630109309382E-2</c:v>
                </c:pt>
                <c:pt idx="22">
                  <c:v>-3.5792465076143642E-2</c:v>
                </c:pt>
                <c:pt idx="23">
                  <c:v>-3.2251859210950862E-2</c:v>
                </c:pt>
                <c:pt idx="24">
                  <c:v>-2.9279156158987352E-2</c:v>
                </c:pt>
                <c:pt idx="25">
                  <c:v>-2.7002374645191951E-2</c:v>
                </c:pt>
                <c:pt idx="26">
                  <c:v>-2.5425007060515314E-2</c:v>
                </c:pt>
                <c:pt idx="27">
                  <c:v>-2.4552160843004933E-2</c:v>
                </c:pt>
                <c:pt idx="28">
                  <c:v>-2.4313276424738683E-2</c:v>
                </c:pt>
                <c:pt idx="29">
                  <c:v>-2.4586271100982993E-2</c:v>
                </c:pt>
                <c:pt idx="30">
                  <c:v>-2.52173133670478E-2</c:v>
                </c:pt>
                <c:pt idx="31">
                  <c:v>-2.6036076469699965E-2</c:v>
                </c:pt>
                <c:pt idx="32">
                  <c:v>-2.6873384686477486E-2</c:v>
                </c:pt>
                <c:pt idx="33">
                  <c:v>-2.7591578578309073E-2</c:v>
                </c:pt>
                <c:pt idx="34">
                  <c:v>-2.8085941033524353E-2</c:v>
                </c:pt>
                <c:pt idx="35">
                  <c:v>-2.8279799118082427E-2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Données!$C$405:$AL$405</c:f>
              <c:numCache>
                <c:formatCode>#,##0</c:formatCode>
                <c:ptCount val="36"/>
                <c:pt idx="0">
                  <c:v>3.476542051</c:v>
                </c:pt>
                <c:pt idx="1">
                  <c:v>6.7493338969999996</c:v>
                </c:pt>
                <c:pt idx="2">
                  <c:v>11.52650792</c:v>
                </c:pt>
                <c:pt idx="3">
                  <c:v>15.976075059999999</c:v>
                </c:pt>
                <c:pt idx="4">
                  <c:v>20.355510389999999</c:v>
                </c:pt>
                <c:pt idx="5">
                  <c:v>24.811958050000001</c:v>
                </c:pt>
                <c:pt idx="6">
                  <c:v>29.355985619999998</c:v>
                </c:pt>
                <c:pt idx="7">
                  <c:v>34.001711499999999</c:v>
                </c:pt>
                <c:pt idx="8">
                  <c:v>38.725180090000002</c:v>
                </c:pt>
                <c:pt idx="9">
                  <c:v>43.499713880000002</c:v>
                </c:pt>
                <c:pt idx="10">
                  <c:v>48.341898870000001</c:v>
                </c:pt>
                <c:pt idx="11">
                  <c:v>53.150139279999998</c:v>
                </c:pt>
                <c:pt idx="12">
                  <c:v>57.946896170000002</c:v>
                </c:pt>
                <c:pt idx="13">
                  <c:v>62.71727748</c:v>
                </c:pt>
                <c:pt idx="14">
                  <c:v>67.447874310000003</c:v>
                </c:pt>
                <c:pt idx="15">
                  <c:v>72.126736489999999</c:v>
                </c:pt>
                <c:pt idx="16">
                  <c:v>76.744140139999999</c:v>
                </c:pt>
                <c:pt idx="17">
                  <c:v>81.294173549999996</c:v>
                </c:pt>
                <c:pt idx="18">
                  <c:v>85.777464039999998</c:v>
                </c:pt>
                <c:pt idx="19">
                  <c:v>90.203582690000005</c:v>
                </c:pt>
                <c:pt idx="20">
                  <c:v>94.562905860000001</c:v>
                </c:pt>
                <c:pt idx="21">
                  <c:v>98.933812430000003</c:v>
                </c:pt>
                <c:pt idx="22">
                  <c:v>103.31290319999999</c:v>
                </c:pt>
                <c:pt idx="23">
                  <c:v>107.7174895</c:v>
                </c:pt>
                <c:pt idx="24">
                  <c:v>112.15701079999999</c:v>
                </c:pt>
                <c:pt idx="25">
                  <c:v>116.55961069999999</c:v>
                </c:pt>
                <c:pt idx="26">
                  <c:v>121.0331721</c:v>
                </c:pt>
                <c:pt idx="27">
                  <c:v>125.5329311</c:v>
                </c:pt>
                <c:pt idx="28">
                  <c:v>130.05117469999999</c:v>
                </c:pt>
                <c:pt idx="29">
                  <c:v>134.58001049999999</c:v>
                </c:pt>
                <c:pt idx="30">
                  <c:v>139.1121756</c:v>
                </c:pt>
                <c:pt idx="31">
                  <c:v>143.64127350000001</c:v>
                </c:pt>
                <c:pt idx="32">
                  <c:v>148.16164509999999</c:v>
                </c:pt>
                <c:pt idx="33">
                  <c:v>152.66814239999999</c:v>
                </c:pt>
                <c:pt idx="34">
                  <c:v>157.15597690000001</c:v>
                </c:pt>
                <c:pt idx="35">
                  <c:v>161.6207881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Données!$C$406:$AL$406</c:f>
              <c:numCache>
                <c:formatCode>#,##0</c:formatCode>
                <c:ptCount val="36"/>
                <c:pt idx="0">
                  <c:v>68.80476281</c:v>
                </c:pt>
                <c:pt idx="1">
                  <c:v>76.167450889999998</c:v>
                </c:pt>
                <c:pt idx="2">
                  <c:v>82.782693910000006</c:v>
                </c:pt>
                <c:pt idx="3">
                  <c:v>88.094278410000001</c:v>
                </c:pt>
                <c:pt idx="4">
                  <c:v>92.631675340000001</c:v>
                </c:pt>
                <c:pt idx="5">
                  <c:v>96.718088940000001</c:v>
                </c:pt>
                <c:pt idx="6">
                  <c:v>99.914093519999994</c:v>
                </c:pt>
                <c:pt idx="7">
                  <c:v>102.94675169999999</c:v>
                </c:pt>
                <c:pt idx="8">
                  <c:v>105.88089979999999</c:v>
                </c:pt>
                <c:pt idx="9">
                  <c:v>108.75832870000001</c:v>
                </c:pt>
                <c:pt idx="10">
                  <c:v>112.64400860000001</c:v>
                </c:pt>
                <c:pt idx="11">
                  <c:v>115.486242</c:v>
                </c:pt>
                <c:pt idx="12">
                  <c:v>118.3344092</c:v>
                </c:pt>
                <c:pt idx="13">
                  <c:v>121.1995005</c:v>
                </c:pt>
                <c:pt idx="14">
                  <c:v>124.090839</c:v>
                </c:pt>
                <c:pt idx="15">
                  <c:v>127.0168894</c:v>
                </c:pt>
                <c:pt idx="16">
                  <c:v>129.98513019999999</c:v>
                </c:pt>
                <c:pt idx="17">
                  <c:v>133.00126019999999</c:v>
                </c:pt>
                <c:pt idx="18">
                  <c:v>136.06735549999999</c:v>
                </c:pt>
                <c:pt idx="19">
                  <c:v>139.17985039999999</c:v>
                </c:pt>
                <c:pt idx="20">
                  <c:v>141.64361450000001</c:v>
                </c:pt>
                <c:pt idx="21">
                  <c:v>144.811916</c:v>
                </c:pt>
                <c:pt idx="22">
                  <c:v>147.98120349999999</c:v>
                </c:pt>
                <c:pt idx="23">
                  <c:v>151.135954</c:v>
                </c:pt>
                <c:pt idx="24">
                  <c:v>154.2662334</c:v>
                </c:pt>
                <c:pt idx="25">
                  <c:v>155.49655440000001</c:v>
                </c:pt>
                <c:pt idx="26">
                  <c:v>157.68849560000001</c:v>
                </c:pt>
                <c:pt idx="27">
                  <c:v>159.85151440000001</c:v>
                </c:pt>
                <c:pt idx="28">
                  <c:v>161.9916278</c:v>
                </c:pt>
                <c:pt idx="29">
                  <c:v>164.11562409999999</c:v>
                </c:pt>
                <c:pt idx="30">
                  <c:v>166.2296073</c:v>
                </c:pt>
                <c:pt idx="31">
                  <c:v>168.33857380000001</c:v>
                </c:pt>
                <c:pt idx="32">
                  <c:v>170.4466065</c:v>
                </c:pt>
                <c:pt idx="33">
                  <c:v>172.55726920000001</c:v>
                </c:pt>
                <c:pt idx="34">
                  <c:v>174.67392709999999</c:v>
                </c:pt>
                <c:pt idx="35">
                  <c:v>176.7997704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Données!$C$407:$AL$407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423.60722529999998</c:v>
                </c:pt>
                <c:pt idx="2">
                  <c:v>438.27328180000001</c:v>
                </c:pt>
                <c:pt idx="3">
                  <c:v>450.44654270000001</c:v>
                </c:pt>
                <c:pt idx="4">
                  <c:v>461.3056618</c:v>
                </c:pt>
                <c:pt idx="5">
                  <c:v>471.47086289999999</c:v>
                </c:pt>
                <c:pt idx="6">
                  <c:v>479.50487120000003</c:v>
                </c:pt>
                <c:pt idx="7">
                  <c:v>487.3173903</c:v>
                </c:pt>
                <c:pt idx="8">
                  <c:v>495.00559529999998</c:v>
                </c:pt>
                <c:pt idx="9">
                  <c:v>502.62859959999997</c:v>
                </c:pt>
                <c:pt idx="10">
                  <c:v>513.13684149999995</c:v>
                </c:pt>
                <c:pt idx="11">
                  <c:v>520.73628929999995</c:v>
                </c:pt>
                <c:pt idx="12">
                  <c:v>528.34840120000001</c:v>
                </c:pt>
                <c:pt idx="13">
                  <c:v>535.98547680000001</c:v>
                </c:pt>
                <c:pt idx="14">
                  <c:v>543.65829380000002</c:v>
                </c:pt>
                <c:pt idx="15">
                  <c:v>551.37712839999995</c:v>
                </c:pt>
                <c:pt idx="16">
                  <c:v>559.1514535</c:v>
                </c:pt>
                <c:pt idx="17">
                  <c:v>566.98884069999997</c:v>
                </c:pt>
                <c:pt idx="18">
                  <c:v>574.89270060000001</c:v>
                </c:pt>
                <c:pt idx="19">
                  <c:v>582.85981879999997</c:v>
                </c:pt>
                <c:pt idx="20">
                  <c:v>588.95219380000003</c:v>
                </c:pt>
                <c:pt idx="21">
                  <c:v>597.00033570000005</c:v>
                </c:pt>
                <c:pt idx="22">
                  <c:v>605.05945259999999</c:v>
                </c:pt>
                <c:pt idx="23">
                  <c:v>613.11090909999996</c:v>
                </c:pt>
                <c:pt idx="24">
                  <c:v>621.14273649999996</c:v>
                </c:pt>
                <c:pt idx="25">
                  <c:v>623.88851920000002</c:v>
                </c:pt>
                <c:pt idx="26">
                  <c:v>629.38715560000003</c:v>
                </c:pt>
                <c:pt idx="27">
                  <c:v>634.85363219999999</c:v>
                </c:pt>
                <c:pt idx="28">
                  <c:v>640.29532189999998</c:v>
                </c:pt>
                <c:pt idx="29">
                  <c:v>645.72026719999997</c:v>
                </c:pt>
                <c:pt idx="30">
                  <c:v>651.13558599999999</c:v>
                </c:pt>
                <c:pt idx="31">
                  <c:v>656.54704909999998</c:v>
                </c:pt>
                <c:pt idx="32">
                  <c:v>661.95933190000005</c:v>
                </c:pt>
                <c:pt idx="33">
                  <c:v>667.37648179999997</c:v>
                </c:pt>
                <c:pt idx="34">
                  <c:v>672.80230329999995</c:v>
                </c:pt>
                <c:pt idx="35">
                  <c:v>678.24041350000005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Données!$C$408:$AL$408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948.00346160000004</c:v>
                </c:pt>
                <c:pt idx="2">
                  <c:v>942.13795349999998</c:v>
                </c:pt>
                <c:pt idx="3">
                  <c:v>939.04726029999995</c:v>
                </c:pt>
                <c:pt idx="4">
                  <c:v>937.25237819999995</c:v>
                </c:pt>
                <c:pt idx="5">
                  <c:v>935.99759019999999</c:v>
                </c:pt>
                <c:pt idx="6">
                  <c:v>934.95947609999996</c:v>
                </c:pt>
                <c:pt idx="7">
                  <c:v>934.00196129999995</c:v>
                </c:pt>
                <c:pt idx="8">
                  <c:v>933.0679715</c:v>
                </c:pt>
                <c:pt idx="9">
                  <c:v>932.13314030000004</c:v>
                </c:pt>
                <c:pt idx="10">
                  <c:v>931.18805769999994</c:v>
                </c:pt>
                <c:pt idx="11">
                  <c:v>930.22859849999998</c:v>
                </c:pt>
                <c:pt idx="12">
                  <c:v>929.25336460000005</c:v>
                </c:pt>
                <c:pt idx="13">
                  <c:v>928.26350449999995</c:v>
                </c:pt>
                <c:pt idx="14">
                  <c:v>927.26061010000001</c:v>
                </c:pt>
                <c:pt idx="15">
                  <c:v>926.24561789999996</c:v>
                </c:pt>
                <c:pt idx="16">
                  <c:v>925.21809370000005</c:v>
                </c:pt>
                <c:pt idx="17">
                  <c:v>924.17556609999997</c:v>
                </c:pt>
                <c:pt idx="18">
                  <c:v>923.1133347</c:v>
                </c:pt>
                <c:pt idx="19">
                  <c:v>922.02536859999998</c:v>
                </c:pt>
                <c:pt idx="20">
                  <c:v>920.90458999999998</c:v>
                </c:pt>
                <c:pt idx="21">
                  <c:v>919.75300819999995</c:v>
                </c:pt>
                <c:pt idx="22">
                  <c:v>918.57604830000002</c:v>
                </c:pt>
                <c:pt idx="23">
                  <c:v>917.37981460000003</c:v>
                </c:pt>
                <c:pt idx="24">
                  <c:v>916.16964840000003</c:v>
                </c:pt>
                <c:pt idx="25">
                  <c:v>914.94392970000001</c:v>
                </c:pt>
                <c:pt idx="26">
                  <c:v>913.70929260000003</c:v>
                </c:pt>
                <c:pt idx="27">
                  <c:v>912.468839</c:v>
                </c:pt>
                <c:pt idx="28">
                  <c:v>911.22165649999999</c:v>
                </c:pt>
                <c:pt idx="29">
                  <c:v>909.9658925</c:v>
                </c:pt>
                <c:pt idx="30">
                  <c:v>908.70016380000004</c:v>
                </c:pt>
                <c:pt idx="31">
                  <c:v>907.4239073</c:v>
                </c:pt>
                <c:pt idx="32">
                  <c:v>906.13717299999996</c:v>
                </c:pt>
                <c:pt idx="33">
                  <c:v>904.84023049999996</c:v>
                </c:pt>
                <c:pt idx="34">
                  <c:v>903.53323160000002</c:v>
                </c:pt>
                <c:pt idx="35">
                  <c:v>902.21609309999997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Données!$C$409:$AL$409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869.4310534</c:v>
                </c:pt>
                <c:pt idx="2">
                  <c:v>861.858431</c:v>
                </c:pt>
                <c:pt idx="3">
                  <c:v>855.53037819999997</c:v>
                </c:pt>
                <c:pt idx="4">
                  <c:v>849.93818480000004</c:v>
                </c:pt>
                <c:pt idx="5">
                  <c:v>844.74919220000004</c:v>
                </c:pt>
                <c:pt idx="6">
                  <c:v>839.77592240000001</c:v>
                </c:pt>
                <c:pt idx="7">
                  <c:v>834.9212685</c:v>
                </c:pt>
                <c:pt idx="8">
                  <c:v>830.1377549</c:v>
                </c:pt>
                <c:pt idx="9">
                  <c:v>825.40272809999999</c:v>
                </c:pt>
                <c:pt idx="10">
                  <c:v>820.70573060000004</c:v>
                </c:pt>
                <c:pt idx="11">
                  <c:v>816.04210660000001</c:v>
                </c:pt>
                <c:pt idx="12">
                  <c:v>811.40937150000002</c:v>
                </c:pt>
                <c:pt idx="13">
                  <c:v>806.80718609999997</c:v>
                </c:pt>
                <c:pt idx="14">
                  <c:v>802.23613620000003</c:v>
                </c:pt>
                <c:pt idx="15">
                  <c:v>797.69719859999998</c:v>
                </c:pt>
                <c:pt idx="16">
                  <c:v>793.19129459999999</c:v>
                </c:pt>
                <c:pt idx="17">
                  <c:v>788.71888360000003</c:v>
                </c:pt>
                <c:pt idx="18">
                  <c:v>784.27958609999996</c:v>
                </c:pt>
                <c:pt idx="19">
                  <c:v>779.87203620000003</c:v>
                </c:pt>
                <c:pt idx="20">
                  <c:v>775.49389199999996</c:v>
                </c:pt>
                <c:pt idx="21">
                  <c:v>771.14262929999995</c:v>
                </c:pt>
                <c:pt idx="22">
                  <c:v>766.81630419999999</c:v>
                </c:pt>
                <c:pt idx="23">
                  <c:v>762.51301850000004</c:v>
                </c:pt>
                <c:pt idx="24">
                  <c:v>758.23155650000001</c:v>
                </c:pt>
                <c:pt idx="25">
                  <c:v>753.97103340000001</c:v>
                </c:pt>
                <c:pt idx="26">
                  <c:v>749.73126460000003</c:v>
                </c:pt>
                <c:pt idx="27">
                  <c:v>745.51358379999999</c:v>
                </c:pt>
                <c:pt idx="28">
                  <c:v>741.3187954</c:v>
                </c:pt>
                <c:pt idx="29">
                  <c:v>737.14757970000005</c:v>
                </c:pt>
                <c:pt idx="30">
                  <c:v>733.00050999999996</c:v>
                </c:pt>
                <c:pt idx="31">
                  <c:v>728.87806869999997</c:v>
                </c:pt>
                <c:pt idx="32">
                  <c:v>724.78065700000002</c:v>
                </c:pt>
                <c:pt idx="33">
                  <c:v>720.70860630000004</c:v>
                </c:pt>
                <c:pt idx="34">
                  <c:v>716.66219090000004</c:v>
                </c:pt>
                <c:pt idx="35">
                  <c:v>712.64162980000003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Données!$C$410:$AL$410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138.03691000000001</c:v>
                </c:pt>
                <c:pt idx="2">
                  <c:v>136.32928910000001</c:v>
                </c:pt>
                <c:pt idx="3">
                  <c:v>134.75853810000001</c:v>
                </c:pt>
                <c:pt idx="4">
                  <c:v>133.34486999999999</c:v>
                </c:pt>
                <c:pt idx="5">
                  <c:v>132.08580910000001</c:v>
                </c:pt>
                <c:pt idx="6">
                  <c:v>130.95836320000001</c:v>
                </c:pt>
                <c:pt idx="7">
                  <c:v>129.9309647</c:v>
                </c:pt>
                <c:pt idx="8">
                  <c:v>128.97352119999999</c:v>
                </c:pt>
                <c:pt idx="9">
                  <c:v>128.0620491</c:v>
                </c:pt>
                <c:pt idx="10">
                  <c:v>127.1793442</c:v>
                </c:pt>
                <c:pt idx="11">
                  <c:v>126.3129326</c:v>
                </c:pt>
                <c:pt idx="12">
                  <c:v>125.4538084</c:v>
                </c:pt>
                <c:pt idx="13">
                  <c:v>124.5942714</c:v>
                </c:pt>
                <c:pt idx="14">
                  <c:v>123.7267848</c:v>
                </c:pt>
                <c:pt idx="15">
                  <c:v>122.8437638</c:v>
                </c:pt>
                <c:pt idx="16">
                  <c:v>121.938284</c:v>
                </c:pt>
                <c:pt idx="17">
                  <c:v>121.00534399999999</c:v>
                </c:pt>
                <c:pt idx="18">
                  <c:v>120.04369490000001</c:v>
                </c:pt>
                <c:pt idx="19">
                  <c:v>119.0571577</c:v>
                </c:pt>
                <c:pt idx="20">
                  <c:v>118.0541206</c:v>
                </c:pt>
                <c:pt idx="21">
                  <c:v>117.0476129</c:v>
                </c:pt>
                <c:pt idx="22">
                  <c:v>116.05086679999999</c:v>
                </c:pt>
                <c:pt idx="23">
                  <c:v>115.0753716</c:v>
                </c:pt>
                <c:pt idx="24">
                  <c:v>114.12874360000001</c:v>
                </c:pt>
                <c:pt idx="25">
                  <c:v>113.21344139999999</c:v>
                </c:pt>
                <c:pt idx="26">
                  <c:v>112.32955680000001</c:v>
                </c:pt>
                <c:pt idx="27">
                  <c:v>111.47340060000001</c:v>
                </c:pt>
                <c:pt idx="28">
                  <c:v>110.6400445</c:v>
                </c:pt>
                <c:pt idx="29">
                  <c:v>109.82441110000001</c:v>
                </c:pt>
                <c:pt idx="30">
                  <c:v>109.0219855</c:v>
                </c:pt>
                <c:pt idx="31">
                  <c:v>108.2290173</c:v>
                </c:pt>
                <c:pt idx="32">
                  <c:v>107.44240720000001</c:v>
                </c:pt>
                <c:pt idx="33">
                  <c:v>106.65947679999999</c:v>
                </c:pt>
                <c:pt idx="34">
                  <c:v>105.8777609</c:v>
                </c:pt>
                <c:pt idx="35">
                  <c:v>105.0949749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Données!$C$404:$AL$404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Données!$C$411:$AL$411</c:f>
              <c:numCache>
                <c:formatCode>#,##0</c:formatCode>
                <c:ptCount val="36"/>
                <c:pt idx="0">
                  <c:v>3.874567114</c:v>
                </c:pt>
                <c:pt idx="1">
                  <c:v>3.730938305</c:v>
                </c:pt>
                <c:pt idx="2">
                  <c:v>3.5999494350000001</c:v>
                </c:pt>
                <c:pt idx="3">
                  <c:v>3.4839117819999998</c:v>
                </c:pt>
                <c:pt idx="4">
                  <c:v>3.3849327169999999</c:v>
                </c:pt>
                <c:pt idx="5">
                  <c:v>3.3034984359999999</c:v>
                </c:pt>
                <c:pt idx="6">
                  <c:v>3.238077348</c:v>
                </c:pt>
                <c:pt idx="7">
                  <c:v>3.1858005390000002</c:v>
                </c:pt>
                <c:pt idx="8">
                  <c:v>3.1433543880000001</c:v>
                </c:pt>
                <c:pt idx="9">
                  <c:v>3.1076160210000001</c:v>
                </c:pt>
                <c:pt idx="10">
                  <c:v>3.0759999320000002</c:v>
                </c:pt>
                <c:pt idx="11">
                  <c:v>3.0463488829999998</c:v>
                </c:pt>
                <c:pt idx="12">
                  <c:v>3.0170011059999999</c:v>
                </c:pt>
                <c:pt idx="13">
                  <c:v>2.9865514929999999</c:v>
                </c:pt>
                <c:pt idx="14">
                  <c:v>2.9537698649999999</c:v>
                </c:pt>
                <c:pt idx="15">
                  <c:v>2.9176390900000002</c:v>
                </c:pt>
                <c:pt idx="16">
                  <c:v>2.8774720500000002</c:v>
                </c:pt>
                <c:pt idx="17">
                  <c:v>2.8330264920000001</c:v>
                </c:pt>
                <c:pt idx="18">
                  <c:v>2.7846210139999998</c:v>
                </c:pt>
                <c:pt idx="19">
                  <c:v>2.7331444220000001</c:v>
                </c:pt>
                <c:pt idx="20">
                  <c:v>2.6798737990000001</c:v>
                </c:pt>
                <c:pt idx="21">
                  <c:v>2.6264448900000001</c:v>
                </c:pt>
                <c:pt idx="22">
                  <c:v>2.5743724210000001</c:v>
                </c:pt>
                <c:pt idx="23">
                  <c:v>2.5249134889999998</c:v>
                </c:pt>
                <c:pt idx="24">
                  <c:v>2.478895069</c:v>
                </c:pt>
                <c:pt idx="25">
                  <c:v>2.4365734990000001</c:v>
                </c:pt>
                <c:pt idx="26">
                  <c:v>2.397979517</c:v>
                </c:pt>
                <c:pt idx="27">
                  <c:v>2.3626789800000001</c:v>
                </c:pt>
                <c:pt idx="28">
                  <c:v>2.3300577260000002</c:v>
                </c:pt>
                <c:pt idx="29">
                  <c:v>2.299453846</c:v>
                </c:pt>
                <c:pt idx="30">
                  <c:v>2.2702601250000001</c:v>
                </c:pt>
                <c:pt idx="31">
                  <c:v>2.2419635470000001</c:v>
                </c:pt>
                <c:pt idx="32">
                  <c:v>2.2141400839999998</c:v>
                </c:pt>
                <c:pt idx="33">
                  <c:v>2.1864310119999999</c:v>
                </c:pt>
                <c:pt idx="34">
                  <c:v>2.1585212089999999</c:v>
                </c:pt>
                <c:pt idx="35">
                  <c:v>2.1301397340000001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Données!$C$396:$AL$396</c:f>
              <c:numCache>
                <c:formatCode>#,##0</c:formatCode>
                <c:ptCount val="36"/>
                <c:pt idx="0">
                  <c:v>3.476542051</c:v>
                </c:pt>
                <c:pt idx="1">
                  <c:v>6.7493338969999996</c:v>
                </c:pt>
                <c:pt idx="2">
                  <c:v>11.52650792</c:v>
                </c:pt>
                <c:pt idx="3">
                  <c:v>15.976075059999999</c:v>
                </c:pt>
                <c:pt idx="4">
                  <c:v>20.355510389999999</c:v>
                </c:pt>
                <c:pt idx="5">
                  <c:v>24.811958050000001</c:v>
                </c:pt>
                <c:pt idx="6">
                  <c:v>29.35505942</c:v>
                </c:pt>
                <c:pt idx="7">
                  <c:v>33.94605498</c:v>
                </c:pt>
                <c:pt idx="8">
                  <c:v>38.388349730000002</c:v>
                </c:pt>
                <c:pt idx="9">
                  <c:v>42.44040201</c:v>
                </c:pt>
                <c:pt idx="10">
                  <c:v>45.660988089999996</c:v>
                </c:pt>
                <c:pt idx="11">
                  <c:v>51.848541009999998</c:v>
                </c:pt>
                <c:pt idx="12">
                  <c:v>59.522182649999998</c:v>
                </c:pt>
                <c:pt idx="13">
                  <c:v>67.918820499999995</c:v>
                </c:pt>
                <c:pt idx="14">
                  <c:v>76.638600049999994</c:v>
                </c:pt>
                <c:pt idx="15">
                  <c:v>85.465893019999996</c:v>
                </c:pt>
                <c:pt idx="16">
                  <c:v>94.286972019999993</c:v>
                </c:pt>
                <c:pt idx="17">
                  <c:v>103.04942149999999</c:v>
                </c:pt>
                <c:pt idx="18">
                  <c:v>111.73616010000001</c:v>
                </c:pt>
                <c:pt idx="19">
                  <c:v>120.34606549999999</c:v>
                </c:pt>
                <c:pt idx="20">
                  <c:v>128.85808069999999</c:v>
                </c:pt>
                <c:pt idx="21">
                  <c:v>137.331119</c:v>
                </c:pt>
                <c:pt idx="22">
                  <c:v>145.7445209</c:v>
                </c:pt>
                <c:pt idx="23">
                  <c:v>154.10280299999999</c:v>
                </c:pt>
                <c:pt idx="24">
                  <c:v>162.40940710000001</c:v>
                </c:pt>
                <c:pt idx="25">
                  <c:v>170.5951158</c:v>
                </c:pt>
                <c:pt idx="26">
                  <c:v>178.77201030000001</c:v>
                </c:pt>
                <c:pt idx="27">
                  <c:v>186.90361669999999</c:v>
                </c:pt>
                <c:pt idx="28">
                  <c:v>194.99153749999999</c:v>
                </c:pt>
                <c:pt idx="29">
                  <c:v>203.03717259999999</c:v>
                </c:pt>
                <c:pt idx="30">
                  <c:v>211.04157739999999</c:v>
                </c:pt>
                <c:pt idx="31">
                  <c:v>219.00534099999999</c:v>
                </c:pt>
                <c:pt idx="32">
                  <c:v>226.92858279999999</c:v>
                </c:pt>
                <c:pt idx="33">
                  <c:v>234.81105819999999</c:v>
                </c:pt>
                <c:pt idx="34">
                  <c:v>242.6522808</c:v>
                </c:pt>
                <c:pt idx="35">
                  <c:v>250.45169469999999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Données!$C$397:$AL$397</c:f>
              <c:numCache>
                <c:formatCode>#,##0</c:formatCode>
                <c:ptCount val="36"/>
                <c:pt idx="0">
                  <c:v>68.80476281</c:v>
                </c:pt>
                <c:pt idx="1">
                  <c:v>76.167450889999998</c:v>
                </c:pt>
                <c:pt idx="2">
                  <c:v>82.782693910000006</c:v>
                </c:pt>
                <c:pt idx="3">
                  <c:v>88.094278410000001</c:v>
                </c:pt>
                <c:pt idx="4">
                  <c:v>92.631675340000001</c:v>
                </c:pt>
                <c:pt idx="5">
                  <c:v>96.718088940000001</c:v>
                </c:pt>
                <c:pt idx="6">
                  <c:v>99.914339709999993</c:v>
                </c:pt>
                <c:pt idx="7">
                  <c:v>102.9790369</c:v>
                </c:pt>
                <c:pt idx="8">
                  <c:v>106.08246200000001</c:v>
                </c:pt>
                <c:pt idx="9">
                  <c:v>109.3952621</c:v>
                </c:pt>
                <c:pt idx="10">
                  <c:v>114.27456429999999</c:v>
                </c:pt>
                <c:pt idx="11">
                  <c:v>117.5494308</c:v>
                </c:pt>
                <c:pt idx="12">
                  <c:v>120.5528362</c:v>
                </c:pt>
                <c:pt idx="13">
                  <c:v>123.4260555</c:v>
                </c:pt>
                <c:pt idx="14">
                  <c:v>126.23196830000001</c:v>
                </c:pt>
                <c:pt idx="15">
                  <c:v>128.9965617</c:v>
                </c:pt>
                <c:pt idx="16">
                  <c:v>131.72990050000001</c:v>
                </c:pt>
                <c:pt idx="17">
                  <c:v>134.43751270000001</c:v>
                </c:pt>
                <c:pt idx="18">
                  <c:v>137.12415619999999</c:v>
                </c:pt>
                <c:pt idx="19">
                  <c:v>139.79537289999999</c:v>
                </c:pt>
                <c:pt idx="20">
                  <c:v>141.7695866</c:v>
                </c:pt>
                <c:pt idx="21">
                  <c:v>144.42350189999999</c:v>
                </c:pt>
                <c:pt idx="22">
                  <c:v>147.0759449</c:v>
                </c:pt>
                <c:pt idx="23">
                  <c:v>149.7296819</c:v>
                </c:pt>
                <c:pt idx="24">
                  <c:v>152.38665560000001</c:v>
                </c:pt>
                <c:pt idx="25">
                  <c:v>153.1727286</c:v>
                </c:pt>
                <c:pt idx="26">
                  <c:v>154.95319720000001</c:v>
                </c:pt>
                <c:pt idx="27">
                  <c:v>156.73525459999999</c:v>
                </c:pt>
                <c:pt idx="28">
                  <c:v>158.5194927</c:v>
                </c:pt>
                <c:pt idx="29">
                  <c:v>160.30642</c:v>
                </c:pt>
                <c:pt idx="30">
                  <c:v>162.09641310000001</c:v>
                </c:pt>
                <c:pt idx="31">
                  <c:v>163.88965039999999</c:v>
                </c:pt>
                <c:pt idx="32">
                  <c:v>165.6860925</c:v>
                </c:pt>
                <c:pt idx="33">
                  <c:v>167.48551850000001</c:v>
                </c:pt>
                <c:pt idx="34">
                  <c:v>169.28758099999999</c:v>
                </c:pt>
                <c:pt idx="35">
                  <c:v>171.09189280000001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Données!$C$398:$AL$398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423.60722529999998</c:v>
                </c:pt>
                <c:pt idx="2">
                  <c:v>438.27328180000001</c:v>
                </c:pt>
                <c:pt idx="3">
                  <c:v>450.44654270000001</c:v>
                </c:pt>
                <c:pt idx="4">
                  <c:v>461.3056618</c:v>
                </c:pt>
                <c:pt idx="5">
                  <c:v>471.47086289999999</c:v>
                </c:pt>
                <c:pt idx="6">
                  <c:v>479.50501780000002</c:v>
                </c:pt>
                <c:pt idx="7">
                  <c:v>487.35355370000002</c:v>
                </c:pt>
                <c:pt idx="8">
                  <c:v>495.2337794</c:v>
                </c:pt>
                <c:pt idx="9">
                  <c:v>503.35240290000002</c:v>
                </c:pt>
                <c:pt idx="10">
                  <c:v>514.98354459999996</c:v>
                </c:pt>
                <c:pt idx="11">
                  <c:v>523.15588349999996</c:v>
                </c:pt>
                <c:pt idx="12">
                  <c:v>531.08457999999996</c:v>
                </c:pt>
                <c:pt idx="13">
                  <c:v>538.90364820000002</c:v>
                </c:pt>
                <c:pt idx="14">
                  <c:v>546.66012679999994</c:v>
                </c:pt>
                <c:pt idx="15">
                  <c:v>554.36317240000005</c:v>
                </c:pt>
                <c:pt idx="16">
                  <c:v>562.00968599999999</c:v>
                </c:pt>
                <c:pt idx="17">
                  <c:v>569.59945919999996</c:v>
                </c:pt>
                <c:pt idx="18">
                  <c:v>577.13864469999999</c:v>
                </c:pt>
                <c:pt idx="19">
                  <c:v>584.63882230000002</c:v>
                </c:pt>
                <c:pt idx="20">
                  <c:v>590.18431999999996</c:v>
                </c:pt>
                <c:pt idx="21">
                  <c:v>597.63931739999998</c:v>
                </c:pt>
                <c:pt idx="22">
                  <c:v>605.09106989999998</c:v>
                </c:pt>
                <c:pt idx="23">
                  <c:v>612.54704240000001</c:v>
                </c:pt>
                <c:pt idx="24">
                  <c:v>620.01240069999994</c:v>
                </c:pt>
                <c:pt idx="25">
                  <c:v>622.22472300000004</c:v>
                </c:pt>
                <c:pt idx="26">
                  <c:v>627.22788030000004</c:v>
                </c:pt>
                <c:pt idx="27">
                  <c:v>632.23440040000003</c:v>
                </c:pt>
                <c:pt idx="28">
                  <c:v>637.24564899999996</c:v>
                </c:pt>
                <c:pt idx="29">
                  <c:v>642.26287060000004</c:v>
                </c:pt>
                <c:pt idx="30">
                  <c:v>647.28707459999998</c:v>
                </c:pt>
                <c:pt idx="31">
                  <c:v>652.31882280000002</c:v>
                </c:pt>
                <c:pt idx="32">
                  <c:v>657.35812710000005</c:v>
                </c:pt>
                <c:pt idx="33">
                  <c:v>662.40451189999999</c:v>
                </c:pt>
                <c:pt idx="34">
                  <c:v>667.4571459</c:v>
                </c:pt>
                <c:pt idx="35">
                  <c:v>672.51507030000005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Données!$C$399:$AL$399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948.00346160000004</c:v>
                </c:pt>
                <c:pt idx="2">
                  <c:v>942.13795349999998</c:v>
                </c:pt>
                <c:pt idx="3">
                  <c:v>939.04726029999995</c:v>
                </c:pt>
                <c:pt idx="4">
                  <c:v>937.25237819999995</c:v>
                </c:pt>
                <c:pt idx="5">
                  <c:v>935.99759019999999</c:v>
                </c:pt>
                <c:pt idx="6">
                  <c:v>934.9598866</c:v>
                </c:pt>
                <c:pt idx="7">
                  <c:v>934.01264079999999</c:v>
                </c:pt>
                <c:pt idx="8">
                  <c:v>933.13893719999999</c:v>
                </c:pt>
                <c:pt idx="9">
                  <c:v>932.33597029999999</c:v>
                </c:pt>
                <c:pt idx="10">
                  <c:v>931.5103239</c:v>
                </c:pt>
                <c:pt idx="11">
                  <c:v>929.0477664</c:v>
                </c:pt>
                <c:pt idx="12">
                  <c:v>925.83033539999997</c:v>
                </c:pt>
                <c:pt idx="13">
                  <c:v>922.25818070000003</c:v>
                </c:pt>
                <c:pt idx="14">
                  <c:v>918.50374120000004</c:v>
                </c:pt>
                <c:pt idx="15">
                  <c:v>914.63435340000001</c:v>
                </c:pt>
                <c:pt idx="16">
                  <c:v>910.6727932</c:v>
                </c:pt>
                <c:pt idx="17">
                  <c:v>906.63054279999994</c:v>
                </c:pt>
                <c:pt idx="18">
                  <c:v>902.52064399999995</c:v>
                </c:pt>
                <c:pt idx="19">
                  <c:v>898.3595143</c:v>
                </c:pt>
                <c:pt idx="20">
                  <c:v>894.16459629999997</c:v>
                </c:pt>
                <c:pt idx="21">
                  <c:v>889.95107959999996</c:v>
                </c:pt>
                <c:pt idx="22">
                  <c:v>885.73188830000004</c:v>
                </c:pt>
                <c:pt idx="23">
                  <c:v>881.51644599999997</c:v>
                </c:pt>
                <c:pt idx="24">
                  <c:v>877.31155090000004</c:v>
                </c:pt>
                <c:pt idx="25">
                  <c:v>873.12224719999995</c:v>
                </c:pt>
                <c:pt idx="26">
                  <c:v>868.95134229999996</c:v>
                </c:pt>
                <c:pt idx="27">
                  <c:v>864.80222920000006</c:v>
                </c:pt>
                <c:pt idx="28">
                  <c:v>860.6773776</c:v>
                </c:pt>
                <c:pt idx="29">
                  <c:v>856.5787507</c:v>
                </c:pt>
                <c:pt idx="30">
                  <c:v>852.50763459999996</c:v>
                </c:pt>
                <c:pt idx="31">
                  <c:v>848.46444269999995</c:v>
                </c:pt>
                <c:pt idx="32">
                  <c:v>844.44870609999998</c:v>
                </c:pt>
                <c:pt idx="33">
                  <c:v>840.45925509999995</c:v>
                </c:pt>
                <c:pt idx="34">
                  <c:v>836.49444749999998</c:v>
                </c:pt>
                <c:pt idx="35">
                  <c:v>832.55251280000004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Données!$C$400:$AL$400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869.4310534</c:v>
                </c:pt>
                <c:pt idx="2">
                  <c:v>861.858431</c:v>
                </c:pt>
                <c:pt idx="3">
                  <c:v>855.53037819999997</c:v>
                </c:pt>
                <c:pt idx="4">
                  <c:v>849.93818480000004</c:v>
                </c:pt>
                <c:pt idx="5">
                  <c:v>844.74919220000004</c:v>
                </c:pt>
                <c:pt idx="6">
                  <c:v>839.77586359999998</c:v>
                </c:pt>
                <c:pt idx="7">
                  <c:v>834.92609489999995</c:v>
                </c:pt>
                <c:pt idx="8">
                  <c:v>830.17551979999996</c:v>
                </c:pt>
                <c:pt idx="9">
                  <c:v>825.52036169999997</c:v>
                </c:pt>
                <c:pt idx="10">
                  <c:v>820.9478441</c:v>
                </c:pt>
                <c:pt idx="11">
                  <c:v>816.47642099999996</c:v>
                </c:pt>
                <c:pt idx="12">
                  <c:v>812.08238029999995</c:v>
                </c:pt>
                <c:pt idx="13">
                  <c:v>807.73844740000004</c:v>
                </c:pt>
                <c:pt idx="14">
                  <c:v>803.42177830000003</c:v>
                </c:pt>
                <c:pt idx="15">
                  <c:v>799.11441079999997</c:v>
                </c:pt>
                <c:pt idx="16">
                  <c:v>794.80195370000001</c:v>
                </c:pt>
                <c:pt idx="17">
                  <c:v>790.47556959999997</c:v>
                </c:pt>
                <c:pt idx="18">
                  <c:v>786.13338699999997</c:v>
                </c:pt>
                <c:pt idx="19">
                  <c:v>781.77950480000004</c:v>
                </c:pt>
                <c:pt idx="20">
                  <c:v>777.42122810000001</c:v>
                </c:pt>
                <c:pt idx="21">
                  <c:v>773.06635930000004</c:v>
                </c:pt>
                <c:pt idx="22">
                  <c:v>768.72224510000001</c:v>
                </c:pt>
                <c:pt idx="23">
                  <c:v>764.39427699999999</c:v>
                </c:pt>
                <c:pt idx="24">
                  <c:v>760.08632350000005</c:v>
                </c:pt>
                <c:pt idx="25">
                  <c:v>755.80094059999999</c:v>
                </c:pt>
                <c:pt idx="26">
                  <c:v>751.53944969999998</c:v>
                </c:pt>
                <c:pt idx="27">
                  <c:v>747.30388430000005</c:v>
                </c:pt>
                <c:pt idx="28">
                  <c:v>743.09549570000001</c:v>
                </c:pt>
                <c:pt idx="29">
                  <c:v>738.9152583</c:v>
                </c:pt>
                <c:pt idx="30">
                  <c:v>734.76382409999997</c:v>
                </c:pt>
                <c:pt idx="31">
                  <c:v>730.6414006</c:v>
                </c:pt>
                <c:pt idx="32">
                  <c:v>726.54770410000003</c:v>
                </c:pt>
                <c:pt idx="33">
                  <c:v>722.4820254</c:v>
                </c:pt>
                <c:pt idx="34">
                  <c:v>718.44334600000002</c:v>
                </c:pt>
                <c:pt idx="35">
                  <c:v>714.43053950000001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Données!$C$401:$AL$401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138.03691000000001</c:v>
                </c:pt>
                <c:pt idx="2">
                  <c:v>136.32928910000001</c:v>
                </c:pt>
                <c:pt idx="3">
                  <c:v>134.75853810000001</c:v>
                </c:pt>
                <c:pt idx="4">
                  <c:v>133.34486999999999</c:v>
                </c:pt>
                <c:pt idx="5">
                  <c:v>132.08580910000001</c:v>
                </c:pt>
                <c:pt idx="6">
                  <c:v>130.95852350000001</c:v>
                </c:pt>
                <c:pt idx="7">
                  <c:v>129.90665150000001</c:v>
                </c:pt>
                <c:pt idx="8">
                  <c:v>128.79741540000001</c:v>
                </c:pt>
                <c:pt idx="9">
                  <c:v>127.51132990000001</c:v>
                </c:pt>
                <c:pt idx="10">
                  <c:v>125.9598031</c:v>
                </c:pt>
                <c:pt idx="11">
                  <c:v>124.1091862</c:v>
                </c:pt>
                <c:pt idx="12">
                  <c:v>122.0060616</c:v>
                </c:pt>
                <c:pt idx="13">
                  <c:v>119.7575575</c:v>
                </c:pt>
                <c:pt idx="14">
                  <c:v>117.49676030000001</c:v>
                </c:pt>
                <c:pt idx="15">
                  <c:v>115.3489848</c:v>
                </c:pt>
                <c:pt idx="16">
                  <c:v>113.40852169999999</c:v>
                </c:pt>
                <c:pt idx="17">
                  <c:v>111.7179332</c:v>
                </c:pt>
                <c:pt idx="18">
                  <c:v>110.2723821</c:v>
                </c:pt>
                <c:pt idx="19">
                  <c:v>109.037042</c:v>
                </c:pt>
                <c:pt idx="20">
                  <c:v>107.9654244</c:v>
                </c:pt>
                <c:pt idx="21">
                  <c:v>107.0136523</c:v>
                </c:pt>
                <c:pt idx="22">
                  <c:v>106.1450066</c:v>
                </c:pt>
                <c:pt idx="23">
                  <c:v>105.3321108</c:v>
                </c:pt>
                <c:pt idx="24">
                  <c:v>104.5555047</c:v>
                </c:pt>
                <c:pt idx="25">
                  <c:v>103.80115189999999</c:v>
                </c:pt>
                <c:pt idx="26">
                  <c:v>103.0595637</c:v>
                </c:pt>
                <c:pt idx="27">
                  <c:v>102.32289470000001</c:v>
                </c:pt>
                <c:pt idx="28">
                  <c:v>101.58457900000001</c:v>
                </c:pt>
                <c:pt idx="29">
                  <c:v>100.8390821</c:v>
                </c:pt>
                <c:pt idx="30">
                  <c:v>100.0823678</c:v>
                </c:pt>
                <c:pt idx="31">
                  <c:v>99.312575699999996</c:v>
                </c:pt>
                <c:pt idx="32">
                  <c:v>98.530226650000003</c:v>
                </c:pt>
                <c:pt idx="33">
                  <c:v>97.737842259999994</c:v>
                </c:pt>
                <c:pt idx="34">
                  <c:v>96.939363099999994</c:v>
                </c:pt>
                <c:pt idx="35">
                  <c:v>96.139200750000001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Données!$C$395:$AL$395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Données!$C$402:$AL$402</c:f>
              <c:numCache>
                <c:formatCode>#,##0</c:formatCode>
                <c:ptCount val="36"/>
                <c:pt idx="0">
                  <c:v>3.874567114</c:v>
                </c:pt>
                <c:pt idx="1">
                  <c:v>3.730938305</c:v>
                </c:pt>
                <c:pt idx="2">
                  <c:v>3.5999494350000001</c:v>
                </c:pt>
                <c:pt idx="3">
                  <c:v>3.4839117819999998</c:v>
                </c:pt>
                <c:pt idx="4">
                  <c:v>3.3849327169999999</c:v>
                </c:pt>
                <c:pt idx="5">
                  <c:v>3.3034984359999999</c:v>
                </c:pt>
                <c:pt idx="6">
                  <c:v>3.2380987339999998</c:v>
                </c:pt>
                <c:pt idx="7">
                  <c:v>3.181815796</c:v>
                </c:pt>
                <c:pt idx="8">
                  <c:v>3.1178136109999999</c:v>
                </c:pt>
                <c:pt idx="9">
                  <c:v>3.0364466810000001</c:v>
                </c:pt>
                <c:pt idx="10">
                  <c:v>2.9348133829999998</c:v>
                </c:pt>
                <c:pt idx="11">
                  <c:v>2.815428185</c:v>
                </c:pt>
                <c:pt idx="12">
                  <c:v>2.6848759320000002</c:v>
                </c:pt>
                <c:pt idx="13">
                  <c:v>2.5510584600000001</c:v>
                </c:pt>
                <c:pt idx="14">
                  <c:v>2.4213330819999999</c:v>
                </c:pt>
                <c:pt idx="15">
                  <c:v>2.301597503</c:v>
                </c:pt>
                <c:pt idx="16">
                  <c:v>2.1960409379999999</c:v>
                </c:pt>
                <c:pt idx="17">
                  <c:v>2.1066555990000002</c:v>
                </c:pt>
                <c:pt idx="18">
                  <c:v>2.0333827420000001</c:v>
                </c:pt>
                <c:pt idx="19">
                  <c:v>1.974637022</c:v>
                </c:pt>
                <c:pt idx="20">
                  <c:v>1.927954626</c:v>
                </c:pt>
                <c:pt idx="21">
                  <c:v>1.8907300119999999</c:v>
                </c:pt>
                <c:pt idx="22">
                  <c:v>1.86047534</c:v>
                </c:pt>
                <c:pt idx="23">
                  <c:v>1.8351097789999999</c:v>
                </c:pt>
                <c:pt idx="24">
                  <c:v>1.8129816480000001</c:v>
                </c:pt>
                <c:pt idx="25">
                  <c:v>1.792754956</c:v>
                </c:pt>
                <c:pt idx="26">
                  <c:v>1.7734733650000001</c:v>
                </c:pt>
                <c:pt idx="27">
                  <c:v>1.754300229</c:v>
                </c:pt>
                <c:pt idx="28">
                  <c:v>1.734547139</c:v>
                </c:pt>
                <c:pt idx="29">
                  <c:v>1.7136846830000001</c:v>
                </c:pt>
                <c:pt idx="30">
                  <c:v>1.6913966680000001</c:v>
                </c:pt>
                <c:pt idx="31">
                  <c:v>1.667620069</c:v>
                </c:pt>
                <c:pt idx="32">
                  <c:v>1.6425216170000001</c:v>
                </c:pt>
                <c:pt idx="33">
                  <c:v>1.6164267539999999</c:v>
                </c:pt>
                <c:pt idx="34">
                  <c:v>1.589747633</c:v>
                </c:pt>
                <c:pt idx="35">
                  <c:v>1.5628984990000001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Données!$C$387:$AL$387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7168.8964570502003</c:v>
                </c:pt>
                <c:pt idx="2">
                  <c:v>7280.5231006349004</c:v>
                </c:pt>
                <c:pt idx="3">
                  <c:v>7420.1661728946001</c:v>
                </c:pt>
                <c:pt idx="4">
                  <c:v>7575.9456867682002</c:v>
                </c:pt>
                <c:pt idx="5">
                  <c:v>7741.7649257210005</c:v>
                </c:pt>
                <c:pt idx="6">
                  <c:v>7913.7702560625003</c:v>
                </c:pt>
                <c:pt idx="7">
                  <c:v>8091.4612896746003</c:v>
                </c:pt>
                <c:pt idx="8">
                  <c:v>8274.9380818040008</c:v>
                </c:pt>
                <c:pt idx="9">
                  <c:v>8464.3011284132008</c:v>
                </c:pt>
                <c:pt idx="10">
                  <c:v>8661.192002539301</c:v>
                </c:pt>
                <c:pt idx="11">
                  <c:v>8862.7221712340997</c:v>
                </c:pt>
                <c:pt idx="12">
                  <c:v>9068.2286136006987</c:v>
                </c:pt>
                <c:pt idx="13">
                  <c:v>9277.2068756972003</c:v>
                </c:pt>
                <c:pt idx="14">
                  <c:v>9489.4121635967003</c:v>
                </c:pt>
                <c:pt idx="15">
                  <c:v>9704.6800697993003</c:v>
                </c:pt>
                <c:pt idx="16">
                  <c:v>9922.732299711899</c:v>
                </c:pt>
                <c:pt idx="17">
                  <c:v>10143.085490510801</c:v>
                </c:pt>
                <c:pt idx="18">
                  <c:v>10365.0834300605</c:v>
                </c:pt>
                <c:pt idx="19">
                  <c:v>10588.010965501899</c:v>
                </c:pt>
                <c:pt idx="20">
                  <c:v>10809.574494860401</c:v>
                </c:pt>
                <c:pt idx="21">
                  <c:v>11031.215202769201</c:v>
                </c:pt>
                <c:pt idx="22">
                  <c:v>11252.7596508102</c:v>
                </c:pt>
                <c:pt idx="23">
                  <c:v>11474.0418690775</c:v>
                </c:pt>
                <c:pt idx="24">
                  <c:v>11694.959160975999</c:v>
                </c:pt>
                <c:pt idx="25">
                  <c:v>11910.371039103</c:v>
                </c:pt>
                <c:pt idx="26">
                  <c:v>12124.389737616</c:v>
                </c:pt>
                <c:pt idx="27">
                  <c:v>12337.850573371998</c:v>
                </c:pt>
                <c:pt idx="28">
                  <c:v>12551.189626546999</c:v>
                </c:pt>
                <c:pt idx="29">
                  <c:v>12764.534417947001</c:v>
                </c:pt>
                <c:pt idx="30">
                  <c:v>12977.928685645</c:v>
                </c:pt>
                <c:pt idx="31">
                  <c:v>13191.50942925</c:v>
                </c:pt>
                <c:pt idx="32">
                  <c:v>13405.585051802</c:v>
                </c:pt>
                <c:pt idx="33">
                  <c:v>13620.614882951</c:v>
                </c:pt>
                <c:pt idx="34">
                  <c:v>13837.125904292998</c:v>
                </c:pt>
                <c:pt idx="35">
                  <c:v>14055.615400301002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Données!$C$388:$AL$388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8210.9970712949998</c:v>
                </c:pt>
                <c:pt idx="2">
                  <c:v>8213.3887342146008</c:v>
                </c:pt>
                <c:pt idx="3">
                  <c:v>8249.6256188425014</c:v>
                </c:pt>
                <c:pt idx="4">
                  <c:v>8307.5193743681994</c:v>
                </c:pt>
                <c:pt idx="5">
                  <c:v>8380.5036448928004</c:v>
                </c:pt>
                <c:pt idx="6">
                  <c:v>8464.2365437341996</c:v>
                </c:pt>
                <c:pt idx="7">
                  <c:v>8557.6446732896002</c:v>
                </c:pt>
                <c:pt idx="8">
                  <c:v>8660.2896720534991</c:v>
                </c:pt>
                <c:pt idx="9">
                  <c:v>8771.7978385562001</c:v>
                </c:pt>
                <c:pt idx="10">
                  <c:v>8893.2983554828006</c:v>
                </c:pt>
                <c:pt idx="11">
                  <c:v>9021.6946625199016</c:v>
                </c:pt>
                <c:pt idx="12">
                  <c:v>9155.9952655819015</c:v>
                </c:pt>
                <c:pt idx="13">
                  <c:v>9295.3671139385988</c:v>
                </c:pt>
                <c:pt idx="14">
                  <c:v>9439.2434403870993</c:v>
                </c:pt>
                <c:pt idx="15">
                  <c:v>9587.1682044713998</c:v>
                </c:pt>
                <c:pt idx="16">
                  <c:v>9738.6209603281004</c:v>
                </c:pt>
                <c:pt idx="17">
                  <c:v>9892.9308171188004</c:v>
                </c:pt>
                <c:pt idx="18">
                  <c:v>10049.299419290999</c:v>
                </c:pt>
                <c:pt idx="19">
                  <c:v>10206.896965637399</c:v>
                </c:pt>
                <c:pt idx="20">
                  <c:v>10363.4717495398</c:v>
                </c:pt>
                <c:pt idx="21">
                  <c:v>10520.1795901889</c:v>
                </c:pt>
                <c:pt idx="22">
                  <c:v>10676.723958233501</c:v>
                </c:pt>
                <c:pt idx="23">
                  <c:v>10832.824648374799</c:v>
                </c:pt>
                <c:pt idx="24">
                  <c:v>10988.2615649449</c:v>
                </c:pt>
                <c:pt idx="25">
                  <c:v>11138.3204020879</c:v>
                </c:pt>
                <c:pt idx="26">
                  <c:v>11286.550246840799</c:v>
                </c:pt>
                <c:pt idx="27">
                  <c:v>11433.593447882202</c:v>
                </c:pt>
                <c:pt idx="28">
                  <c:v>11579.757506883301</c:v>
                </c:pt>
                <c:pt idx="29">
                  <c:v>11725.081043811899</c:v>
                </c:pt>
                <c:pt idx="30">
                  <c:v>11869.520137725</c:v>
                </c:pt>
                <c:pt idx="31">
                  <c:v>12013.098332130401</c:v>
                </c:pt>
                <c:pt idx="32">
                  <c:v>12155.976506352399</c:v>
                </c:pt>
                <c:pt idx="33">
                  <c:v>12298.440987353</c:v>
                </c:pt>
                <c:pt idx="34">
                  <c:v>12440.8383013003</c:v>
                </c:pt>
                <c:pt idx="35">
                  <c:v>12583.4961286581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Données!$C$389:$AL$389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6667.8720733991995</c:v>
                </c:pt>
                <c:pt idx="2">
                  <c:v>6591.9770375149992</c:v>
                </c:pt>
                <c:pt idx="3">
                  <c:v>6544.7205990802004</c:v>
                </c:pt>
                <c:pt idx="4">
                  <c:v>6517.0997089737002</c:v>
                </c:pt>
                <c:pt idx="5">
                  <c:v>6504.0546939032993</c:v>
                </c:pt>
                <c:pt idx="6">
                  <c:v>6502.117915268399</c:v>
                </c:pt>
                <c:pt idx="7">
                  <c:v>6510.1211919291</c:v>
                </c:pt>
                <c:pt idx="8">
                  <c:v>6527.3789879460001</c:v>
                </c:pt>
                <c:pt idx="9">
                  <c:v>6553.2969200786001</c:v>
                </c:pt>
                <c:pt idx="10">
                  <c:v>6588.3394372171006</c:v>
                </c:pt>
                <c:pt idx="11">
                  <c:v>6630.1314660495</c:v>
                </c:pt>
                <c:pt idx="12">
                  <c:v>6677.7368620769003</c:v>
                </c:pt>
                <c:pt idx="13">
                  <c:v>6730.3363502843004</c:v>
                </c:pt>
                <c:pt idx="14">
                  <c:v>6787.3089723149997</c:v>
                </c:pt>
                <c:pt idx="15">
                  <c:v>6848.1348211011</c:v>
                </c:pt>
                <c:pt idx="16">
                  <c:v>6912.2807437413994</c:v>
                </c:pt>
                <c:pt idx="17">
                  <c:v>6979.1412767852999</c:v>
                </c:pt>
                <c:pt idx="18">
                  <c:v>7048.0490610985999</c:v>
                </c:pt>
                <c:pt idx="19">
                  <c:v>7118.3325184341002</c:v>
                </c:pt>
                <c:pt idx="20">
                  <c:v>7188.3976074626999</c:v>
                </c:pt>
                <c:pt idx="21">
                  <c:v>7258.8953137468998</c:v>
                </c:pt>
                <c:pt idx="22">
                  <c:v>7329.5355927802002</c:v>
                </c:pt>
                <c:pt idx="23">
                  <c:v>7400.0469033746003</c:v>
                </c:pt>
                <c:pt idx="24">
                  <c:v>7470.2005410271004</c:v>
                </c:pt>
                <c:pt idx="25">
                  <c:v>7536.8754304333006</c:v>
                </c:pt>
                <c:pt idx="26">
                  <c:v>7602.2796950700995</c:v>
                </c:pt>
                <c:pt idx="27">
                  <c:v>7666.7617480503004</c:v>
                </c:pt>
                <c:pt idx="28">
                  <c:v>7730.4692024482001</c:v>
                </c:pt>
                <c:pt idx="29">
                  <c:v>7793.3818501688002</c:v>
                </c:pt>
                <c:pt idx="30">
                  <c:v>7855.4228836830998</c:v>
                </c:pt>
                <c:pt idx="31">
                  <c:v>7916.5508901457006</c:v>
                </c:pt>
                <c:pt idx="32">
                  <c:v>7976.8051132038008</c:v>
                </c:pt>
                <c:pt idx="33">
                  <c:v>8036.3018371914995</c:v>
                </c:pt>
                <c:pt idx="34">
                  <c:v>8095.1977616140002</c:v>
                </c:pt>
                <c:pt idx="35">
                  <c:v>8153.6436502436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Données!$C$390:$AL$390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4067.0950538055999</c:v>
                </c:pt>
                <c:pt idx="2">
                  <c:v>3993.6312061017002</c:v>
                </c:pt>
                <c:pt idx="3">
                  <c:v>3936.4376198512</c:v>
                </c:pt>
                <c:pt idx="4">
                  <c:v>3890.1103284392998</c:v>
                </c:pt>
                <c:pt idx="5">
                  <c:v>3851.4969073909001</c:v>
                </c:pt>
                <c:pt idx="6">
                  <c:v>3818.3967964416997</c:v>
                </c:pt>
                <c:pt idx="7">
                  <c:v>3789.9174522571002</c:v>
                </c:pt>
                <c:pt idx="8">
                  <c:v>3765.4839650092999</c:v>
                </c:pt>
                <c:pt idx="9">
                  <c:v>3744.6321295340999</c:v>
                </c:pt>
                <c:pt idx="10">
                  <c:v>3727.4823036892003</c:v>
                </c:pt>
                <c:pt idx="11">
                  <c:v>3712.7402815546002</c:v>
                </c:pt>
                <c:pt idx="12">
                  <c:v>3699.8338059276998</c:v>
                </c:pt>
                <c:pt idx="13">
                  <c:v>3688.2450918723998</c:v>
                </c:pt>
                <c:pt idx="14">
                  <c:v>3677.5736006220004</c:v>
                </c:pt>
                <c:pt idx="15">
                  <c:v>3667.5050597682998</c:v>
                </c:pt>
                <c:pt idx="16">
                  <c:v>3657.7615960181001</c:v>
                </c:pt>
                <c:pt idx="17">
                  <c:v>3648.0680498385</c:v>
                </c:pt>
                <c:pt idx="18">
                  <c:v>3638.1445455543999</c:v>
                </c:pt>
                <c:pt idx="19">
                  <c:v>3627.7195916567998</c:v>
                </c:pt>
                <c:pt idx="20">
                  <c:v>3616.1124881546998</c:v>
                </c:pt>
                <c:pt idx="21">
                  <c:v>3603.6322799598997</c:v>
                </c:pt>
                <c:pt idx="22">
                  <c:v>3590.1768010972996</c:v>
                </c:pt>
                <c:pt idx="23">
                  <c:v>3575.6500318984999</c:v>
                </c:pt>
                <c:pt idx="24">
                  <c:v>3559.9678630477001</c:v>
                </c:pt>
                <c:pt idx="25">
                  <c:v>3541.8492132112997</c:v>
                </c:pt>
                <c:pt idx="26">
                  <c:v>3522.2152652913001</c:v>
                </c:pt>
                <c:pt idx="27">
                  <c:v>3501.2401005656002</c:v>
                </c:pt>
                <c:pt idx="28">
                  <c:v>3479.0351541978998</c:v>
                </c:pt>
                <c:pt idx="29">
                  <c:v>3455.6457309530997</c:v>
                </c:pt>
                <c:pt idx="30">
                  <c:v>3431.0823342929002</c:v>
                </c:pt>
                <c:pt idx="31">
                  <c:v>3405.3521127428999</c:v>
                </c:pt>
                <c:pt idx="32">
                  <c:v>3378.4794496926997</c:v>
                </c:pt>
                <c:pt idx="33">
                  <c:v>3350.5117817459</c:v>
                </c:pt>
                <c:pt idx="34">
                  <c:v>3321.5129055160005</c:v>
                </c:pt>
                <c:pt idx="35">
                  <c:v>3291.5497311384997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Données!$C$391:$AL$391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2450.4827209564</c:v>
                </c:pt>
                <c:pt idx="2">
                  <c:v>2407.9146154036998</c:v>
                </c:pt>
                <c:pt idx="3">
                  <c:v>2374.0527327489999</c:v>
                </c:pt>
                <c:pt idx="4">
                  <c:v>2345.4882297994</c:v>
                </c:pt>
                <c:pt idx="5">
                  <c:v>2320.2305472912003</c:v>
                </c:pt>
                <c:pt idx="6">
                  <c:v>2296.9099493497006</c:v>
                </c:pt>
                <c:pt idx="7">
                  <c:v>2274.9766983645</c:v>
                </c:pt>
                <c:pt idx="8">
                  <c:v>2254.0997070464</c:v>
                </c:pt>
                <c:pt idx="9">
                  <c:v>2234.042554652</c:v>
                </c:pt>
                <c:pt idx="10">
                  <c:v>2214.9213224804998</c:v>
                </c:pt>
                <c:pt idx="11">
                  <c:v>2196.0580228876997</c:v>
                </c:pt>
                <c:pt idx="12">
                  <c:v>2177.1760837966999</c:v>
                </c:pt>
                <c:pt idx="13">
                  <c:v>2158.0239393728998</c:v>
                </c:pt>
                <c:pt idx="14">
                  <c:v>2138.4211275225998</c:v>
                </c:pt>
                <c:pt idx="15">
                  <c:v>2118.2487927387001</c:v>
                </c:pt>
                <c:pt idx="16">
                  <c:v>2097.4242790380999</c:v>
                </c:pt>
                <c:pt idx="17">
                  <c:v>2075.8797196558003</c:v>
                </c:pt>
                <c:pt idx="18">
                  <c:v>2053.5520948829003</c:v>
                </c:pt>
                <c:pt idx="19">
                  <c:v>2030.3840063225</c:v>
                </c:pt>
                <c:pt idx="20">
                  <c:v>2006.1116561700999</c:v>
                </c:pt>
                <c:pt idx="21">
                  <c:v>1980.9586546789999</c:v>
                </c:pt>
                <c:pt idx="22">
                  <c:v>1954.9440880888001</c:v>
                </c:pt>
                <c:pt idx="23">
                  <c:v>1928.0868178032999</c:v>
                </c:pt>
                <c:pt idx="24">
                  <c:v>1900.4061745168001</c:v>
                </c:pt>
                <c:pt idx="25">
                  <c:v>1871.3647741611999</c:v>
                </c:pt>
                <c:pt idx="26">
                  <c:v>1841.4408537465001</c:v>
                </c:pt>
                <c:pt idx="27">
                  <c:v>1810.7718557497001</c:v>
                </c:pt>
                <c:pt idx="28">
                  <c:v>1779.4704705085001</c:v>
                </c:pt>
                <c:pt idx="29">
                  <c:v>1747.6164547007002</c:v>
                </c:pt>
                <c:pt idx="30">
                  <c:v>1715.2663792423</c:v>
                </c:pt>
                <c:pt idx="31">
                  <c:v>1682.4667497631999</c:v>
                </c:pt>
                <c:pt idx="32">
                  <c:v>1649.2649964582999</c:v>
                </c:pt>
                <c:pt idx="33">
                  <c:v>1615.7151886534</c:v>
                </c:pt>
                <c:pt idx="34">
                  <c:v>1581.8780299199002</c:v>
                </c:pt>
                <c:pt idx="35">
                  <c:v>1547.8168453078999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Données!$C$392:$AL$392</c:f>
              <c:numCache>
                <c:formatCode>#,##0</c:formatCode>
                <c:ptCount val="36"/>
                <c:pt idx="0">
                  <c:v>1245.466605953</c:v>
                </c:pt>
                <c:pt idx="1">
                  <c:v>1214.5318220569</c:v>
                </c:pt>
                <c:pt idx="2">
                  <c:v>1189.3502253359002</c:v>
                </c:pt>
                <c:pt idx="3">
                  <c:v>1166.9557692291999</c:v>
                </c:pt>
                <c:pt idx="4">
                  <c:v>1145.5745183898</c:v>
                </c:pt>
                <c:pt idx="5">
                  <c:v>1124.1983898601002</c:v>
                </c:pt>
                <c:pt idx="6">
                  <c:v>1102.1961128058999</c:v>
                </c:pt>
                <c:pt idx="7">
                  <c:v>1079.3698102952001</c:v>
                </c:pt>
                <c:pt idx="8">
                  <c:v>1055.6695310992998</c:v>
                </c:pt>
                <c:pt idx="9">
                  <c:v>1031.1298724056999</c:v>
                </c:pt>
                <c:pt idx="10">
                  <c:v>1005.9410665888</c:v>
                </c:pt>
                <c:pt idx="11">
                  <c:v>980.01264911160001</c:v>
                </c:pt>
                <c:pt idx="12">
                  <c:v>953.38743108070003</c:v>
                </c:pt>
                <c:pt idx="13">
                  <c:v>926.10827825139995</c:v>
                </c:pt>
                <c:pt idx="14">
                  <c:v>898.24539194409999</c:v>
                </c:pt>
                <c:pt idx="15">
                  <c:v>869.89835623610008</c:v>
                </c:pt>
                <c:pt idx="16">
                  <c:v>841.1862148002001</c:v>
                </c:pt>
                <c:pt idx="17">
                  <c:v>812.23463309570002</c:v>
                </c:pt>
                <c:pt idx="18">
                  <c:v>783.16560987650007</c:v>
                </c:pt>
                <c:pt idx="19">
                  <c:v>754.09185687429988</c:v>
                </c:pt>
                <c:pt idx="20">
                  <c:v>725.06541210630007</c:v>
                </c:pt>
                <c:pt idx="21">
                  <c:v>696.23533218019998</c:v>
                </c:pt>
                <c:pt idx="22">
                  <c:v>667.69396434939995</c:v>
                </c:pt>
                <c:pt idx="23">
                  <c:v>639.5221185659999</c:v>
                </c:pt>
                <c:pt idx="24">
                  <c:v>611.78891824850007</c:v>
                </c:pt>
                <c:pt idx="25">
                  <c:v>584.45596114969999</c:v>
                </c:pt>
                <c:pt idx="26">
                  <c:v>557.65595189700002</c:v>
                </c:pt>
                <c:pt idx="27">
                  <c:v>531.45696424829998</c:v>
                </c:pt>
                <c:pt idx="28">
                  <c:v>505.91774051909994</c:v>
                </c:pt>
                <c:pt idx="29">
                  <c:v>481.0833580899</c:v>
                </c:pt>
                <c:pt idx="30">
                  <c:v>456.98575187539996</c:v>
                </c:pt>
                <c:pt idx="31">
                  <c:v>433.64657867459999</c:v>
                </c:pt>
                <c:pt idx="32">
                  <c:v>411.08071378349996</c:v>
                </c:pt>
                <c:pt idx="33">
                  <c:v>389.29899635919998</c:v>
                </c:pt>
                <c:pt idx="34">
                  <c:v>368.30960352479997</c:v>
                </c:pt>
                <c:pt idx="35">
                  <c:v>348.11818378599997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Données!$C$386:$AL$386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Données!$C$393:$AL$393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2190.7784343653998</c:v>
                </c:pt>
                <c:pt idx="2">
                  <c:v>2146.7778280532002</c:v>
                </c:pt>
                <c:pt idx="3">
                  <c:v>2105.0624664915999</c:v>
                </c:pt>
                <c:pt idx="4">
                  <c:v>2062.3236244253999</c:v>
                </c:pt>
                <c:pt idx="5">
                  <c:v>2016.8417295222002</c:v>
                </c:pt>
                <c:pt idx="6">
                  <c:v>1967.7325589667</c:v>
                </c:pt>
                <c:pt idx="7">
                  <c:v>1914.9754879900001</c:v>
                </c:pt>
                <c:pt idx="8">
                  <c:v>1858.8701341561</c:v>
                </c:pt>
                <c:pt idx="9">
                  <c:v>1799.8964216313</c:v>
                </c:pt>
                <c:pt idx="10">
                  <c:v>1738.7718063632001</c:v>
                </c:pt>
                <c:pt idx="11">
                  <c:v>1675.7817953877</c:v>
                </c:pt>
                <c:pt idx="12">
                  <c:v>1611.3614553378</c:v>
                </c:pt>
                <c:pt idx="13">
                  <c:v>1545.9068105811</c:v>
                </c:pt>
                <c:pt idx="14">
                  <c:v>1479.8245526656001</c:v>
                </c:pt>
                <c:pt idx="15">
                  <c:v>1413.5370988303</c:v>
                </c:pt>
                <c:pt idx="16">
                  <c:v>1347.4647121971</c:v>
                </c:pt>
                <c:pt idx="17">
                  <c:v>1282.0020601909</c:v>
                </c:pt>
                <c:pt idx="18">
                  <c:v>1217.5001898601997</c:v>
                </c:pt>
                <c:pt idx="19">
                  <c:v>1154.2580536477999</c:v>
                </c:pt>
                <c:pt idx="20">
                  <c:v>1092.4744814608</c:v>
                </c:pt>
                <c:pt idx="21">
                  <c:v>1032.4040166853999</c:v>
                </c:pt>
                <c:pt idx="22">
                  <c:v>974.21531459469998</c:v>
                </c:pt>
                <c:pt idx="23">
                  <c:v>918.03757992269993</c:v>
                </c:pt>
                <c:pt idx="24">
                  <c:v>863.96395498599998</c:v>
                </c:pt>
                <c:pt idx="25">
                  <c:v>811.98362554330004</c:v>
                </c:pt>
                <c:pt idx="26">
                  <c:v>762.19832713300002</c:v>
                </c:pt>
                <c:pt idx="27">
                  <c:v>714.6454424044</c:v>
                </c:pt>
                <c:pt idx="28">
                  <c:v>669.34190313720001</c:v>
                </c:pt>
                <c:pt idx="29">
                  <c:v>626.28173023170007</c:v>
                </c:pt>
                <c:pt idx="30">
                  <c:v>585.43836069749989</c:v>
                </c:pt>
                <c:pt idx="31">
                  <c:v>546.76925198879997</c:v>
                </c:pt>
                <c:pt idx="32">
                  <c:v>510.22080306860005</c:v>
                </c:pt>
                <c:pt idx="33">
                  <c:v>475.73222368120003</c:v>
                </c:pt>
                <c:pt idx="34">
                  <c:v>443.23789496449996</c:v>
                </c:pt>
                <c:pt idx="35">
                  <c:v>412.66850277489999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Données!$C$356:$AL$356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7168.8964570502003</c:v>
                </c:pt>
                <c:pt idx="2">
                  <c:v>7280.5231006349004</c:v>
                </c:pt>
                <c:pt idx="3">
                  <c:v>7420.1661728946001</c:v>
                </c:pt>
                <c:pt idx="4">
                  <c:v>7575.9456867682002</c:v>
                </c:pt>
                <c:pt idx="5">
                  <c:v>7741.7649257210005</c:v>
                </c:pt>
                <c:pt idx="6">
                  <c:v>7914.3658653517996</c:v>
                </c:pt>
                <c:pt idx="7">
                  <c:v>8092.5942155673001</c:v>
                </c:pt>
                <c:pt idx="8">
                  <c:v>8277.0512161617007</c:v>
                </c:pt>
                <c:pt idx="9">
                  <c:v>8469.2991155100008</c:v>
                </c:pt>
                <c:pt idx="10">
                  <c:v>8671.7229473345014</c:v>
                </c:pt>
                <c:pt idx="11">
                  <c:v>8881.0730718529994</c:v>
                </c:pt>
                <c:pt idx="12">
                  <c:v>9095.5546623186001</c:v>
                </c:pt>
                <c:pt idx="13">
                  <c:v>9313.3131333604997</c:v>
                </c:pt>
                <c:pt idx="14">
                  <c:v>9532.9261971260003</c:v>
                </c:pt>
                <c:pt idx="15">
                  <c:v>9753.5227085387996</c:v>
                </c:pt>
                <c:pt idx="16">
                  <c:v>9974.6447209784001</c:v>
                </c:pt>
                <c:pt idx="17">
                  <c:v>10196.021495279399</c:v>
                </c:pt>
                <c:pt idx="18">
                  <c:v>10417.385566328101</c:v>
                </c:pt>
                <c:pt idx="19">
                  <c:v>10638.3986917781</c:v>
                </c:pt>
                <c:pt idx="20">
                  <c:v>10857.001452005299</c:v>
                </c:pt>
                <c:pt idx="21">
                  <c:v>11074.8467608262</c:v>
                </c:pt>
                <c:pt idx="22">
                  <c:v>11291.854450626</c:v>
                </c:pt>
                <c:pt idx="23">
                  <c:v>11507.975490133</c:v>
                </c:pt>
                <c:pt idx="24">
                  <c:v>11723.261541607</c:v>
                </c:pt>
                <c:pt idx="25">
                  <c:v>11932.616941879</c:v>
                </c:pt>
                <c:pt idx="26">
                  <c:v>12140.564707513002</c:v>
                </c:pt>
                <c:pt idx="27">
                  <c:v>12348.141808330998</c:v>
                </c:pt>
                <c:pt idx="28">
                  <c:v>12555.901969338</c:v>
                </c:pt>
                <c:pt idx="29">
                  <c:v>12763.979633549001</c:v>
                </c:pt>
                <c:pt idx="30">
                  <c:v>12972.332674716999</c:v>
                </c:pt>
                <c:pt idx="31">
                  <c:v>13180.955331126999</c:v>
                </c:pt>
                <c:pt idx="32">
                  <c:v>13389.993389105</c:v>
                </c:pt>
                <c:pt idx="33">
                  <c:v>13599.749568121999</c:v>
                </c:pt>
                <c:pt idx="34">
                  <c:v>13810.611988561001</c:v>
                </c:pt>
                <c:pt idx="35">
                  <c:v>14022.957795916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Données!$C$357:$AL$357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8210.9970712949998</c:v>
                </c:pt>
                <c:pt idx="2">
                  <c:v>8213.388734214599</c:v>
                </c:pt>
                <c:pt idx="3">
                  <c:v>8249.6256188425014</c:v>
                </c:pt>
                <c:pt idx="4">
                  <c:v>8307.5193743681994</c:v>
                </c:pt>
                <c:pt idx="5">
                  <c:v>8380.5036448928004</c:v>
                </c:pt>
                <c:pt idx="6">
                  <c:v>8464.7960469555983</c:v>
                </c:pt>
                <c:pt idx="7">
                  <c:v>8558.6512150021008</c:v>
                </c:pt>
                <c:pt idx="8">
                  <c:v>8662.0031184616</c:v>
                </c:pt>
                <c:pt idx="9">
                  <c:v>8775.8010037413987</c:v>
                </c:pt>
                <c:pt idx="10">
                  <c:v>8901.8735864991995</c:v>
                </c:pt>
                <c:pt idx="11">
                  <c:v>9036.8340176162983</c:v>
                </c:pt>
                <c:pt idx="12">
                  <c:v>9178.6956062552999</c:v>
                </c:pt>
                <c:pt idx="13">
                  <c:v>9325.4255279298995</c:v>
                </c:pt>
                <c:pt idx="14">
                  <c:v>9475.4004387953992</c:v>
                </c:pt>
                <c:pt idx="15">
                  <c:v>9627.5232109176013</c:v>
                </c:pt>
                <c:pt idx="16">
                  <c:v>9781.1044451467005</c:v>
                </c:pt>
                <c:pt idx="17">
                  <c:v>9935.6604585883015</c:v>
                </c:pt>
                <c:pt idx="18">
                  <c:v>10090.744554229399</c:v>
                </c:pt>
                <c:pt idx="19">
                  <c:v>10245.873400418201</c:v>
                </c:pt>
                <c:pt idx="20">
                  <c:v>10399.016178420599</c:v>
                </c:pt>
                <c:pt idx="21">
                  <c:v>10551.5258948919</c:v>
                </c:pt>
                <c:pt idx="22">
                  <c:v>10703.189264005799</c:v>
                </c:pt>
                <c:pt idx="23">
                  <c:v>10853.822335080398</c:v>
                </c:pt>
                <c:pt idx="24">
                  <c:v>11003.326296718</c:v>
                </c:pt>
                <c:pt idx="25">
                  <c:v>11147.005491295</c:v>
                </c:pt>
                <c:pt idx="26">
                  <c:v>11288.751114631001</c:v>
                </c:pt>
                <c:pt idx="27">
                  <c:v>11429.363964732</c:v>
                </c:pt>
                <c:pt idx="28">
                  <c:v>11569.241590227999</c:v>
                </c:pt>
                <c:pt idx="29">
                  <c:v>11708.421148762998</c:v>
                </c:pt>
                <c:pt idx="30">
                  <c:v>11846.780521301</c:v>
                </c:pt>
                <c:pt idx="31">
                  <c:v>11984.218173124002</c:v>
                </c:pt>
                <c:pt idx="32">
                  <c:v>12120.754157935</c:v>
                </c:pt>
                <c:pt idx="33">
                  <c:v>12256.540113408999</c:v>
                </c:pt>
                <c:pt idx="34">
                  <c:v>12391.804094285</c:v>
                </c:pt>
                <c:pt idx="35">
                  <c:v>12526.772491491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Données!$C$358:$AL$358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6667.8720733991995</c:v>
                </c:pt>
                <c:pt idx="2">
                  <c:v>6591.9770375149992</c:v>
                </c:pt>
                <c:pt idx="3">
                  <c:v>6544.7205990802004</c:v>
                </c:pt>
                <c:pt idx="4">
                  <c:v>6517.0997089737002</c:v>
                </c:pt>
                <c:pt idx="5">
                  <c:v>6504.0546939032993</c:v>
                </c:pt>
                <c:pt idx="6">
                  <c:v>6502.4969053339</c:v>
                </c:pt>
                <c:pt idx="7">
                  <c:v>6510.7638068879996</c:v>
                </c:pt>
                <c:pt idx="8">
                  <c:v>6528.3560581087004</c:v>
                </c:pt>
                <c:pt idx="9">
                  <c:v>6555.5429705795996</c:v>
                </c:pt>
                <c:pt idx="10">
                  <c:v>6593.2650581940998</c:v>
                </c:pt>
                <c:pt idx="11">
                  <c:v>6638.9841704572</c:v>
                </c:pt>
                <c:pt idx="12">
                  <c:v>6691.1352618696001</c:v>
                </c:pt>
                <c:pt idx="13">
                  <c:v>6748.1308434303992</c:v>
                </c:pt>
                <c:pt idx="14">
                  <c:v>6808.6654094791002</c:v>
                </c:pt>
                <c:pt idx="15">
                  <c:v>6871.7980045811</c:v>
                </c:pt>
                <c:pt idx="16">
                  <c:v>6936.8792168760001</c:v>
                </c:pt>
                <c:pt idx="17">
                  <c:v>7003.4208327004999</c:v>
                </c:pt>
                <c:pt idx="18">
                  <c:v>7070.9838631602006</c:v>
                </c:pt>
                <c:pt idx="19">
                  <c:v>7139.1257866284996</c:v>
                </c:pt>
                <c:pt idx="20">
                  <c:v>7206.4024907051999</c:v>
                </c:pt>
                <c:pt idx="21">
                  <c:v>7273.5971586928999</c:v>
                </c:pt>
                <c:pt idx="22">
                  <c:v>7340.4736008411001</c:v>
                </c:pt>
                <c:pt idx="23">
                  <c:v>7406.8175189247004</c:v>
                </c:pt>
                <c:pt idx="24">
                  <c:v>7472.4685153972005</c:v>
                </c:pt>
                <c:pt idx="25">
                  <c:v>7534.3058095219003</c:v>
                </c:pt>
                <c:pt idx="26">
                  <c:v>7594.7429062586007</c:v>
                </c:pt>
                <c:pt idx="27">
                  <c:v>7654.2180712501004</c:v>
                </c:pt>
                <c:pt idx="28">
                  <c:v>7712.9290797473004</c:v>
                </c:pt>
                <c:pt idx="29">
                  <c:v>7770.8517400646997</c:v>
                </c:pt>
                <c:pt idx="30">
                  <c:v>7827.8597210257994</c:v>
                </c:pt>
                <c:pt idx="31">
                  <c:v>7883.8343880108005</c:v>
                </c:pt>
                <c:pt idx="32">
                  <c:v>7938.7288780360996</c:v>
                </c:pt>
                <c:pt idx="33">
                  <c:v>7992.5778650683005</c:v>
                </c:pt>
                <c:pt idx="34">
                  <c:v>8045.4672531258993</c:v>
                </c:pt>
                <c:pt idx="35">
                  <c:v>8097.4885037194999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Données!$C$359:$AL$359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4067.0950538055999</c:v>
                </c:pt>
                <c:pt idx="2">
                  <c:v>3993.6312061017002</c:v>
                </c:pt>
                <c:pt idx="3">
                  <c:v>3936.4376198512</c:v>
                </c:pt>
                <c:pt idx="4">
                  <c:v>3890.1103284392998</c:v>
                </c:pt>
                <c:pt idx="5">
                  <c:v>3851.4969073909001</c:v>
                </c:pt>
                <c:pt idx="6">
                  <c:v>3818.5873303308999</c:v>
                </c:pt>
                <c:pt idx="7">
                  <c:v>3790.1536675984999</c:v>
                </c:pt>
                <c:pt idx="8">
                  <c:v>3765.5818792612999</c:v>
                </c:pt>
                <c:pt idx="9">
                  <c:v>3744.8051909790997</c:v>
                </c:pt>
                <c:pt idx="10">
                  <c:v>3728.2304056753997</c:v>
                </c:pt>
                <c:pt idx="11">
                  <c:v>3714.5917514452999</c:v>
                </c:pt>
                <c:pt idx="12">
                  <c:v>3703.1227222754001</c:v>
                </c:pt>
                <c:pt idx="13">
                  <c:v>3693.0233642725998</c:v>
                </c:pt>
                <c:pt idx="14">
                  <c:v>3683.6098045117001</c:v>
                </c:pt>
                <c:pt idx="15">
                  <c:v>3674.3688804317999</c:v>
                </c:pt>
                <c:pt idx="16">
                  <c:v>3664.9409338552</c:v>
                </c:pt>
                <c:pt idx="17">
                  <c:v>3655.0701041461002</c:v>
                </c:pt>
                <c:pt idx="18">
                  <c:v>3644.5539437247003</c:v>
                </c:pt>
                <c:pt idx="19">
                  <c:v>3633.2119689014999</c:v>
                </c:pt>
                <c:pt idx="20">
                  <c:v>3620.4353597631002</c:v>
                </c:pt>
                <c:pt idx="21">
                  <c:v>3606.5925821249998</c:v>
                </c:pt>
                <c:pt idx="22">
                  <c:v>3591.6087499447999</c:v>
                </c:pt>
                <c:pt idx="23">
                  <c:v>3575.4131505914997</c:v>
                </c:pt>
                <c:pt idx="24">
                  <c:v>3557.9470280547998</c:v>
                </c:pt>
                <c:pt idx="25">
                  <c:v>3537.9452794606</c:v>
                </c:pt>
                <c:pt idx="26">
                  <c:v>3516.3907874439997</c:v>
                </c:pt>
                <c:pt idx="27">
                  <c:v>3493.4884708216996</c:v>
                </c:pt>
                <c:pt idx="28">
                  <c:v>3469.372789689</c:v>
                </c:pt>
                <c:pt idx="29">
                  <c:v>3444.0978145130998</c:v>
                </c:pt>
                <c:pt idx="30">
                  <c:v>3417.6693458625004</c:v>
                </c:pt>
                <c:pt idx="31">
                  <c:v>3390.0803792275001</c:v>
                </c:pt>
                <c:pt idx="32">
                  <c:v>3361.3368770766001</c:v>
                </c:pt>
                <c:pt idx="33">
                  <c:v>3331.4680889312999</c:v>
                </c:pt>
                <c:pt idx="34">
                  <c:v>3300.5230067803004</c:v>
                </c:pt>
                <c:pt idx="35">
                  <c:v>3268.5590274032002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Données!$C$360:$AL$360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2450.4827209564</c:v>
                </c:pt>
                <c:pt idx="2">
                  <c:v>2407.9146154036998</c:v>
                </c:pt>
                <c:pt idx="3">
                  <c:v>2374.0527327489999</c:v>
                </c:pt>
                <c:pt idx="4">
                  <c:v>2345.4882297994</c:v>
                </c:pt>
                <c:pt idx="5">
                  <c:v>2320.2305472912003</c:v>
                </c:pt>
                <c:pt idx="6">
                  <c:v>2297.0170532646998</c:v>
                </c:pt>
                <c:pt idx="7">
                  <c:v>2275.0620414694004</c:v>
                </c:pt>
                <c:pt idx="8">
                  <c:v>2253.9414695675</c:v>
                </c:pt>
                <c:pt idx="9">
                  <c:v>2233.6238160869998</c:v>
                </c:pt>
                <c:pt idx="10">
                  <c:v>2214.4108595460002</c:v>
                </c:pt>
                <c:pt idx="11">
                  <c:v>2195.6955617620997</c:v>
                </c:pt>
                <c:pt idx="12">
                  <c:v>2177.1512142622005</c:v>
                </c:pt>
                <c:pt idx="13">
                  <c:v>2158.4170786508002</c:v>
                </c:pt>
                <c:pt idx="14">
                  <c:v>2139.1823383777005</c:v>
                </c:pt>
                <c:pt idx="15">
                  <c:v>2119.2236633235002</c:v>
                </c:pt>
                <c:pt idx="16">
                  <c:v>2098.4042227154</c:v>
                </c:pt>
                <c:pt idx="17">
                  <c:v>2076.6520057723997</c:v>
                </c:pt>
                <c:pt idx="18">
                  <c:v>2053.9331086491998</c:v>
                </c:pt>
                <c:pt idx="19">
                  <c:v>2030.2313047036</c:v>
                </c:pt>
                <c:pt idx="20">
                  <c:v>2005.3184888465</c:v>
                </c:pt>
                <c:pt idx="21">
                  <c:v>1979.4474083969999</c:v>
                </c:pt>
                <c:pt idx="22">
                  <c:v>1952.6484177580999</c:v>
                </c:pt>
                <c:pt idx="23">
                  <c:v>1924.9481060889</c:v>
                </c:pt>
                <c:pt idx="24">
                  <c:v>1896.3712015489</c:v>
                </c:pt>
                <c:pt idx="25">
                  <c:v>1866.3817146833999</c:v>
                </c:pt>
                <c:pt idx="26">
                  <c:v>1835.4791553496</c:v>
                </c:pt>
                <c:pt idx="27">
                  <c:v>1803.8107371133001</c:v>
                </c:pt>
                <c:pt idx="28">
                  <c:v>1771.4984250119001</c:v>
                </c:pt>
                <c:pt idx="29">
                  <c:v>1738.6274657641002</c:v>
                </c:pt>
                <c:pt idx="30">
                  <c:v>1705.2556285016999</c:v>
                </c:pt>
                <c:pt idx="31">
                  <c:v>1671.4271433239001</c:v>
                </c:pt>
                <c:pt idx="32">
                  <c:v>1637.1852697245999</c:v>
                </c:pt>
                <c:pt idx="33">
                  <c:v>1602.5796080683999</c:v>
                </c:pt>
                <c:pt idx="34">
                  <c:v>1567.6673496733997</c:v>
                </c:pt>
                <c:pt idx="35">
                  <c:v>1532.5101221566999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Données!$C$361:$AL$361</c:f>
              <c:numCache>
                <c:formatCode>#,##0</c:formatCode>
                <c:ptCount val="36"/>
                <c:pt idx="0">
                  <c:v>1245.466605953</c:v>
                </c:pt>
                <c:pt idx="1">
                  <c:v>1214.5318220569</c:v>
                </c:pt>
                <c:pt idx="2">
                  <c:v>1189.3502253359002</c:v>
                </c:pt>
                <c:pt idx="3">
                  <c:v>1166.9557692291999</c:v>
                </c:pt>
                <c:pt idx="4">
                  <c:v>1145.5745183898</c:v>
                </c:pt>
                <c:pt idx="5">
                  <c:v>1124.1983898601002</c:v>
                </c:pt>
                <c:pt idx="6">
                  <c:v>1102.2332884754001</c:v>
                </c:pt>
                <c:pt idx="7">
                  <c:v>1079.3331181463002</c:v>
                </c:pt>
                <c:pt idx="8">
                  <c:v>1055.3278306056</c:v>
                </c:pt>
                <c:pt idx="9">
                  <c:v>1030.3171316926998</c:v>
                </c:pt>
                <c:pt idx="10">
                  <c:v>1004.6047801082999</c:v>
                </c:pt>
                <c:pt idx="11">
                  <c:v>978.20241919289992</c:v>
                </c:pt>
                <c:pt idx="12">
                  <c:v>951.20654039140004</c:v>
                </c:pt>
                <c:pt idx="13">
                  <c:v>923.67279094720004</c:v>
                </c:pt>
                <c:pt idx="14">
                  <c:v>895.64883354009999</c:v>
                </c:pt>
                <c:pt idx="15">
                  <c:v>867.19676406760004</c:v>
                </c:pt>
                <c:pt idx="16">
                  <c:v>838.40145664149998</c:v>
                </c:pt>
                <c:pt idx="17">
                  <c:v>809.36752573050001</c:v>
                </c:pt>
                <c:pt idx="18">
                  <c:v>780.20984426919995</c:v>
                </c:pt>
                <c:pt idx="19">
                  <c:v>751.04314325120004</c:v>
                </c:pt>
                <c:pt idx="20">
                  <c:v>721.92472699700011</c:v>
                </c:pt>
                <c:pt idx="21">
                  <c:v>693.00756684780004</c:v>
                </c:pt>
                <c:pt idx="22">
                  <c:v>664.38325352870004</c:v>
                </c:pt>
                <c:pt idx="23">
                  <c:v>636.13008520109997</c:v>
                </c:pt>
                <c:pt idx="24">
                  <c:v>608.31359859979989</c:v>
                </c:pt>
                <c:pt idx="25">
                  <c:v>580.89266921679996</c:v>
                </c:pt>
                <c:pt idx="26">
                  <c:v>554.00000791339994</c:v>
                </c:pt>
                <c:pt idx="27">
                  <c:v>527.70395235579997</c:v>
                </c:pt>
                <c:pt idx="28">
                  <c:v>502.0651549172</c:v>
                </c:pt>
                <c:pt idx="29">
                  <c:v>477.13121430040007</c:v>
                </c:pt>
                <c:pt idx="30">
                  <c:v>452.93649587620001</c:v>
                </c:pt>
                <c:pt idx="31">
                  <c:v>429.50460124849997</c:v>
                </c:pt>
                <c:pt idx="32">
                  <c:v>406.85177092909998</c:v>
                </c:pt>
                <c:pt idx="33">
                  <c:v>384.98972420019999</c:v>
                </c:pt>
                <c:pt idx="34">
                  <c:v>363.92720441999995</c:v>
                </c:pt>
                <c:pt idx="35">
                  <c:v>343.67028361110005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Données!$C$355:$AL$355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2190.7784343653998</c:v>
                </c:pt>
                <c:pt idx="2">
                  <c:v>2146.7778280532002</c:v>
                </c:pt>
                <c:pt idx="3">
                  <c:v>2105.0624664915999</c:v>
                </c:pt>
                <c:pt idx="4">
                  <c:v>2062.3236244253999</c:v>
                </c:pt>
                <c:pt idx="5">
                  <c:v>2016.8417295222002</c:v>
                </c:pt>
                <c:pt idx="6">
                  <c:v>1967.7836434088001</c:v>
                </c:pt>
                <c:pt idx="7">
                  <c:v>1914.8231673921</c:v>
                </c:pt>
                <c:pt idx="8">
                  <c:v>1857.9804051055</c:v>
                </c:pt>
                <c:pt idx="9">
                  <c:v>1797.8467066795001</c:v>
                </c:pt>
                <c:pt idx="10">
                  <c:v>1735.3883191882001</c:v>
                </c:pt>
                <c:pt idx="11">
                  <c:v>1671.1423597214998</c:v>
                </c:pt>
                <c:pt idx="12">
                  <c:v>1605.7015163271999</c:v>
                </c:pt>
                <c:pt idx="13">
                  <c:v>1539.5250766476001</c:v>
                </c:pt>
                <c:pt idx="14">
                  <c:v>1472.9970975465999</c:v>
                </c:pt>
                <c:pt idx="15">
                  <c:v>1406.4722779653</c:v>
                </c:pt>
                <c:pt idx="16">
                  <c:v>1340.2977047746999</c:v>
                </c:pt>
                <c:pt idx="17">
                  <c:v>1274.8130144542001</c:v>
                </c:pt>
                <c:pt idx="18">
                  <c:v>1210.3379961449998</c:v>
                </c:pt>
                <c:pt idx="19">
                  <c:v>1147.1581588192</c:v>
                </c:pt>
                <c:pt idx="20">
                  <c:v>1085.4677268446999</c:v>
                </c:pt>
                <c:pt idx="21">
                  <c:v>1025.5170801257</c:v>
                </c:pt>
                <c:pt idx="22">
                  <c:v>967.46707399880006</c:v>
                </c:pt>
                <c:pt idx="23">
                  <c:v>911.43821022779991</c:v>
                </c:pt>
                <c:pt idx="24">
                  <c:v>857.51501204630006</c:v>
                </c:pt>
                <c:pt idx="25">
                  <c:v>805.68060956960005</c:v>
                </c:pt>
                <c:pt idx="26">
                  <c:v>756.03399982550002</c:v>
                </c:pt>
                <c:pt idx="27">
                  <c:v>708.61176356010003</c:v>
                </c:pt>
                <c:pt idx="28">
                  <c:v>663.43238444489998</c:v>
                </c:pt>
                <c:pt idx="29">
                  <c:v>620.49243792289997</c:v>
                </c:pt>
                <c:pt idx="30">
                  <c:v>579.76794593269994</c:v>
                </c:pt>
                <c:pt idx="31">
                  <c:v>541.21842380880003</c:v>
                </c:pt>
                <c:pt idx="32">
                  <c:v>504.79162435559999</c:v>
                </c:pt>
                <c:pt idx="33">
                  <c:v>470.42746949849999</c:v>
                </c:pt>
                <c:pt idx="34">
                  <c:v>438.06057583259997</c:v>
                </c:pt>
                <c:pt idx="35">
                  <c:v>407.62156389950002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Données!$C$329:$AL$329</c:f>
              <c:numCache>
                <c:formatCode>#,##0</c:formatCode>
                <c:ptCount val="36"/>
                <c:pt idx="0">
                  <c:v>32271.24</c:v>
                </c:pt>
                <c:pt idx="1">
                  <c:v>31905.153689999999</c:v>
                </c:pt>
                <c:pt idx="2">
                  <c:v>31737.259620000001</c:v>
                </c:pt>
                <c:pt idx="3">
                  <c:v>31687.74438</c:v>
                </c:pt>
                <c:pt idx="4">
                  <c:v>31708.942920000001</c:v>
                </c:pt>
                <c:pt idx="5">
                  <c:v>31774.15511</c:v>
                </c:pt>
                <c:pt idx="6">
                  <c:v>31865.31911</c:v>
                </c:pt>
                <c:pt idx="7">
                  <c:v>31976.52576</c:v>
                </c:pt>
                <c:pt idx="8">
                  <c:v>32104.599320000001</c:v>
                </c:pt>
                <c:pt idx="9">
                  <c:v>32247.10699</c:v>
                </c:pt>
                <c:pt idx="10">
                  <c:v>32407.07057</c:v>
                </c:pt>
                <c:pt idx="11">
                  <c:v>32573.617399999999</c:v>
                </c:pt>
                <c:pt idx="12">
                  <c:v>32743.078829999999</c:v>
                </c:pt>
                <c:pt idx="13">
                  <c:v>32912.438049999997</c:v>
                </c:pt>
                <c:pt idx="14">
                  <c:v>33079.725700000003</c:v>
                </c:pt>
                <c:pt idx="15">
                  <c:v>33243.506739999997</c:v>
                </c:pt>
                <c:pt idx="16">
                  <c:v>33402.25851</c:v>
                </c:pt>
                <c:pt idx="17">
                  <c:v>33554.003830000001</c:v>
                </c:pt>
                <c:pt idx="18">
                  <c:v>33696.281889999998</c:v>
                </c:pt>
                <c:pt idx="19">
                  <c:v>33826.361449999997</c:v>
                </c:pt>
                <c:pt idx="20">
                  <c:v>33937.082580000002</c:v>
                </c:pt>
                <c:pt idx="21">
                  <c:v>34031.193359999997</c:v>
                </c:pt>
                <c:pt idx="22">
                  <c:v>34106.906969999996</c:v>
                </c:pt>
                <c:pt idx="23">
                  <c:v>34162.29954</c:v>
                </c:pt>
                <c:pt idx="24">
                  <c:v>34195.474929999997</c:v>
                </c:pt>
                <c:pt idx="25">
                  <c:v>34192.087460000002</c:v>
                </c:pt>
                <c:pt idx="26">
                  <c:v>34160.816870000002</c:v>
                </c:pt>
                <c:pt idx="27">
                  <c:v>34102.243069999997</c:v>
                </c:pt>
                <c:pt idx="28">
                  <c:v>34016.10527</c:v>
                </c:pt>
                <c:pt idx="29">
                  <c:v>33901.514020000002</c:v>
                </c:pt>
                <c:pt idx="30">
                  <c:v>33757.460460000002</c:v>
                </c:pt>
                <c:pt idx="31">
                  <c:v>33583.208989999999</c:v>
                </c:pt>
                <c:pt idx="32">
                  <c:v>33378.471559999998</c:v>
                </c:pt>
                <c:pt idx="33">
                  <c:v>33143.373979999997</c:v>
                </c:pt>
                <c:pt idx="34">
                  <c:v>32878.295660000003</c:v>
                </c:pt>
                <c:pt idx="35">
                  <c:v>32583.6855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Données!$C$330:$AL$330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1.9952283040000001</c:v>
                </c:pt>
                <c:pt idx="2">
                  <c:v>2.0650117589999999</c:v>
                </c:pt>
                <c:pt idx="3">
                  <c:v>2.1392812110000001</c:v>
                </c:pt>
                <c:pt idx="4">
                  <c:v>2.2145258349999999</c:v>
                </c:pt>
                <c:pt idx="5">
                  <c:v>2.2889038930000001</c:v>
                </c:pt>
                <c:pt idx="6">
                  <c:v>2.3612399050000001</c:v>
                </c:pt>
                <c:pt idx="7">
                  <c:v>2.431334734</c:v>
                </c:pt>
                <c:pt idx="8">
                  <c:v>2.4991926910000002</c:v>
                </c:pt>
                <c:pt idx="9">
                  <c:v>2.56485947</c:v>
                </c:pt>
                <c:pt idx="10">
                  <c:v>2.6288202549999999</c:v>
                </c:pt>
                <c:pt idx="11">
                  <c:v>2.6903823689999999</c:v>
                </c:pt>
                <c:pt idx="12">
                  <c:v>2.7494305620000001</c:v>
                </c:pt>
                <c:pt idx="13">
                  <c:v>2.805887566</c:v>
                </c:pt>
                <c:pt idx="14">
                  <c:v>2.8597492120000001</c:v>
                </c:pt>
                <c:pt idx="15">
                  <c:v>2.9110436079999999</c:v>
                </c:pt>
                <c:pt idx="16">
                  <c:v>2.959780361</c:v>
                </c:pt>
                <c:pt idx="17">
                  <c:v>3.0059203390000002</c:v>
                </c:pt>
                <c:pt idx="18">
                  <c:v>3.0493732979999999</c:v>
                </c:pt>
                <c:pt idx="19">
                  <c:v>3.0900158279999999</c:v>
                </c:pt>
                <c:pt idx="20">
                  <c:v>3.1273423149999999</c:v>
                </c:pt>
                <c:pt idx="21">
                  <c:v>3.1616643199999999</c:v>
                </c:pt>
                <c:pt idx="22">
                  <c:v>3.192910914</c:v>
                </c:pt>
                <c:pt idx="23">
                  <c:v>3.2209924069999998</c:v>
                </c:pt>
                <c:pt idx="24">
                  <c:v>3.2458144670000002</c:v>
                </c:pt>
                <c:pt idx="25">
                  <c:v>3.2662303590000001</c:v>
                </c:pt>
                <c:pt idx="26">
                  <c:v>3.2830056239999998</c:v>
                </c:pt>
                <c:pt idx="27">
                  <c:v>3.2962342229999999</c:v>
                </c:pt>
                <c:pt idx="28">
                  <c:v>3.3059374109999999</c:v>
                </c:pt>
                <c:pt idx="29">
                  <c:v>3.3120805930000001</c:v>
                </c:pt>
                <c:pt idx="30">
                  <c:v>3.3146154910000001</c:v>
                </c:pt>
                <c:pt idx="31">
                  <c:v>3.313513205</c:v>
                </c:pt>
                <c:pt idx="32">
                  <c:v>3.3087794320000001</c:v>
                </c:pt>
                <c:pt idx="33">
                  <c:v>3.3004523959999998</c:v>
                </c:pt>
                <c:pt idx="34">
                  <c:v>3.2885900619999999</c:v>
                </c:pt>
                <c:pt idx="35">
                  <c:v>3.2732550900000001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Données!$C$327:$AL$327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63.504716629999997</c:v>
                </c:pt>
                <c:pt idx="2">
                  <c:v>84.238120499999994</c:v>
                </c:pt>
                <c:pt idx="3">
                  <c:v>107.1373129</c:v>
                </c:pt>
                <c:pt idx="4">
                  <c:v>132.9040263</c:v>
                </c:pt>
                <c:pt idx="5">
                  <c:v>162.64682970000001</c:v>
                </c:pt>
                <c:pt idx="6">
                  <c:v>197.6797837</c:v>
                </c:pt>
                <c:pt idx="7">
                  <c:v>239.50950510000001</c:v>
                </c:pt>
                <c:pt idx="8">
                  <c:v>289.63156240000001</c:v>
                </c:pt>
                <c:pt idx="9">
                  <c:v>349.42501979999997</c:v>
                </c:pt>
                <c:pt idx="10">
                  <c:v>420.24690429999998</c:v>
                </c:pt>
                <c:pt idx="11">
                  <c:v>502.83326570000003</c:v>
                </c:pt>
                <c:pt idx="12">
                  <c:v>597.89125820000004</c:v>
                </c:pt>
                <c:pt idx="13">
                  <c:v>705.95051890000002</c:v>
                </c:pt>
                <c:pt idx="14">
                  <c:v>827.44379619999995</c:v>
                </c:pt>
                <c:pt idx="15">
                  <c:v>962.75461510000002</c:v>
                </c:pt>
                <c:pt idx="16">
                  <c:v>1112.2525189999999</c:v>
                </c:pt>
                <c:pt idx="17">
                  <c:v>1276.332302</c:v>
                </c:pt>
                <c:pt idx="18">
                  <c:v>1455.4630890000001</c:v>
                </c:pt>
                <c:pt idx="19">
                  <c:v>1650.242489</c:v>
                </c:pt>
                <c:pt idx="20">
                  <c:v>1860.9979699999999</c:v>
                </c:pt>
                <c:pt idx="21">
                  <c:v>2089.1653710000001</c:v>
                </c:pt>
                <c:pt idx="22">
                  <c:v>2335.9494880000002</c:v>
                </c:pt>
                <c:pt idx="23">
                  <c:v>2602.689433</c:v>
                </c:pt>
                <c:pt idx="24">
                  <c:v>2890.8274249999999</c:v>
                </c:pt>
                <c:pt idx="25">
                  <c:v>3199.866751</c:v>
                </c:pt>
                <c:pt idx="26">
                  <c:v>3532.6301990000002</c:v>
                </c:pt>
                <c:pt idx="27">
                  <c:v>3890.780831</c:v>
                </c:pt>
                <c:pt idx="28">
                  <c:v>4275.7703890000003</c:v>
                </c:pt>
                <c:pt idx="29">
                  <c:v>4688.7984820000001</c:v>
                </c:pt>
                <c:pt idx="30">
                  <c:v>5130.8694539999997</c:v>
                </c:pt>
                <c:pt idx="31">
                  <c:v>5602.8708489999999</c:v>
                </c:pt>
                <c:pt idx="32">
                  <c:v>6105.6322890000001</c:v>
                </c:pt>
                <c:pt idx="33">
                  <c:v>6639.9414649999999</c:v>
                </c:pt>
                <c:pt idx="34">
                  <c:v>7206.5161550000003</c:v>
                </c:pt>
                <c:pt idx="35">
                  <c:v>7805.9496959999997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Données!$B$328</c15:sqref>
                        </c15:formulaRef>
                      </c:ext>
                    </c:extLst>
                    <c:strCache>
                      <c:ptCount val="1"/>
                      <c:pt idx="0">
                        <c:v>Véhicules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Données!$C$327:$AL$327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Données!$C$328:$AL$328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31970.653630000001</c:v>
                      </c:pt>
                      <c:pt idx="2">
                        <c:v>31823.562750000001</c:v>
                      </c:pt>
                      <c:pt idx="3">
                        <c:v>31797.020980000001</c:v>
                      </c:pt>
                      <c:pt idx="4">
                        <c:v>31844.061470000001</c:v>
                      </c:pt>
                      <c:pt idx="5">
                        <c:v>31939.090840000001</c:v>
                      </c:pt>
                      <c:pt idx="6">
                        <c:v>32065.360130000001</c:v>
                      </c:pt>
                      <c:pt idx="7">
                        <c:v>32218.466609999999</c:v>
                      </c:pt>
                      <c:pt idx="8">
                        <c:v>32396.730080000001</c:v>
                      </c:pt>
                      <c:pt idx="9">
                        <c:v>32599.096870000001</c:v>
                      </c:pt>
                      <c:pt idx="10">
                        <c:v>32829.946300000003</c:v>
                      </c:pt>
                      <c:pt idx="11">
                        <c:v>33079.141060000002</c:v>
                      </c:pt>
                      <c:pt idx="12">
                        <c:v>33343.719530000002</c:v>
                      </c:pt>
                      <c:pt idx="13">
                        <c:v>33621.194470000002</c:v>
                      </c:pt>
                      <c:pt idx="14">
                        <c:v>33910.029260000003</c:v>
                      </c:pt>
                      <c:pt idx="15">
                        <c:v>34209.172420000003</c:v>
                      </c:pt>
                      <c:pt idx="16">
                        <c:v>34517.470829999998</c:v>
                      </c:pt>
                      <c:pt idx="17">
                        <c:v>34833.342080000002</c:v>
                      </c:pt>
                      <c:pt idx="18">
                        <c:v>35154.794390000003</c:v>
                      </c:pt>
                      <c:pt idx="19">
                        <c:v>35479.694000000003</c:v>
                      </c:pt>
                      <c:pt idx="20">
                        <c:v>35801.20794</c:v>
                      </c:pt>
                      <c:pt idx="21">
                        <c:v>36123.520450000004</c:v>
                      </c:pt>
                      <c:pt idx="22">
                        <c:v>36446.049440000003</c:v>
                      </c:pt>
                      <c:pt idx="23">
                        <c:v>36768.210039999998</c:v>
                      </c:pt>
                      <c:pt idx="24">
                        <c:v>37089.54825</c:v>
                      </c:pt>
                      <c:pt idx="25">
                        <c:v>37395.220520000003</c:v>
                      </c:pt>
                      <c:pt idx="26">
                        <c:v>37696.730170000003</c:v>
                      </c:pt>
                      <c:pt idx="27">
                        <c:v>37996.320229999998</c:v>
                      </c:pt>
                      <c:pt idx="28">
                        <c:v>38295.181700000001</c:v>
                      </c:pt>
                      <c:pt idx="29">
                        <c:v>38593.624689999997</c:v>
                      </c:pt>
                      <c:pt idx="30">
                        <c:v>38891.644639999999</c:v>
                      </c:pt>
                      <c:pt idx="31">
                        <c:v>39189.393470000003</c:v>
                      </c:pt>
                      <c:pt idx="32">
                        <c:v>39487.412750000003</c:v>
                      </c:pt>
                      <c:pt idx="33">
                        <c:v>39786.616020000001</c:v>
                      </c:pt>
                      <c:pt idx="34">
                        <c:v>40088.100530000003</c:v>
                      </c:pt>
                      <c:pt idx="35">
                        <c:v>40392.908580000003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Données!$C$323:$AL$323</c:f>
              <c:numCache>
                <c:formatCode>#,##0</c:formatCode>
                <c:ptCount val="36"/>
                <c:pt idx="0">
                  <c:v>32271.24</c:v>
                </c:pt>
                <c:pt idx="1">
                  <c:v>31905.153689999999</c:v>
                </c:pt>
                <c:pt idx="2">
                  <c:v>31737.259620000001</c:v>
                </c:pt>
                <c:pt idx="3">
                  <c:v>31687.74438</c:v>
                </c:pt>
                <c:pt idx="4">
                  <c:v>31708.942920000001</c:v>
                </c:pt>
                <c:pt idx="5">
                  <c:v>31774.15511</c:v>
                </c:pt>
                <c:pt idx="6">
                  <c:v>31867.201120000002</c:v>
                </c:pt>
                <c:pt idx="7">
                  <c:v>31980.788209999999</c:v>
                </c:pt>
                <c:pt idx="8">
                  <c:v>32115.548030000002</c:v>
                </c:pt>
                <c:pt idx="9">
                  <c:v>32276.411800000002</c:v>
                </c:pt>
                <c:pt idx="10">
                  <c:v>32471.722659999999</c:v>
                </c:pt>
                <c:pt idx="11">
                  <c:v>32692.215069999998</c:v>
                </c:pt>
                <c:pt idx="12">
                  <c:v>32932.86537</c:v>
                </c:pt>
                <c:pt idx="13">
                  <c:v>33187.862209999999</c:v>
                </c:pt>
                <c:pt idx="14">
                  <c:v>33452.147400000002</c:v>
                </c:pt>
                <c:pt idx="15">
                  <c:v>33721.913460000003</c:v>
                </c:pt>
                <c:pt idx="16">
                  <c:v>33994.342170000004</c:v>
                </c:pt>
                <c:pt idx="17">
                  <c:v>34267.048569999999</c:v>
                </c:pt>
                <c:pt idx="18">
                  <c:v>34537.607629999999</c:v>
                </c:pt>
                <c:pt idx="19">
                  <c:v>34803.371639999998</c:v>
                </c:pt>
                <c:pt idx="20">
                  <c:v>35056.747530000001</c:v>
                </c:pt>
                <c:pt idx="21">
                  <c:v>35300.837099999997</c:v>
                </c:pt>
                <c:pt idx="22">
                  <c:v>35533.851840000003</c:v>
                </c:pt>
                <c:pt idx="23">
                  <c:v>35754.171649999997</c:v>
                </c:pt>
                <c:pt idx="24">
                  <c:v>35960.530059999997</c:v>
                </c:pt>
                <c:pt idx="25">
                  <c:v>36137.861109999998</c:v>
                </c:pt>
                <c:pt idx="26">
                  <c:v>36297.357029999999</c:v>
                </c:pt>
                <c:pt idx="27">
                  <c:v>36440.936000000002</c:v>
                </c:pt>
                <c:pt idx="28">
                  <c:v>36569.399140000001</c:v>
                </c:pt>
                <c:pt idx="29">
                  <c:v>36682.496590000002</c:v>
                </c:pt>
                <c:pt idx="30">
                  <c:v>36779.45895</c:v>
                </c:pt>
                <c:pt idx="31">
                  <c:v>36859.474439999998</c:v>
                </c:pt>
                <c:pt idx="32">
                  <c:v>36921.952360000003</c:v>
                </c:pt>
                <c:pt idx="33">
                  <c:v>36966.542999999998</c:v>
                </c:pt>
                <c:pt idx="34">
                  <c:v>36992.987639999999</c:v>
                </c:pt>
                <c:pt idx="35">
                  <c:v>37000.915789999999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Données!$C$324:$AL$324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1.9952283040000001</c:v>
                </c:pt>
                <c:pt idx="2">
                  <c:v>2.0650117589999999</c:v>
                </c:pt>
                <c:pt idx="3">
                  <c:v>2.1392812110000001</c:v>
                </c:pt>
                <c:pt idx="4">
                  <c:v>2.2145258349999999</c:v>
                </c:pt>
                <c:pt idx="5">
                  <c:v>2.2889038930000001</c:v>
                </c:pt>
                <c:pt idx="6">
                  <c:v>2.3613980149999998</c:v>
                </c:pt>
                <c:pt idx="7">
                  <c:v>2.4316952490000001</c:v>
                </c:pt>
                <c:pt idx="8">
                  <c:v>2.5001202600000001</c:v>
                </c:pt>
                <c:pt idx="9">
                  <c:v>2.5673427609999999</c:v>
                </c:pt>
                <c:pt idx="10">
                  <c:v>2.6343094900000001</c:v>
                </c:pt>
                <c:pt idx="11">
                  <c:v>2.7004832319999998</c:v>
                </c:pt>
                <c:pt idx="12">
                  <c:v>2.765656141</c:v>
                </c:pt>
                <c:pt idx="13">
                  <c:v>2.8295343370000001</c:v>
                </c:pt>
                <c:pt idx="14">
                  <c:v>2.8918675939999998</c:v>
                </c:pt>
                <c:pt idx="15">
                  <c:v>2.9524933240000002</c:v>
                </c:pt>
                <c:pt idx="16">
                  <c:v>3.0113173199999999</c:v>
                </c:pt>
                <c:pt idx="17">
                  <c:v>3.0682692349999998</c:v>
                </c:pt>
                <c:pt idx="18">
                  <c:v>3.1232641619999999</c:v>
                </c:pt>
                <c:pt idx="19">
                  <c:v>3.1761879350000002</c:v>
                </c:pt>
                <c:pt idx="20">
                  <c:v>3.2265007510000001</c:v>
                </c:pt>
                <c:pt idx="21">
                  <c:v>3.274545389</c:v>
                </c:pt>
                <c:pt idx="22">
                  <c:v>3.320252644</c:v>
                </c:pt>
                <c:pt idx="23">
                  <c:v>3.3635600910000001</c:v>
                </c:pt>
                <c:pt idx="24">
                  <c:v>3.4044283219999998</c:v>
                </c:pt>
                <c:pt idx="25">
                  <c:v>3.441652806</c:v>
                </c:pt>
                <c:pt idx="26">
                  <c:v>3.476211771</c:v>
                </c:pt>
                <c:pt idx="27">
                  <c:v>3.5083163580000001</c:v>
                </c:pt>
                <c:pt idx="28">
                  <c:v>3.538083205</c:v>
                </c:pt>
                <c:pt idx="29">
                  <c:v>3.5655386060000001</c:v>
                </c:pt>
                <c:pt idx="30">
                  <c:v>3.5906619320000002</c:v>
                </c:pt>
                <c:pt idx="31">
                  <c:v>3.613425248</c:v>
                </c:pt>
                <c:pt idx="32">
                  <c:v>3.6338156349999999</c:v>
                </c:pt>
                <c:pt idx="33">
                  <c:v>3.6518373639999999</c:v>
                </c:pt>
                <c:pt idx="34">
                  <c:v>3.6674997980000001</c:v>
                </c:pt>
                <c:pt idx="35">
                  <c:v>3.6808006299999998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Données!$C$321:$AL$321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Données!$C$325:$AL$325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63.504716629999997</c:v>
                </c:pt>
                <c:pt idx="2">
                  <c:v>84.238120499999994</c:v>
                </c:pt>
                <c:pt idx="3">
                  <c:v>107.1373129</c:v>
                </c:pt>
                <c:pt idx="4">
                  <c:v>132.9040263</c:v>
                </c:pt>
                <c:pt idx="5">
                  <c:v>162.64682970000001</c:v>
                </c:pt>
                <c:pt idx="6">
                  <c:v>197.7176121</c:v>
                </c:pt>
                <c:pt idx="7">
                  <c:v>238.16132379999999</c:v>
                </c:pt>
                <c:pt idx="8">
                  <c:v>282.19382200000001</c:v>
                </c:pt>
                <c:pt idx="9">
                  <c:v>328.2567975</c:v>
                </c:pt>
                <c:pt idx="10">
                  <c:v>375.13899140000001</c:v>
                </c:pt>
                <c:pt idx="11">
                  <c:v>421.60780310000001</c:v>
                </c:pt>
                <c:pt idx="12">
                  <c:v>466.9364933</c:v>
                </c:pt>
                <c:pt idx="13">
                  <c:v>510.81607100000002</c:v>
                </c:pt>
                <c:pt idx="14">
                  <c:v>553.39085160000002</c:v>
                </c:pt>
                <c:pt idx="15">
                  <c:v>595.23956099999998</c:v>
                </c:pt>
                <c:pt idx="16">
                  <c:v>637.31921809999994</c:v>
                </c:pt>
                <c:pt idx="17">
                  <c:v>680.88860179999995</c:v>
                </c:pt>
                <c:pt idx="18">
                  <c:v>727.41798940000001</c:v>
                </c:pt>
                <c:pt idx="19">
                  <c:v>778.49462679999999</c:v>
                </c:pt>
                <c:pt idx="20">
                  <c:v>835.59239460000003</c:v>
                </c:pt>
                <c:pt idx="21">
                  <c:v>900.42280960000005</c:v>
                </c:pt>
                <c:pt idx="22">
                  <c:v>974.45272339999997</c:v>
                </c:pt>
                <c:pt idx="23">
                  <c:v>1059.0096880000001</c:v>
                </c:pt>
                <c:pt idx="24">
                  <c:v>1155.2687069999999</c:v>
                </c:pt>
                <c:pt idx="25">
                  <c:v>1263.525752</c:v>
                </c:pt>
                <c:pt idx="26">
                  <c:v>1385.1294330000001</c:v>
                </c:pt>
                <c:pt idx="27">
                  <c:v>1520.894448</c:v>
                </c:pt>
                <c:pt idx="28">
                  <c:v>1671.504173</c:v>
                </c:pt>
                <c:pt idx="29">
                  <c:v>1837.539336</c:v>
                </c:pt>
                <c:pt idx="30">
                  <c:v>2019.5527239999999</c:v>
                </c:pt>
                <c:pt idx="31">
                  <c:v>2218.1505790000001</c:v>
                </c:pt>
                <c:pt idx="32">
                  <c:v>2434.0557939999999</c:v>
                </c:pt>
                <c:pt idx="33">
                  <c:v>2668.1375979999998</c:v>
                </c:pt>
                <c:pt idx="34">
                  <c:v>2921.406336</c:v>
                </c:pt>
                <c:pt idx="35">
                  <c:v>3194.983193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Données!$B$322</c15:sqref>
                        </c15:formulaRef>
                      </c:ext>
                    </c:extLst>
                    <c:strCache>
                      <c:ptCount val="1"/>
                      <c:pt idx="0">
                        <c:v>Véhicules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Données!$C$321:$AL$321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Données!$C$322:$AL$322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31970.653630000001</c:v>
                      </c:pt>
                      <c:pt idx="2">
                        <c:v>31823.562750000001</c:v>
                      </c:pt>
                      <c:pt idx="3">
                        <c:v>31797.020980000001</c:v>
                      </c:pt>
                      <c:pt idx="4">
                        <c:v>31844.061470000001</c:v>
                      </c:pt>
                      <c:pt idx="5">
                        <c:v>31939.090840000001</c:v>
                      </c:pt>
                      <c:pt idx="6">
                        <c:v>32067.280129999999</c:v>
                      </c:pt>
                      <c:pt idx="7">
                        <c:v>32221.381229999999</c:v>
                      </c:pt>
                      <c:pt idx="8">
                        <c:v>32400.241979999999</c:v>
                      </c:pt>
                      <c:pt idx="9">
                        <c:v>32607.235939999999</c:v>
                      </c:pt>
                      <c:pt idx="10">
                        <c:v>32849.49596</c:v>
                      </c:pt>
                      <c:pt idx="11">
                        <c:v>33116.523359999999</c:v>
                      </c:pt>
                      <c:pt idx="12">
                        <c:v>33402.56753</c:v>
                      </c:pt>
                      <c:pt idx="13">
                        <c:v>33701.507830000002</c:v>
                      </c:pt>
                      <c:pt idx="14">
                        <c:v>34008.430139999997</c:v>
                      </c:pt>
                      <c:pt idx="15">
                        <c:v>34320.105539999997</c:v>
                      </c:pt>
                      <c:pt idx="16">
                        <c:v>34634.672729999998</c:v>
                      </c:pt>
                      <c:pt idx="17">
                        <c:v>34951.005469999996</c:v>
                      </c:pt>
                      <c:pt idx="18">
                        <c:v>35268.14892</c:v>
                      </c:pt>
                      <c:pt idx="19">
                        <c:v>35585.042500000003</c:v>
                      </c:pt>
                      <c:pt idx="20">
                        <c:v>35895.566480000001</c:v>
                      </c:pt>
                      <c:pt idx="21">
                        <c:v>36204.534509999998</c:v>
                      </c:pt>
                      <c:pt idx="22">
                        <c:v>36511.62487</c:v>
                      </c:pt>
                      <c:pt idx="23">
                        <c:v>36816.544959999999</c:v>
                      </c:pt>
                      <c:pt idx="24">
                        <c:v>37119.203269999998</c:v>
                      </c:pt>
                      <c:pt idx="25">
                        <c:v>37404.828589999997</c:v>
                      </c:pt>
                      <c:pt idx="26">
                        <c:v>37685.962749999999</c:v>
                      </c:pt>
                      <c:pt idx="27">
                        <c:v>37965.33885</c:v>
                      </c:pt>
                      <c:pt idx="28">
                        <c:v>38244.441480000001</c:v>
                      </c:pt>
                      <c:pt idx="29">
                        <c:v>38523.601560000003</c:v>
                      </c:pt>
                      <c:pt idx="30">
                        <c:v>38802.602440000002</c:v>
                      </c:pt>
                      <c:pt idx="31">
                        <c:v>39081.238539999998</c:v>
                      </c:pt>
                      <c:pt idx="32">
                        <c:v>39359.642079999998</c:v>
                      </c:pt>
                      <c:pt idx="33">
                        <c:v>39638.332549999999</c:v>
                      </c:pt>
                      <c:pt idx="34">
                        <c:v>39918.061600000001</c:v>
                      </c:pt>
                      <c:pt idx="35">
                        <c:v>40199.57991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Données!$C$238:$E$238</c:f>
              <c:numCache>
                <c:formatCode>#,##0</c:formatCode>
                <c:ptCount val="3"/>
                <c:pt idx="0">
                  <c:v>0.41113389999998162</c:v>
                </c:pt>
                <c:pt idx="1">
                  <c:v>-0.78550559999996494</c:v>
                </c:pt>
                <c:pt idx="2">
                  <c:v>0.15425980000009076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Données!$C$239:$E$239</c:f>
              <c:numCache>
                <c:formatCode>#,##0</c:formatCode>
                <c:ptCount val="3"/>
                <c:pt idx="0">
                  <c:v>-4.5422430000000986</c:v>
                </c:pt>
                <c:pt idx="1">
                  <c:v>4.8416879999999765</c:v>
                </c:pt>
                <c:pt idx="2">
                  <c:v>0.64949299999989307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Données!$C$240:$E$240</c:f>
              <c:numCache>
                <c:formatCode>#,##0</c:formatCode>
                <c:ptCount val="3"/>
                <c:pt idx="0">
                  <c:v>-2.760339689999995</c:v>
                </c:pt>
                <c:pt idx="1">
                  <c:v>0.755116969999996</c:v>
                </c:pt>
                <c:pt idx="2">
                  <c:v>-0.34263313000000295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Données!$C$241:$E$241</c:f>
              <c:numCache>
                <c:formatCode>#,##0</c:formatCode>
                <c:ptCount val="3"/>
                <c:pt idx="0">
                  <c:v>-14.331545000000006</c:v>
                </c:pt>
                <c:pt idx="1">
                  <c:v>-5.2013769999998658</c:v>
                </c:pt>
                <c:pt idx="2">
                  <c:v>-4.0811100000000806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Données!$C$242:$E$242</c:f>
              <c:numCache>
                <c:formatCode>#,##0</c:formatCode>
                <c:ptCount val="3"/>
                <c:pt idx="0">
                  <c:v>0.14143133999999691</c:v>
                </c:pt>
                <c:pt idx="1">
                  <c:v>0.36068412000000194</c:v>
                </c:pt>
                <c:pt idx="2">
                  <c:v>0.6040981599999995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Données!$C$243:$E$243</c:f>
              <c:numCache>
                <c:formatCode>#,##0</c:formatCode>
                <c:ptCount val="3"/>
                <c:pt idx="0">
                  <c:v>-53.848799999999756</c:v>
                </c:pt>
                <c:pt idx="1">
                  <c:v>-31.629059999999299</c:v>
                </c:pt>
                <c:pt idx="2">
                  <c:v>-39.490590000001248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Données!$C$244:$E$244</c:f>
              <c:numCache>
                <c:formatCode>#,##0</c:formatCode>
                <c:ptCount val="3"/>
                <c:pt idx="0">
                  <c:v>-4.0115436999999474</c:v>
                </c:pt>
                <c:pt idx="1">
                  <c:v>-1.7653495000000703</c:v>
                </c:pt>
                <c:pt idx="2">
                  <c:v>-1.6468624000000318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Données!$C$236:$E$236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Données!$C$237:$E$237</c:f>
              <c:numCache>
                <c:formatCode>#,##0</c:formatCode>
                <c:ptCount val="3"/>
                <c:pt idx="0">
                  <c:v>-78.941910000001371</c:v>
                </c:pt>
                <c:pt idx="1">
                  <c:v>-33.423810000000231</c:v>
                </c:pt>
                <c:pt idx="2">
                  <c:v>-44.153350000000501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Données!$C$303:$E$303</c:f>
              <c:numCache>
                <c:formatCode>0.0%</c:formatCode>
                <c:ptCount val="3"/>
                <c:pt idx="0">
                  <c:v>4.3012070295220806E-3</c:v>
                </c:pt>
                <c:pt idx="1">
                  <c:v>5.3777811199191561E-3</c:v>
                </c:pt>
                <c:pt idx="2">
                  <c:v>4.7771959858837754E-3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Données!$C$304:$E$304</c:f>
              <c:numCache>
                <c:formatCode>0.0%</c:formatCode>
                <c:ptCount val="3"/>
                <c:pt idx="0">
                  <c:v>-2.0696445853691792E-3</c:v>
                </c:pt>
                <c:pt idx="1">
                  <c:v>4.4205515907675963E-3</c:v>
                </c:pt>
                <c:pt idx="2">
                  <c:v>1.9912815945073437E-3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Données!$C$305:$E$305</c:f>
              <c:numCache>
                <c:formatCode>0.0%</c:formatCode>
                <c:ptCount val="3"/>
                <c:pt idx="0">
                  <c:v>-0.11606852084046737</c:v>
                </c:pt>
                <c:pt idx="1">
                  <c:v>-5.4391240668734686E-2</c:v>
                </c:pt>
                <c:pt idx="2">
                  <c:v>-3.5975511735657828E-2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Données!$C$306:$E$306</c:f>
              <c:numCache>
                <c:formatCode>0.0%</c:formatCode>
                <c:ptCount val="3"/>
                <c:pt idx="0">
                  <c:v>-1.9965459311050981E-3</c:v>
                </c:pt>
                <c:pt idx="1">
                  <c:v>2.4413632330868573E-3</c:v>
                </c:pt>
                <c:pt idx="2">
                  <c:v>2.9871768722509184E-3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Données!$C$307:$E$307</c:f>
              <c:numCache>
                <c:formatCode>0.0%</c:formatCode>
                <c:ptCount val="3"/>
                <c:pt idx="0">
                  <c:v>5.6536487313012529E-3</c:v>
                </c:pt>
                <c:pt idx="1">
                  <c:v>7.0284959344597553E-3</c:v>
                </c:pt>
                <c:pt idx="2">
                  <c:v>9.4940956343401162E-3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Données!$C$309:$E$309</c:f>
              <c:numCache>
                <c:formatCode>0.0%</c:formatCode>
                <c:ptCount val="3"/>
                <c:pt idx="0">
                  <c:v>-5.0367191545359624E-3</c:v>
                </c:pt>
                <c:pt idx="1">
                  <c:v>-1.1996867604011641E-3</c:v>
                </c:pt>
                <c:pt idx="2">
                  <c:v>-1.5669912995062152E-3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Données!$C$301:$E$301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Données!$C$308:$E$308</c:f>
              <c:numCache>
                <c:formatCode>0.0%</c:formatCode>
                <c:ptCount val="3"/>
                <c:pt idx="0">
                  <c:v>-1.4892513676630914E-3</c:v>
                </c:pt>
                <c:pt idx="1">
                  <c:v>3.4860722058223104E-3</c:v>
                </c:pt>
                <c:pt idx="2">
                  <c:v>1.1538306356162487E-3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Données!$B$302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Données!$C$301:$E$301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Données!$C$302:$E$302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-3.1850904682129144E-3</c:v>
                      </c:pt>
                      <c:pt idx="1">
                        <c:v>2.4734728223496649E-3</c:v>
                      </c:pt>
                      <c:pt idx="2">
                        <c:v>8.9415547112392524E-4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27EF-4C8A-9797-5E7405BD4BE1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Données!$C$313:$E$313</c:f>
              <c:numCache>
                <c:formatCode>0.0%</c:formatCode>
                <c:ptCount val="3"/>
                <c:pt idx="0">
                  <c:v>9.2001148706433888E-5</c:v>
                </c:pt>
                <c:pt idx="1">
                  <c:v>9.7521659851900866E-5</c:v>
                </c:pt>
                <c:pt idx="2">
                  <c:v>7.3925228390355261E-5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Données!$C$314:$E$314</c:f>
              <c:numCache>
                <c:formatCode>0.0%</c:formatCode>
                <c:ptCount val="3"/>
                <c:pt idx="0">
                  <c:v>-3.6914667828283043E-5</c:v>
                </c:pt>
                <c:pt idx="1">
                  <c:v>7.6204035301567812E-5</c:v>
                </c:pt>
                <c:pt idx="2">
                  <c:v>3.4163855174383047E-5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Données!$C$315:$E$315</c:f>
              <c:numCache>
                <c:formatCode>0.0%</c:formatCode>
                <c:ptCount val="3"/>
                <c:pt idx="0">
                  <c:v>-1.7240084915681076E-3</c:v>
                </c:pt>
                <c:pt idx="1">
                  <c:v>-7.7705460663962634E-4</c:v>
                </c:pt>
                <c:pt idx="2">
                  <c:v>-5.1001611643893018E-4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Données!$C$316:$E$316</c:f>
              <c:numCache>
                <c:formatCode>0.0%</c:formatCode>
                <c:ptCount val="3"/>
                <c:pt idx="0">
                  <c:v>-2.4440680077029113E-4</c:v>
                </c:pt>
                <c:pt idx="1">
                  <c:v>2.8882276937449553E-4</c:v>
                </c:pt>
                <c:pt idx="2">
                  <c:v>3.4309992854090321E-4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Données!$C$317:$E$317</c:f>
              <c:numCache>
                <c:formatCode>0.0%</c:formatCode>
                <c:ptCount val="3"/>
                <c:pt idx="0">
                  <c:v>5.2261424784562634E-5</c:v>
                </c:pt>
                <c:pt idx="1">
                  <c:v>6.155059952365234E-5</c:v>
                </c:pt>
                <c:pt idx="2">
                  <c:v>7.6582292728185502E-5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Données!$C$318:$E$318</c:f>
              <c:numCache>
                <c:formatCode>0.0%</c:formatCode>
                <c:ptCount val="3"/>
                <c:pt idx="0">
                  <c:v>-1.1658820432897731E-3</c:v>
                </c:pt>
                <c:pt idx="1">
                  <c:v>2.7631899026418472E-3</c:v>
                </c:pt>
                <c:pt idx="2">
                  <c:v>9.2338909836872348E-4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Données!$C$319:$E$319</c:f>
              <c:numCache>
                <c:formatCode>0.0%</c:formatCode>
                <c:ptCount val="3"/>
                <c:pt idx="0">
                  <c:v>-1.5814098783929965E-4</c:v>
                </c:pt>
                <c:pt idx="1">
                  <c:v>-3.6761564827480559E-5</c:v>
                </c:pt>
                <c:pt idx="2">
                  <c:v>-4.6988911882376735E-5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Données!$C$311:$E$311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Données!$C$312:$E$312</c:f>
              <c:numCache>
                <c:formatCode>0.0%</c:formatCode>
                <c:ptCount val="3"/>
                <c:pt idx="0">
                  <c:v>-3.1850904682129144E-3</c:v>
                </c:pt>
                <c:pt idx="1">
                  <c:v>2.4734728223496649E-3</c:v>
                </c:pt>
                <c:pt idx="2">
                  <c:v>8.9415547112392524E-4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Données!$C$586:$F$586</c:f>
              <c:numCache>
                <c:formatCode>#,##0</c:formatCode>
                <c:ptCount val="4"/>
                <c:pt idx="0">
                  <c:v>14.217447787500001</c:v>
                </c:pt>
                <c:pt idx="1">
                  <c:v>15.846064371000001</c:v>
                </c:pt>
                <c:pt idx="2">
                  <c:v>16.090609570399998</c:v>
                </c:pt>
                <c:pt idx="3">
                  <c:v>16.405420310500002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Données!$C$587:$F$587</c:f>
              <c:numCache>
                <c:formatCode>#,##0</c:formatCode>
                <c:ptCount val="4"/>
                <c:pt idx="0">
                  <c:v>9.9243294500000001</c:v>
                </c:pt>
                <c:pt idx="1">
                  <c:v>10.71830772</c:v>
                </c:pt>
                <c:pt idx="2">
                  <c:v>10.921029389999999</c:v>
                </c:pt>
                <c:pt idx="3">
                  <c:v>11.115217169999999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Données!$C$588:$F$588</c:f>
              <c:numCache>
                <c:formatCode>#,##0</c:formatCode>
                <c:ptCount val="4"/>
                <c:pt idx="0">
                  <c:v>22.441554177</c:v>
                </c:pt>
                <c:pt idx="1">
                  <c:v>25.633815789</c:v>
                </c:pt>
                <c:pt idx="2">
                  <c:v>29.461759530999998</c:v>
                </c:pt>
                <c:pt idx="3">
                  <c:v>34.296069818999996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Données!$C$589:$F$589</c:f>
              <c:numCache>
                <c:formatCode>#,##0</c:formatCode>
                <c:ptCount val="4"/>
                <c:pt idx="0">
                  <c:v>6.6701769219999996</c:v>
                </c:pt>
                <c:pt idx="1">
                  <c:v>7.6595717790000002</c:v>
                </c:pt>
                <c:pt idx="2">
                  <c:v>8.7919530689999998</c:v>
                </c:pt>
                <c:pt idx="3">
                  <c:v>10.097231835999999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Données!$C$590:$F$590</c:f>
              <c:numCache>
                <c:formatCode>#,##0</c:formatCode>
                <c:ptCount val="4"/>
                <c:pt idx="0">
                  <c:v>22.198192915</c:v>
                </c:pt>
                <c:pt idx="1">
                  <c:v>25.804617815999997</c:v>
                </c:pt>
                <c:pt idx="2">
                  <c:v>29.490897459999999</c:v>
                </c:pt>
                <c:pt idx="3">
                  <c:v>33.8400654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Données!$C$591:$F$591</c:f>
              <c:numCache>
                <c:formatCode>#,##0</c:formatCode>
                <c:ptCount val="4"/>
                <c:pt idx="0">
                  <c:v>19.210548395099998</c:v>
                </c:pt>
                <c:pt idx="1">
                  <c:v>22.037032642200003</c:v>
                </c:pt>
                <c:pt idx="2">
                  <c:v>25.272176943200002</c:v>
                </c:pt>
                <c:pt idx="3">
                  <c:v>29.440861829199999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Données!$C$592:$F$592</c:f>
              <c:numCache>
                <c:formatCode>#,##0</c:formatCode>
                <c:ptCount val="4"/>
                <c:pt idx="0">
                  <c:v>16.199527710000002</c:v>
                </c:pt>
                <c:pt idx="1">
                  <c:v>18.376874229999999</c:v>
                </c:pt>
                <c:pt idx="2">
                  <c:v>20.589463800000001</c:v>
                </c:pt>
                <c:pt idx="3">
                  <c:v>23.1058129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Données!$C$593:$F$593</c:f>
              <c:numCache>
                <c:formatCode>#,##0</c:formatCode>
                <c:ptCount val="4"/>
                <c:pt idx="0">
                  <c:v>21.612245690000002</c:v>
                </c:pt>
                <c:pt idx="1">
                  <c:v>25.823603519999999</c:v>
                </c:pt>
                <c:pt idx="2">
                  <c:v>30.626987039999999</c:v>
                </c:pt>
                <c:pt idx="3">
                  <c:v>35.935138629999997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Données!$C$594:$F$594</c:f>
              <c:numCache>
                <c:formatCode>#,##0</c:formatCode>
                <c:ptCount val="4"/>
                <c:pt idx="0">
                  <c:v>9.8466823820000009</c:v>
                </c:pt>
                <c:pt idx="1">
                  <c:v>11.353402659</c:v>
                </c:pt>
                <c:pt idx="2">
                  <c:v>12.886180268</c:v>
                </c:pt>
                <c:pt idx="3">
                  <c:v>14.623962304999999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Données!$C$595:$F$595</c:f>
              <c:numCache>
                <c:formatCode>#,##0</c:formatCode>
                <c:ptCount val="4"/>
                <c:pt idx="0">
                  <c:v>58.0506766552</c:v>
                </c:pt>
                <c:pt idx="1">
                  <c:v>71.827050277799998</c:v>
                </c:pt>
                <c:pt idx="2">
                  <c:v>85.480067796200004</c:v>
                </c:pt>
                <c:pt idx="3">
                  <c:v>99.380308575000001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Données!$C$596:$F$596</c:f>
              <c:numCache>
                <c:formatCode>#,##0</c:formatCode>
                <c:ptCount val="4"/>
                <c:pt idx="0">
                  <c:v>40.577681962200003</c:v>
                </c:pt>
                <c:pt idx="1">
                  <c:v>46.782647084700002</c:v>
                </c:pt>
                <c:pt idx="2">
                  <c:v>53.159071026000007</c:v>
                </c:pt>
                <c:pt idx="3">
                  <c:v>59.208316330199999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Données!$C$585:$F$585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Données!$C$597:$F$597</c:f>
              <c:numCache>
                <c:formatCode>#,##0</c:formatCode>
                <c:ptCount val="4"/>
                <c:pt idx="0">
                  <c:v>10.093391243400001</c:v>
                </c:pt>
                <c:pt idx="1">
                  <c:v>11.886075813900003</c:v>
                </c:pt>
                <c:pt idx="2">
                  <c:v>13.9446430993</c:v>
                </c:pt>
                <c:pt idx="3">
                  <c:v>15.795670818800001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90333933113222997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Données!$C$201:$AL$201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-5.8331255585408748E-4</c:v>
                </c:pt>
                <c:pt idx="7">
                  <c:v>-7.8005540647485549E-4</c:v>
                </c:pt>
                <c:pt idx="8">
                  <c:v>-7.7763170324385289E-4</c:v>
                </c:pt>
                <c:pt idx="9">
                  <c:v>-6.4967460404385946E-4</c:v>
                </c:pt>
                <c:pt idx="10">
                  <c:v>-4.5945510534228795E-4</c:v>
                </c:pt>
                <c:pt idx="11">
                  <c:v>-2.577269338142063E-4</c:v>
                </c:pt>
                <c:pt idx="12">
                  <c:v>-5.8809198655751516E-5</c:v>
                </c:pt>
                <c:pt idx="13">
                  <c:v>1.4277877253876525E-4</c:v>
                </c:pt>
                <c:pt idx="14">
                  <c:v>3.7034556052994994E-4</c:v>
                </c:pt>
                <c:pt idx="15">
                  <c:v>6.484652976335159E-4</c:v>
                </c:pt>
                <c:pt idx="16">
                  <c:v>9.8638365700964847E-4</c:v>
                </c:pt>
                <c:pt idx="17">
                  <c:v>1.3730652692247602E-3</c:v>
                </c:pt>
                <c:pt idx="18">
                  <c:v>1.7818402409230938E-3</c:v>
                </c:pt>
                <c:pt idx="19">
                  <c:v>2.1801524727875776E-3</c:v>
                </c:pt>
                <c:pt idx="20">
                  <c:v>2.5388103214494251E-3</c:v>
                </c:pt>
                <c:pt idx="21">
                  <c:v>2.8395378207384248E-3</c:v>
                </c:pt>
                <c:pt idx="22">
                  <c:v>3.0764496896764637E-3</c:v>
                </c:pt>
                <c:pt idx="23">
                  <c:v>3.2529378994103908E-3</c:v>
                </c:pt>
                <c:pt idx="24">
                  <c:v>3.3787133656346668E-3</c:v>
                </c:pt>
                <c:pt idx="25">
                  <c:v>3.4654610604798464E-3</c:v>
                </c:pt>
                <c:pt idx="26">
                  <c:v>3.5249028912269775E-3</c:v>
                </c:pt>
                <c:pt idx="27">
                  <c:v>3.5659657045672422E-3</c:v>
                </c:pt>
                <c:pt idx="28">
                  <c:v>3.5957627808280712E-3</c:v>
                </c:pt>
                <c:pt idx="29">
                  <c:v>3.6204479262027522E-3</c:v>
                </c:pt>
                <c:pt idx="30">
                  <c:v>3.6458830514682905E-3</c:v>
                </c:pt>
                <c:pt idx="31">
                  <c:v>3.6774456744552708E-3</c:v>
                </c:pt>
                <c:pt idx="32">
                  <c:v>3.7193151506507149E-3</c:v>
                </c:pt>
                <c:pt idx="33">
                  <c:v>3.7740124956018306E-3</c:v>
                </c:pt>
                <c:pt idx="34">
                  <c:v>3.841797388071555E-3</c:v>
                </c:pt>
                <c:pt idx="35">
                  <c:v>3.920438003322646E-3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Données!$C$204:$AL$204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-4.7524786076080794E-4</c:v>
                </c:pt>
                <c:pt idx="7">
                  <c:v>-1.9545192379011311E-5</c:v>
                </c:pt>
                <c:pt idx="8">
                  <c:v>1.1112790278873241E-3</c:v>
                </c:pt>
                <c:pt idx="9">
                  <c:v>2.5021128630389189E-3</c:v>
                </c:pt>
                <c:pt idx="10">
                  <c:v>3.750192484750503E-3</c:v>
                </c:pt>
                <c:pt idx="11">
                  <c:v>4.632558207890991E-3</c:v>
                </c:pt>
                <c:pt idx="12">
                  <c:v>5.0735501579333153E-3</c:v>
                </c:pt>
                <c:pt idx="13">
                  <c:v>5.138943086436587E-3</c:v>
                </c:pt>
                <c:pt idx="14">
                  <c:v>4.9672172253540925E-3</c:v>
                </c:pt>
                <c:pt idx="15">
                  <c:v>4.695730736115733E-3</c:v>
                </c:pt>
                <c:pt idx="16">
                  <c:v>4.4131366144071205E-3</c:v>
                </c:pt>
                <c:pt idx="17">
                  <c:v>4.1497589251331402E-3</c:v>
                </c:pt>
                <c:pt idx="18">
                  <c:v>3.8962382856100319E-3</c:v>
                </c:pt>
                <c:pt idx="19">
                  <c:v>3.6318580392420419E-3</c:v>
                </c:pt>
                <c:pt idx="20">
                  <c:v>3.3449485882006691E-3</c:v>
                </c:pt>
                <c:pt idx="21">
                  <c:v>3.0493939873237341E-3</c:v>
                </c:pt>
                <c:pt idx="22">
                  <c:v>2.7707748901379947E-3</c:v>
                </c:pt>
                <c:pt idx="23">
                  <c:v>2.5406104267817753E-3</c:v>
                </c:pt>
                <c:pt idx="24">
                  <c:v>2.385251315048853E-3</c:v>
                </c:pt>
                <c:pt idx="25">
                  <c:v>2.3188532480746815E-3</c:v>
                </c:pt>
                <c:pt idx="26">
                  <c:v>2.3374269440328277E-3</c:v>
                </c:pt>
                <c:pt idx="27">
                  <c:v>2.4244711435823518E-3</c:v>
                </c:pt>
                <c:pt idx="28">
                  <c:v>2.5570415157696313E-3</c:v>
                </c:pt>
                <c:pt idx="29">
                  <c:v>2.7127259911310375E-3</c:v>
                </c:pt>
                <c:pt idx="30">
                  <c:v>2.8738557198635384E-3</c:v>
                </c:pt>
                <c:pt idx="31">
                  <c:v>3.0283518746874183E-3</c:v>
                </c:pt>
                <c:pt idx="32">
                  <c:v>3.1685042108167139E-3</c:v>
                </c:pt>
                <c:pt idx="33">
                  <c:v>3.2894164014101168E-3</c:v>
                </c:pt>
                <c:pt idx="34">
                  <c:v>3.3875306087842727E-3</c:v>
                </c:pt>
                <c:pt idx="35">
                  <c:v>3.4598092657340818E-3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Données!$C$207:$AL$207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-4.8032521586771626E-4</c:v>
                </c:pt>
                <c:pt idx="7">
                  <c:v>-9.0352245159630584E-5</c:v>
                </c:pt>
                <c:pt idx="8">
                  <c:v>8.760424492526564E-4</c:v>
                </c:pt>
                <c:pt idx="9">
                  <c:v>1.9834473946567233E-3</c:v>
                </c:pt>
                <c:pt idx="10">
                  <c:v>2.8374407830136228E-3</c:v>
                </c:pt>
                <c:pt idx="11">
                  <c:v>3.2392679188131268E-3</c:v>
                </c:pt>
                <c:pt idx="12">
                  <c:v>3.1620649185108984E-3</c:v>
                </c:pt>
                <c:pt idx="13">
                  <c:v>2.7275777710862315E-3</c:v>
                </c:pt>
                <c:pt idx="14">
                  <c:v>2.1217013462471179E-3</c:v>
                </c:pt>
                <c:pt idx="15">
                  <c:v>1.5117919189038265E-3</c:v>
                </c:pt>
                <c:pt idx="16">
                  <c:v>9.9823991438152682E-4</c:v>
                </c:pt>
                <c:pt idx="17">
                  <c:v>6.0750999814751516E-4</c:v>
                </c:pt>
                <c:pt idx="18">
                  <c:v>3.1580336235137452E-4</c:v>
                </c:pt>
                <c:pt idx="19">
                  <c:v>8.2879670078250811E-5</c:v>
                </c:pt>
                <c:pt idx="20">
                  <c:v>-1.2485425565234021E-4</c:v>
                </c:pt>
                <c:pt idx="21">
                  <c:v>-3.0747807442188524E-4</c:v>
                </c:pt>
                <c:pt idx="22">
                  <c:v>-4.5938271252476959E-4</c:v>
                </c:pt>
                <c:pt idx="23">
                  <c:v>-5.6358070335493782E-4</c:v>
                </c:pt>
                <c:pt idx="24">
                  <c:v>-6.062591501284631E-4</c:v>
                </c:pt>
                <c:pt idx="25">
                  <c:v>-5.8590609349362666E-4</c:v>
                </c:pt>
                <c:pt idx="26">
                  <c:v>-5.0805033109491138E-4</c:v>
                </c:pt>
                <c:pt idx="27">
                  <c:v>-3.9593940571203134E-4</c:v>
                </c:pt>
                <c:pt idx="28">
                  <c:v>-2.726388226017562E-4</c:v>
                </c:pt>
                <c:pt idx="29">
                  <c:v>-1.5672611403283465E-4</c:v>
                </c:pt>
                <c:pt idx="30">
                  <c:v>-5.9143171641684589E-5</c:v>
                </c:pt>
                <c:pt idx="31">
                  <c:v>1.6494302411240724E-5</c:v>
                </c:pt>
                <c:pt idx="32">
                  <c:v>7.1453557184408822E-5</c:v>
                </c:pt>
                <c:pt idx="33">
                  <c:v>1.0912369591609128E-4</c:v>
                </c:pt>
                <c:pt idx="34">
                  <c:v>1.3288980241221715E-4</c:v>
                </c:pt>
                <c:pt idx="35">
                  <c:v>1.450696178053601E-4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Données!$C$206:$AL$206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-1.3324787975975694E-3</c:v>
                </c:pt>
                <c:pt idx="7">
                  <c:v>-7.6071095730123606E-4</c:v>
                </c:pt>
                <c:pt idx="8">
                  <c:v>6.1319162684969619E-4</c:v>
                </c:pt>
                <c:pt idx="9">
                  <c:v>2.0574909551607234E-3</c:v>
                </c:pt>
                <c:pt idx="10">
                  <c:v>3.0432869150105457E-3</c:v>
                </c:pt>
                <c:pt idx="11">
                  <c:v>3.3779379576914792E-3</c:v>
                </c:pt>
                <c:pt idx="12">
                  <c:v>3.0996904410538484E-3</c:v>
                </c:pt>
                <c:pt idx="13">
                  <c:v>2.4398438617128093E-3</c:v>
                </c:pt>
                <c:pt idx="14">
                  <c:v>1.6766841384654452E-3</c:v>
                </c:pt>
                <c:pt idx="15">
                  <c:v>1.0248238564245504E-3</c:v>
                </c:pt>
                <c:pt idx="16">
                  <c:v>5.8676858889339378E-4</c:v>
                </c:pt>
                <c:pt idx="17">
                  <c:v>3.6085372093253021E-4</c:v>
                </c:pt>
                <c:pt idx="18">
                  <c:v>2.8573602639903051E-4</c:v>
                </c:pt>
                <c:pt idx="19">
                  <c:v>2.904605801146154E-4</c:v>
                </c:pt>
                <c:pt idx="20">
                  <c:v>3.2157526132969849E-4</c:v>
                </c:pt>
                <c:pt idx="21">
                  <c:v>3.8318624489486197E-4</c:v>
                </c:pt>
                <c:pt idx="22">
                  <c:v>4.759267894776098E-4</c:v>
                </c:pt>
                <c:pt idx="23">
                  <c:v>6.1873025679215488E-4</c:v>
                </c:pt>
                <c:pt idx="24">
                  <c:v>8.2293488114726365E-4</c:v>
                </c:pt>
                <c:pt idx="25">
                  <c:v>1.0803334826294808E-3</c:v>
                </c:pt>
                <c:pt idx="26">
                  <c:v>1.3814263059364063E-3</c:v>
                </c:pt>
                <c:pt idx="27">
                  <c:v>1.6885042111605131E-3</c:v>
                </c:pt>
                <c:pt idx="28">
                  <c:v>1.972340460856703E-3</c:v>
                </c:pt>
                <c:pt idx="29">
                  <c:v>2.213333367087067E-3</c:v>
                </c:pt>
                <c:pt idx="30">
                  <c:v>2.4040546995927059E-3</c:v>
                </c:pt>
                <c:pt idx="31">
                  <c:v>2.5471576608273594E-3</c:v>
                </c:pt>
                <c:pt idx="32">
                  <c:v>2.6508887354292909E-3</c:v>
                </c:pt>
                <c:pt idx="33">
                  <c:v>2.7247682840041421E-3</c:v>
                </c:pt>
                <c:pt idx="34">
                  <c:v>2.7767917711880585E-3</c:v>
                </c:pt>
                <c:pt idx="35">
                  <c:v>2.8123674059257198E-3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Données!$C$205:$AL$205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-5.3069342927600793E-3</c:v>
                </c:pt>
                <c:pt idx="7">
                  <c:v>-5.2540645805194686E-3</c:v>
                </c:pt>
                <c:pt idx="8">
                  <c:v>-4.3306630222964548E-3</c:v>
                </c:pt>
                <c:pt idx="9">
                  <c:v>-3.0649910608553377E-3</c:v>
                </c:pt>
                <c:pt idx="10">
                  <c:v>-1.5234296855606289E-3</c:v>
                </c:pt>
                <c:pt idx="11">
                  <c:v>1.7514928376516359E-4</c:v>
                </c:pt>
                <c:pt idx="12">
                  <c:v>1.8111712990735995E-3</c:v>
                </c:pt>
                <c:pt idx="13">
                  <c:v>3.1346573115442755E-3</c:v>
                </c:pt>
                <c:pt idx="14">
                  <c:v>3.9659750975036268E-3</c:v>
                </c:pt>
                <c:pt idx="15">
                  <c:v>4.2546629702155947E-3</c:v>
                </c:pt>
                <c:pt idx="16">
                  <c:v>4.0451230256386417E-3</c:v>
                </c:pt>
                <c:pt idx="17">
                  <c:v>3.4445973144641151E-3</c:v>
                </c:pt>
                <c:pt idx="18">
                  <c:v>2.5820455676022203E-3</c:v>
                </c:pt>
                <c:pt idx="19">
                  <c:v>1.572845099966802E-3</c:v>
                </c:pt>
                <c:pt idx="20">
                  <c:v>5.0566774875981935E-4</c:v>
                </c:pt>
                <c:pt idx="21">
                  <c:v>-5.9397119733262116E-4</c:v>
                </c:pt>
                <c:pt idx="22">
                  <c:v>-1.6904117555360809E-3</c:v>
                </c:pt>
                <c:pt idx="23">
                  <c:v>-2.766568002044778E-3</c:v>
                </c:pt>
                <c:pt idx="24">
                  <c:v>-3.8091182035551174E-3</c:v>
                </c:pt>
                <c:pt idx="25">
                  <c:v>-4.8049355393308124E-3</c:v>
                </c:pt>
                <c:pt idx="26">
                  <c:v>-5.7455886384223387E-3</c:v>
                </c:pt>
                <c:pt idx="27">
                  <c:v>-6.6198036866583765E-3</c:v>
                </c:pt>
                <c:pt idx="28">
                  <c:v>-7.4292407185809761E-3</c:v>
                </c:pt>
                <c:pt idx="29">
                  <c:v>-8.1877816503989065E-3</c:v>
                </c:pt>
                <c:pt idx="30">
                  <c:v>-8.9173260035337876E-3</c:v>
                </c:pt>
                <c:pt idx="31">
                  <c:v>-9.6434659981292636E-3</c:v>
                </c:pt>
                <c:pt idx="32">
                  <c:v>-1.0390950003352883E-2</c:v>
                </c:pt>
                <c:pt idx="33">
                  <c:v>-1.1177871715518428E-2</c:v>
                </c:pt>
                <c:pt idx="34">
                  <c:v>-1.201540849545546E-2</c:v>
                </c:pt>
                <c:pt idx="35">
                  <c:v>-1.2909200024927348E-2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Données!$C$199:$AL$199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Données!$C$203:$AL$203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-4.4894653769048665E-3</c:v>
                </c:pt>
                <c:pt idx="7">
                  <c:v>4.8294931516810191E-3</c:v>
                </c:pt>
                <c:pt idx="8">
                  <c:v>2.1243549611630996E-2</c:v>
                </c:pt>
                <c:pt idx="9">
                  <c:v>4.1538388426578532E-2</c:v>
                </c:pt>
                <c:pt idx="10">
                  <c:v>6.3175848430812476E-2</c:v>
                </c:pt>
                <c:pt idx="11">
                  <c:v>8.3741249590431721E-2</c:v>
                </c:pt>
                <c:pt idx="12">
                  <c:v>0.10096434301354806</c:v>
                </c:pt>
                <c:pt idx="13">
                  <c:v>0.11298398058259895</c:v>
                </c:pt>
                <c:pt idx="14">
                  <c:v>0.11871241073179739</c:v>
                </c:pt>
                <c:pt idx="15">
                  <c:v>0.11831307911511968</c:v>
                </c:pt>
                <c:pt idx="16">
                  <c:v>0.11255732623814829</c:v>
                </c:pt>
                <c:pt idx="17">
                  <c:v>0.10271780220106441</c:v>
                </c:pt>
                <c:pt idx="18">
                  <c:v>9.0325206840791816E-2</c:v>
                </c:pt>
                <c:pt idx="19">
                  <c:v>7.6900784829044389E-2</c:v>
                </c:pt>
                <c:pt idx="20">
                  <c:v>6.3742858263416968E-2</c:v>
                </c:pt>
                <c:pt idx="21">
                  <c:v>5.172640764100378E-2</c:v>
                </c:pt>
                <c:pt idx="22">
                  <c:v>4.1539207672280698E-2</c:v>
                </c:pt>
                <c:pt idx="23">
                  <c:v>3.3608702269363633E-2</c:v>
                </c:pt>
                <c:pt idx="24">
                  <c:v>2.813592241172258E-2</c:v>
                </c:pt>
                <c:pt idx="25">
                  <c:v>2.516191234064924E-2</c:v>
                </c:pt>
                <c:pt idx="26">
                  <c:v>2.449382418678514E-2</c:v>
                </c:pt>
                <c:pt idx="27">
                  <c:v>2.5890143188188608E-2</c:v>
                </c:pt>
                <c:pt idx="28">
                  <c:v>2.8993945251247766E-2</c:v>
                </c:pt>
                <c:pt idx="29">
                  <c:v>3.3366282375425715E-2</c:v>
                </c:pt>
                <c:pt idx="30">
                  <c:v>3.8537611421299189E-2</c:v>
                </c:pt>
                <c:pt idx="31">
                  <c:v>4.4037578135840416E-2</c:v>
                </c:pt>
                <c:pt idx="32">
                  <c:v>4.9430486693367692E-2</c:v>
                </c:pt>
                <c:pt idx="33">
                  <c:v>5.4390907764453544E-2</c:v>
                </c:pt>
                <c:pt idx="34">
                  <c:v>5.8693625005306282E-2</c:v>
                </c:pt>
                <c:pt idx="35">
                  <c:v>6.2191285618015568E-2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Données!$C$199:$AL$199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-1.2216209030398995E-3</c:v>
                      </c:pt>
                      <c:pt idx="7">
                        <c:v>-6.1201436560298639E-4</c:v>
                      </c:pt>
                      <c:pt idx="8">
                        <c:v>8.4445718438908024E-4</c:v>
                      </c:pt>
                      <c:pt idx="9">
                        <c:v>2.458399488469043E-3</c:v>
                      </c:pt>
                      <c:pt idx="10">
                        <c:v>3.6959419686706241E-3</c:v>
                      </c:pt>
                      <c:pt idx="11">
                        <c:v>4.3505389261675464E-3</c:v>
                      </c:pt>
                      <c:pt idx="12">
                        <c:v>4.3978029534164076E-3</c:v>
                      </c:pt>
                      <c:pt idx="13">
                        <c:v>4.0089099765470149E-3</c:v>
                      </c:pt>
                      <c:pt idx="14">
                        <c:v>3.4207979296021485E-3</c:v>
                      </c:pt>
                      <c:pt idx="15">
                        <c:v>2.8354840621094279E-3</c:v>
                      </c:pt>
                      <c:pt idx="16">
                        <c:v>2.3628443378993502E-3</c:v>
                      </c:pt>
                      <c:pt idx="17">
                        <c:v>2.0222965124641057E-3</c:v>
                      </c:pt>
                      <c:pt idx="18">
                        <c:v>1.7790393275092242E-3</c:v>
                      </c:pt>
                      <c:pt idx="19">
                        <c:v>1.5870656645211589E-3</c:v>
                      </c:pt>
                      <c:pt idx="20">
                        <c:v>1.4152321255345157E-3</c:v>
                      </c:pt>
                      <c:pt idx="21">
                        <c:v>1.2709410186484416E-3</c:v>
                      </c:pt>
                      <c:pt idx="22">
                        <c:v>1.1706594636058387E-3</c:v>
                      </c:pt>
                      <c:pt idx="23">
                        <c:v>1.1391339598105787E-3</c:v>
                      </c:pt>
                      <c:pt idx="24">
                        <c:v>1.1932435656294427E-3</c:v>
                      </c:pt>
                      <c:pt idx="25">
                        <c:v>1.3347183647920424E-3</c:v>
                      </c:pt>
                      <c:pt idx="26">
                        <c:v>1.5458631270162115E-3</c:v>
                      </c:pt>
                      <c:pt idx="27">
                        <c:v>1.7968005356565619E-3</c:v>
                      </c:pt>
                      <c:pt idx="28">
                        <c:v>2.0557230336011312E-3</c:v>
                      </c:pt>
                      <c:pt idx="29">
                        <c:v>2.2976590372949524E-3</c:v>
                      </c:pt>
                      <c:pt idx="30">
                        <c:v>2.5080189126038821E-3</c:v>
                      </c:pt>
                      <c:pt idx="31">
                        <c:v>2.6815242155804331E-3</c:v>
                      </c:pt>
                      <c:pt idx="32">
                        <c:v>2.8188070631178785E-3</c:v>
                      </c:pt>
                      <c:pt idx="33">
                        <c:v>2.9234203214272281E-3</c:v>
                      </c:pt>
                      <c:pt idx="34">
                        <c:v>2.9990759108704523E-3</c:v>
                      </c:pt>
                      <c:pt idx="35">
                        <c:v>3.0482474623707567E-3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Données!$C$265:$AL$265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1.5358553665500985E-4</c:v>
                </c:pt>
                <c:pt idx="7">
                  <c:v>-4.8902410934914542E-4</c:v>
                </c:pt>
                <c:pt idx="8">
                  <c:v>-2.8044607197572624E-3</c:v>
                </c:pt>
                <c:pt idx="9">
                  <c:v>-7.3685761447964682E-3</c:v>
                </c:pt>
                <c:pt idx="10">
                  <c:v>-1.43103027492546E-2</c:v>
                </c:pt>
                <c:pt idx="11">
                  <c:v>-2.2924613887145173E-2</c:v>
                </c:pt>
                <c:pt idx="12">
                  <c:v>-3.2099157005228141E-2</c:v>
                </c:pt>
                <c:pt idx="13">
                  <c:v>-4.0567790072251086E-2</c:v>
                </c:pt>
                <c:pt idx="14">
                  <c:v>-4.7282801617202774E-2</c:v>
                </c:pt>
                <c:pt idx="15">
                  <c:v>-5.1641898116149387E-2</c:v>
                </c:pt>
                <c:pt idx="16">
                  <c:v>-5.3534313687611301E-2</c:v>
                </c:pt>
                <c:pt idx="17">
                  <c:v>-5.3243496969614945E-2</c:v>
                </c:pt>
                <c:pt idx="18">
                  <c:v>-5.1278458833701968E-2</c:v>
                </c:pt>
                <c:pt idx="19">
                  <c:v>-4.8203817823384676E-2</c:v>
                </c:pt>
                <c:pt idx="20">
                  <c:v>-4.4576704314622684E-2</c:v>
                </c:pt>
                <c:pt idx="21">
                  <c:v>-4.0638241389743479E-2</c:v>
                </c:pt>
                <c:pt idx="22">
                  <c:v>-3.6743526046431607E-2</c:v>
                </c:pt>
                <c:pt idx="23">
                  <c:v>-3.3097972865843928E-2</c:v>
                </c:pt>
                <c:pt idx="24">
                  <c:v>-2.9850345171384407E-2</c:v>
                </c:pt>
                <c:pt idx="25">
                  <c:v>-2.7192703249937056E-2</c:v>
                </c:pt>
                <c:pt idx="26">
                  <c:v>-2.5059034723441176E-2</c:v>
                </c:pt>
                <c:pt idx="27">
                  <c:v>-2.3579601893515378E-2</c:v>
                </c:pt>
                <c:pt idx="28">
                  <c:v>-2.2761194085094916E-2</c:v>
                </c:pt>
                <c:pt idx="29">
                  <c:v>-2.2530829830630705E-2</c:v>
                </c:pt>
                <c:pt idx="30">
                  <c:v>-2.2755823468191494E-2</c:v>
                </c:pt>
                <c:pt idx="31">
                  <c:v>-2.326991639183229E-2</c:v>
                </c:pt>
                <c:pt idx="32">
                  <c:v>-2.3902113570826611E-2</c:v>
                </c:pt>
                <c:pt idx="33">
                  <c:v>-2.4500200147785756E-2</c:v>
                </c:pt>
                <c:pt idx="34">
                  <c:v>-2.494603408384255E-2</c:v>
                </c:pt>
                <c:pt idx="35">
                  <c:v>-2.5162327523077122E-2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Données!$C$266:$AL$266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-1.8779982609684609E-5</c:v>
                </c:pt>
                <c:pt idx="7">
                  <c:v>9.8916239030599762E-4</c:v>
                </c:pt>
                <c:pt idx="8">
                  <c:v>1.9379128241703292E-3</c:v>
                </c:pt>
                <c:pt idx="9">
                  <c:v>1.5205602968466625E-3</c:v>
                </c:pt>
                <c:pt idx="10">
                  <c:v>-1.1365887565517596E-3</c:v>
                </c:pt>
                <c:pt idx="11">
                  <c:v>-5.8511270833166984E-3</c:v>
                </c:pt>
                <c:pt idx="12">
                  <c:v>-1.1879496749193419E-2</c:v>
                </c:pt>
                <c:pt idx="13">
                  <c:v>-1.8117063107939257E-2</c:v>
                </c:pt>
                <c:pt idx="14">
                  <c:v>-2.3514039591877256E-2</c:v>
                </c:pt>
                <c:pt idx="15">
                  <c:v>-2.7385102195488731E-2</c:v>
                </c:pt>
                <c:pt idx="16">
                  <c:v>-2.9511506978273205E-2</c:v>
                </c:pt>
                <c:pt idx="17">
                  <c:v>-3.0062135147334579E-2</c:v>
                </c:pt>
                <c:pt idx="18">
                  <c:v>-2.9420775758693396E-2</c:v>
                </c:pt>
                <c:pt idx="19">
                  <c:v>-2.8010663931295698E-2</c:v>
                </c:pt>
                <c:pt idx="20">
                  <c:v>-2.6187993663707165E-2</c:v>
                </c:pt>
                <c:pt idx="21">
                  <c:v>-2.4153773165436099E-2</c:v>
                </c:pt>
                <c:pt idx="22">
                  <c:v>-2.205065841431697E-2</c:v>
                </c:pt>
                <c:pt idx="23">
                  <c:v>-1.9965410760770519E-2</c:v>
                </c:pt>
                <c:pt idx="24">
                  <c:v>-1.7970001294870919E-2</c:v>
                </c:pt>
                <c:pt idx="25">
                  <c:v>-1.6142082518729395E-2</c:v>
                </c:pt>
                <c:pt idx="26">
                  <c:v>-1.456970755162923E-2</c:v>
                </c:pt>
                <c:pt idx="27">
                  <c:v>-1.3346736082421429E-2</c:v>
                </c:pt>
                <c:pt idx="28">
                  <c:v>-1.2526833520577596E-2</c:v>
                </c:pt>
                <c:pt idx="29">
                  <c:v>-1.210571425301965E-2</c:v>
                </c:pt>
                <c:pt idx="30">
                  <c:v>-1.202446260241441E-2</c:v>
                </c:pt>
                <c:pt idx="31">
                  <c:v>-1.2187926719279485E-2</c:v>
                </c:pt>
                <c:pt idx="32">
                  <c:v>-1.2488538591728271E-2</c:v>
                </c:pt>
                <c:pt idx="33">
                  <c:v>-1.2826383989916867E-2</c:v>
                </c:pt>
                <c:pt idx="34">
                  <c:v>-1.312242737912328E-2</c:v>
                </c:pt>
                <c:pt idx="35">
                  <c:v>-1.3324074080538817E-2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Données!$C$267:$AL$267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1.0232904305134127E-3</c:v>
                </c:pt>
                <c:pt idx="7">
                  <c:v>8.4395293576733366E-5</c:v>
                </c:pt>
                <c:pt idx="8">
                  <c:v>-2.5078466382781883E-3</c:v>
                </c:pt>
                <c:pt idx="9">
                  <c:v>-6.419561661980433E-3</c:v>
                </c:pt>
                <c:pt idx="10">
                  <c:v>-1.1215298992920508E-2</c:v>
                </c:pt>
                <c:pt idx="11">
                  <c:v>-1.6370366989807539E-2</c:v>
                </c:pt>
                <c:pt idx="12">
                  <c:v>-2.1256413247766948E-2</c:v>
                </c:pt>
                <c:pt idx="13">
                  <c:v>-2.534006475313566E-2</c:v>
                </c:pt>
                <c:pt idx="14">
                  <c:v>-2.8266263582921725E-2</c:v>
                </c:pt>
                <c:pt idx="15">
                  <c:v>-2.9894145257431171E-2</c:v>
                </c:pt>
                <c:pt idx="16">
                  <c:v>-3.0274693969463584E-2</c:v>
                </c:pt>
                <c:pt idx="17">
                  <c:v>-2.9597657881547113E-2</c:v>
                </c:pt>
                <c:pt idx="18">
                  <c:v>-2.812568873202681E-2</c:v>
                </c:pt>
                <c:pt idx="19">
                  <c:v>-2.6134565036109891E-2</c:v>
                </c:pt>
                <c:pt idx="20">
                  <c:v>-2.3906351928385305E-2</c:v>
                </c:pt>
                <c:pt idx="21">
                  <c:v>-2.1558744942748009E-2</c:v>
                </c:pt>
                <c:pt idx="22">
                  <c:v>-1.9304815318187174E-2</c:v>
                </c:pt>
                <c:pt idx="23">
                  <c:v>-1.7273676148051531E-2</c:v>
                </c:pt>
                <c:pt idx="24">
                  <c:v>-1.5556974869279205E-2</c:v>
                </c:pt>
                <c:pt idx="25">
                  <c:v>-1.426263496997926E-2</c:v>
                </c:pt>
                <c:pt idx="26">
                  <c:v>-1.3324995403840023E-2</c:v>
                </c:pt>
                <c:pt idx="27">
                  <c:v>-1.2791986804497335E-2</c:v>
                </c:pt>
                <c:pt idx="28">
                  <c:v>-1.2634438526685443E-2</c:v>
                </c:pt>
                <c:pt idx="29">
                  <c:v>-1.2782881105926069E-2</c:v>
                </c:pt>
                <c:pt idx="30">
                  <c:v>-1.3144612450618265E-2</c:v>
                </c:pt>
                <c:pt idx="31">
                  <c:v>-1.3618313709678365E-2</c:v>
                </c:pt>
                <c:pt idx="32">
                  <c:v>-1.4107428654969389E-2</c:v>
                </c:pt>
                <c:pt idx="33">
                  <c:v>-1.4530636530972973E-2</c:v>
                </c:pt>
                <c:pt idx="34">
                  <c:v>-1.4827588538090963E-2</c:v>
                </c:pt>
                <c:pt idx="35">
                  <c:v>-1.4960884524415352E-2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Données!$C$269:$AL$269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4.8311462871541977E-5</c:v>
                </c:pt>
                <c:pt idx="7">
                  <c:v>1.7181426889201212E-4</c:v>
                </c:pt>
                <c:pt idx="8">
                  <c:v>1.4803282028830189E-4</c:v>
                </c:pt>
                <c:pt idx="9">
                  <c:v>-1.3431218369563958E-4</c:v>
                </c:pt>
                <c:pt idx="10">
                  <c:v>-7.1191750858612401E-4</c:v>
                </c:pt>
                <c:pt idx="11">
                  <c:v>-1.5077964830025881E-3</c:v>
                </c:pt>
                <c:pt idx="12">
                  <c:v>-2.4056806416402621E-3</c:v>
                </c:pt>
                <c:pt idx="13">
                  <c:v>-3.270348478727203E-3</c:v>
                </c:pt>
                <c:pt idx="14">
                  <c:v>-3.9880749434616503E-3</c:v>
                </c:pt>
                <c:pt idx="15">
                  <c:v>-4.4925333544105772E-3</c:v>
                </c:pt>
                <c:pt idx="16">
                  <c:v>-4.7702718225481888E-3</c:v>
                </c:pt>
                <c:pt idx="17">
                  <c:v>-4.8487063624711446E-3</c:v>
                </c:pt>
                <c:pt idx="18">
                  <c:v>-4.7755785252637795E-3</c:v>
                </c:pt>
                <c:pt idx="19">
                  <c:v>-4.5998432885733243E-3</c:v>
                </c:pt>
                <c:pt idx="20">
                  <c:v>-4.3628868349704364E-3</c:v>
                </c:pt>
                <c:pt idx="21">
                  <c:v>-4.0843948575475242E-3</c:v>
                </c:pt>
                <c:pt idx="22">
                  <c:v>-3.7870545703438951E-3</c:v>
                </c:pt>
                <c:pt idx="23">
                  <c:v>-3.4879757358181607E-3</c:v>
                </c:pt>
                <c:pt idx="24">
                  <c:v>-3.204698546713125E-3</c:v>
                </c:pt>
                <c:pt idx="25">
                  <c:v>-2.9568450754677844E-3</c:v>
                </c:pt>
                <c:pt idx="26">
                  <c:v>-2.7579183542431052E-3</c:v>
                </c:pt>
                <c:pt idx="27">
                  <c:v>-2.6239517168591409E-3</c:v>
                </c:pt>
                <c:pt idx="28">
                  <c:v>-2.5604796323880352E-3</c:v>
                </c:pt>
                <c:pt idx="29">
                  <c:v>-2.5625909381565837E-3</c:v>
                </c:pt>
                <c:pt idx="30">
                  <c:v>-2.6164864419601086E-3</c:v>
                </c:pt>
                <c:pt idx="31">
                  <c:v>-2.7030447638527466E-3</c:v>
                </c:pt>
                <c:pt idx="32">
                  <c:v>-2.8018722905537308E-3</c:v>
                </c:pt>
                <c:pt idx="33">
                  <c:v>-2.8946146266471962E-3</c:v>
                </c:pt>
                <c:pt idx="34">
                  <c:v>-2.9670871731946047E-3</c:v>
                </c:pt>
                <c:pt idx="35">
                  <c:v>-3.0102266540240619E-3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Données!$C$268:$AL$268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2.9213942014405525E-4</c:v>
                </c:pt>
                <c:pt idx="7">
                  <c:v>-8.5137152323244703E-4</c:v>
                </c:pt>
                <c:pt idx="8">
                  <c:v>-4.7815128693993181E-3</c:v>
                </c:pt>
                <c:pt idx="9">
                  <c:v>-1.265341372688078E-2</c:v>
                </c:pt>
                <c:pt idx="10">
                  <c:v>-2.4851625255913112E-2</c:v>
                </c:pt>
                <c:pt idx="11">
                  <c:v>-4.0075215003282816E-2</c:v>
                </c:pt>
                <c:pt idx="12">
                  <c:v>-5.6332823492009521E-2</c:v>
                </c:pt>
                <c:pt idx="13">
                  <c:v>-7.1340215909771576E-2</c:v>
                </c:pt>
                <c:pt idx="14">
                  <c:v>-8.321436782311642E-2</c:v>
                </c:pt>
                <c:pt idx="15">
                  <c:v>-9.0896855687816913E-2</c:v>
                </c:pt>
                <c:pt idx="16">
                  <c:v>-9.4214778196678228E-2</c:v>
                </c:pt>
                <c:pt idx="17">
                  <c:v>-9.3690038553408406E-2</c:v>
                </c:pt>
                <c:pt idx="18">
                  <c:v>-9.0232719595885302E-2</c:v>
                </c:pt>
                <c:pt idx="19">
                  <c:v>-8.4842217346834503E-2</c:v>
                </c:pt>
                <c:pt idx="20">
                  <c:v>-7.8418245867186265E-2</c:v>
                </c:pt>
                <c:pt idx="21">
                  <c:v>-7.1576235287773238E-2</c:v>
                </c:pt>
                <c:pt idx="22">
                  <c:v>-6.4810385945485716E-2</c:v>
                </c:pt>
                <c:pt idx="23">
                  <c:v>-5.8460613197372391E-2</c:v>
                </c:pt>
                <c:pt idx="24">
                  <c:v>-5.2777862167431411E-2</c:v>
                </c:pt>
                <c:pt idx="25">
                  <c:v>-4.7962929164525936E-2</c:v>
                </c:pt>
                <c:pt idx="26">
                  <c:v>-4.4158214856701572E-2</c:v>
                </c:pt>
                <c:pt idx="27">
                  <c:v>-4.148054835925552E-2</c:v>
                </c:pt>
                <c:pt idx="28">
                  <c:v>-3.9935467187573348E-2</c:v>
                </c:pt>
                <c:pt idx="29">
                  <c:v>-3.9404592056112797E-2</c:v>
                </c:pt>
                <c:pt idx="30">
                  <c:v>-3.9665148979436071E-2</c:v>
                </c:pt>
                <c:pt idx="31">
                  <c:v>-4.0434119862013618E-2</c:v>
                </c:pt>
                <c:pt idx="32">
                  <c:v>-4.1419400555369745E-2</c:v>
                </c:pt>
                <c:pt idx="33">
                  <c:v>-4.2362130396479181E-2</c:v>
                </c:pt>
                <c:pt idx="34">
                  <c:v>-4.3062929459855126E-2</c:v>
                </c:pt>
                <c:pt idx="35">
                  <c:v>-4.3392374336086226E-2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Données!$C$270:$AL$270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-9.1818957703382331E-5</c:v>
                </c:pt>
                <c:pt idx="7">
                  <c:v>-6.2695906441623261E-4</c:v>
                </c:pt>
                <c:pt idx="8">
                  <c:v>-1.3378023119177129E-3</c:v>
                </c:pt>
                <c:pt idx="9">
                  <c:v>-2.4486310547893186E-3</c:v>
                </c:pt>
                <c:pt idx="10">
                  <c:v>-4.1444931551304354E-3</c:v>
                </c:pt>
                <c:pt idx="11">
                  <c:v>-6.4087129336445336E-3</c:v>
                </c:pt>
                <c:pt idx="12">
                  <c:v>-8.8853111172927379E-3</c:v>
                </c:pt>
                <c:pt idx="13">
                  <c:v>-1.1030389027701482E-2</c:v>
                </c:pt>
                <c:pt idx="14">
                  <c:v>-1.2399113203678813E-2</c:v>
                </c:pt>
                <c:pt idx="15">
                  <c:v>-1.2930147583131713E-2</c:v>
                </c:pt>
                <c:pt idx="16">
                  <c:v>-1.2688032263995064E-2</c:v>
                </c:pt>
                <c:pt idx="17">
                  <c:v>-1.185559885723253E-2</c:v>
                </c:pt>
                <c:pt idx="18">
                  <c:v>-1.0666372967795712E-2</c:v>
                </c:pt>
                <c:pt idx="19">
                  <c:v>-9.3320293358305495E-3</c:v>
                </c:pt>
                <c:pt idx="20">
                  <c:v>-7.9893964695284536E-3</c:v>
                </c:pt>
                <c:pt idx="21">
                  <c:v>-6.6298072194678204E-3</c:v>
                </c:pt>
                <c:pt idx="22">
                  <c:v>-5.2654494610833158E-3</c:v>
                </c:pt>
                <c:pt idx="23">
                  <c:v>-3.888879190903638E-3</c:v>
                </c:pt>
                <c:pt idx="24">
                  <c:v>-2.4976131834122395E-3</c:v>
                </c:pt>
                <c:pt idx="25">
                  <c:v>-1.10223538314147E-3</c:v>
                </c:pt>
                <c:pt idx="26">
                  <c:v>2.8522967820454603E-4</c:v>
                </c:pt>
                <c:pt idx="27">
                  <c:v>1.6479480979996186E-3</c:v>
                </c:pt>
                <c:pt idx="28">
                  <c:v>2.9854972516369926E-3</c:v>
                </c:pt>
                <c:pt idx="29">
                  <c:v>4.3131054085041587E-3</c:v>
                </c:pt>
                <c:pt idx="30">
                  <c:v>5.6538995621380206E-3</c:v>
                </c:pt>
                <c:pt idx="31">
                  <c:v>7.0429782587788647E-3</c:v>
                </c:pt>
                <c:pt idx="32">
                  <c:v>8.5258890066399751E-3</c:v>
                </c:pt>
                <c:pt idx="33">
                  <c:v>1.0124938663794492E-2</c:v>
                </c:pt>
                <c:pt idx="34">
                  <c:v>1.1854195478719021E-2</c:v>
                </c:pt>
                <c:pt idx="35">
                  <c:v>1.3740534565873874E-2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Données!$C$271:$AL$271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-1.3708453758809469E-4</c:v>
                </c:pt>
                <c:pt idx="7">
                  <c:v>-2.0017124815023823E-3</c:v>
                </c:pt>
                <c:pt idx="8">
                  <c:v>-4.6917835211321979E-3</c:v>
                </c:pt>
                <c:pt idx="9">
                  <c:v>-8.1133143586399337E-3</c:v>
                </c:pt>
                <c:pt idx="10">
                  <c:v>-1.2230730090862396E-2</c:v>
                </c:pt>
                <c:pt idx="11">
                  <c:v>-1.7028279797998258E-2</c:v>
                </c:pt>
                <c:pt idx="12">
                  <c:v>-2.1967937059506282E-2</c:v>
                </c:pt>
                <c:pt idx="13">
                  <c:v>-2.630959164272495E-2</c:v>
                </c:pt>
                <c:pt idx="14">
                  <c:v>-2.9478350834384992E-2</c:v>
                </c:pt>
                <c:pt idx="15">
                  <c:v>-3.1511795556976474E-2</c:v>
                </c:pt>
                <c:pt idx="16">
                  <c:v>-3.2553350853234297E-2</c:v>
                </c:pt>
                <c:pt idx="17">
                  <c:v>-3.2870221555891477E-2</c:v>
                </c:pt>
                <c:pt idx="18">
                  <c:v>-3.2784918688386289E-2</c:v>
                </c:pt>
                <c:pt idx="19">
                  <c:v>-3.2591965557155489E-2</c:v>
                </c:pt>
                <c:pt idx="20">
                  <c:v>-3.2479626000939232E-2</c:v>
                </c:pt>
                <c:pt idx="21">
                  <c:v>-3.2433625828265478E-2</c:v>
                </c:pt>
                <c:pt idx="22">
                  <c:v>-3.2476609834812598E-2</c:v>
                </c:pt>
                <c:pt idx="23">
                  <c:v>-3.261612794164559E-2</c:v>
                </c:pt>
                <c:pt idx="24">
                  <c:v>-3.2863093327797799E-2</c:v>
                </c:pt>
                <c:pt idx="25">
                  <c:v>-3.324047157875476E-2</c:v>
                </c:pt>
                <c:pt idx="26">
                  <c:v>-3.3765746549435538E-2</c:v>
                </c:pt>
                <c:pt idx="27">
                  <c:v>-3.4456265921101403E-2</c:v>
                </c:pt>
                <c:pt idx="28">
                  <c:v>-3.530577504134913E-2</c:v>
                </c:pt>
                <c:pt idx="29">
                  <c:v>-3.6286514892418187E-2</c:v>
                </c:pt>
                <c:pt idx="30">
                  <c:v>-3.7365659312824984E-2</c:v>
                </c:pt>
                <c:pt idx="31">
                  <c:v>-3.8493493248327959E-2</c:v>
                </c:pt>
                <c:pt idx="32">
                  <c:v>-3.9600561605422357E-2</c:v>
                </c:pt>
                <c:pt idx="33">
                  <c:v>-4.0658531067806924E-2</c:v>
                </c:pt>
                <c:pt idx="34">
                  <c:v>-4.1647644539688389E-2</c:v>
                </c:pt>
                <c:pt idx="35">
                  <c:v>-4.2516903944039952E-2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Données!$C$264:$AL$264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Données!$C$272:$AL$272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-3.8423156982103635E-5</c:v>
                </c:pt>
                <c:pt idx="7">
                  <c:v>9.881136812364133E-4</c:v>
                </c:pt>
                <c:pt idx="8">
                  <c:v>2.5857631478412024E-3</c:v>
                </c:pt>
                <c:pt idx="9">
                  <c:v>4.1477446219126968E-3</c:v>
                </c:pt>
                <c:pt idx="10">
                  <c:v>5.228056505080847E-3</c:v>
                </c:pt>
                <c:pt idx="11">
                  <c:v>5.8361748992461493E-3</c:v>
                </c:pt>
                <c:pt idx="12">
                  <c:v>6.1159232958782894E-3</c:v>
                </c:pt>
                <c:pt idx="13">
                  <c:v>6.3884736006505349E-3</c:v>
                </c:pt>
                <c:pt idx="14">
                  <c:v>6.9551012538890955E-3</c:v>
                </c:pt>
                <c:pt idx="15">
                  <c:v>7.9950298458044688E-3</c:v>
                </c:pt>
                <c:pt idx="16">
                  <c:v>9.5393740806277716E-3</c:v>
                </c:pt>
                <c:pt idx="17">
                  <c:v>1.1507160057708576E-2</c:v>
                </c:pt>
                <c:pt idx="18">
                  <c:v>1.3770839526142886E-2</c:v>
                </c:pt>
                <c:pt idx="19">
                  <c:v>1.621600755155983E-2</c:v>
                </c:pt>
                <c:pt idx="20">
                  <c:v>1.8760063917407033E-2</c:v>
                </c:pt>
                <c:pt idx="21">
                  <c:v>2.1414368392241645E-2</c:v>
                </c:pt>
                <c:pt idx="22">
                  <c:v>2.4176161863116219E-2</c:v>
                </c:pt>
                <c:pt idx="23">
                  <c:v>2.7068981762716549E-2</c:v>
                </c:pt>
                <c:pt idx="24">
                  <c:v>3.0110443582498814E-2</c:v>
                </c:pt>
                <c:pt idx="25">
                  <c:v>3.3285658244378569E-2</c:v>
                </c:pt>
                <c:pt idx="26">
                  <c:v>3.6609968474388355E-2</c:v>
                </c:pt>
                <c:pt idx="27">
                  <c:v>4.0065745119233664E-2</c:v>
                </c:pt>
                <c:pt idx="28">
                  <c:v>4.3645967680361553E-2</c:v>
                </c:pt>
                <c:pt idx="29">
                  <c:v>4.735479072485238E-2</c:v>
                </c:pt>
                <c:pt idx="30">
                  <c:v>5.1208243360971517E-2</c:v>
                </c:pt>
                <c:pt idx="31">
                  <c:v>5.5229359651110421E-2</c:v>
                </c:pt>
                <c:pt idx="32">
                  <c:v>5.9441588864450612E-2</c:v>
                </c:pt>
                <c:pt idx="33">
                  <c:v>6.3863728744262938E-2</c:v>
                </c:pt>
                <c:pt idx="34">
                  <c:v>6.850655151146956E-2</c:v>
                </c:pt>
                <c:pt idx="35">
                  <c:v>7.3371720328505141E-2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76261325457881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Données!$C$101:$E$101</c:f>
              <c:numCache>
                <c:formatCode>0.0%</c:formatCode>
                <c:ptCount val="3"/>
                <c:pt idx="0">
                  <c:v>2.972046426131469E-3</c:v>
                </c:pt>
                <c:pt idx="1">
                  <c:v>1.1744037739836609E-3</c:v>
                </c:pt>
                <c:pt idx="2">
                  <c:v>1.1811711679109692E-3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Données!$C$102:$E$102</c:f>
              <c:numCache>
                <c:formatCode>0.0%</c:formatCode>
                <c:ptCount val="3"/>
                <c:pt idx="0">
                  <c:v>-9.4990527523080377E-4</c:v>
                </c:pt>
                <c:pt idx="1">
                  <c:v>2.3150971391934652E-3</c:v>
                </c:pt>
                <c:pt idx="2">
                  <c:v>4.9124638477398999E-4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Données!$C$103:$E$103</c:f>
              <c:numCache>
                <c:formatCode>0.0%</c:formatCode>
                <c:ptCount val="3"/>
                <c:pt idx="0">
                  <c:v>-0.36231580037200917</c:v>
                </c:pt>
                <c:pt idx="1">
                  <c:v>-0.32189505534604906</c:v>
                </c:pt>
                <c:pt idx="2">
                  <c:v>-0.33279606730562461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-2.087729659062571E-3</c:v>
                </c:pt>
                <c:pt idx="1">
                  <c:v>-2.322373975089367E-4</c:v>
                </c:pt>
                <c:pt idx="2">
                  <c:v>1.3654710497270869E-4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2.2833839771801943E-3</c:v>
                </c:pt>
                <c:pt idx="1">
                  <c:v>6.4237011806279384E-3</c:v>
                </c:pt>
                <c:pt idx="2">
                  <c:v>8.925559812337662E-3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-7.5491102207612037E-4</c:v>
                </c:pt>
                <c:pt idx="1">
                  <c:v>6.0198610214364331E-5</c:v>
                </c:pt>
                <c:pt idx="2">
                  <c:v>-1.0817143591868366E-3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Données!$C$99:$E$99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-3.3596615461583702E-3</c:v>
                </c:pt>
                <c:pt idx="1">
                  <c:v>-1.2840656262296931E-3</c:v>
                </c:pt>
                <c:pt idx="2">
                  <c:v>-1.4430155134847722E-3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Données!$C$99:$E$99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Données!$C$100:$E$100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-3.5390622539291602E-3</c:v>
                      </c:pt>
                      <c:pt idx="1">
                        <c:v>-2.0962275258963061E-3</c:v>
                      </c:pt>
                      <c:pt idx="2">
                        <c:v>-3.1626762847152389E-3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44827502565445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4.5565985283799727E-5</c:v>
                </c:pt>
                <c:pt idx="1">
                  <c:v>1.5979905986677899E-5</c:v>
                </c:pt>
                <c:pt idx="2">
                  <c:v>1.4396662220069805E-5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Données!$C$112:$E$112</c:f>
              <c:numCache>
                <c:formatCode>0.0%</c:formatCode>
                <c:ptCount val="3"/>
                <c:pt idx="0">
                  <c:v>-5.6838177290550025E-5</c:v>
                </c:pt>
                <c:pt idx="1">
                  <c:v>1.3322412738720361E-4</c:v>
                </c:pt>
                <c:pt idx="2">
                  <c:v>2.9166186175785646E-5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Données!$C$113:$E$113</c:f>
              <c:numCache>
                <c:formatCode>0.0%</c:formatCode>
                <c:ptCount val="3"/>
                <c:pt idx="0">
                  <c:v>-2.628399405787513E-3</c:v>
                </c:pt>
                <c:pt idx="1">
                  <c:v>-2.249215764366578E-3</c:v>
                </c:pt>
                <c:pt idx="2">
                  <c:v>-2.3476501133748062E-3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-2.3151338979658951E-4</c:v>
                </c:pt>
                <c:pt idx="1">
                  <c:v>-2.4916682034594207E-5</c:v>
                </c:pt>
                <c:pt idx="2">
                  <c:v>1.4320671921528974E-5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4.8008850923636437E-6</c:v>
                </c:pt>
                <c:pt idx="1">
                  <c:v>1.2851412215003244E-5</c:v>
                </c:pt>
                <c:pt idx="2">
                  <c:v>1.7006410900686004E-5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-5.8846672095233044E-4</c:v>
                </c:pt>
                <c:pt idx="1">
                  <c:v>4.7434800094770168E-5</c:v>
                </c:pt>
                <c:pt idx="2">
                  <c:v>-8.5497492805752231E-4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-8.4211513228014189E-5</c:v>
                </c:pt>
                <c:pt idx="1">
                  <c:v>-3.1585369680918781E-5</c:v>
                </c:pt>
                <c:pt idx="2">
                  <c:v>-3.4941291045002284E-5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Données!$C$109:$E$109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-3.5390622539291602E-3</c:v>
                </c:pt>
                <c:pt idx="1">
                  <c:v>-2.0962275258963061E-3</c:v>
                </c:pt>
                <c:pt idx="2">
                  <c:v>-3.1626762847152389E-3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8405748748244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1.0017972660928548E-4</c:v>
                </c:pt>
                <c:pt idx="1">
                  <c:v>4.45963901205184E-5</c:v>
                </c:pt>
                <c:pt idx="2">
                  <c:v>5.311280677302091E-5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1.5547406239871386E-4</c:v>
                </c:pt>
                <c:pt idx="1">
                  <c:v>2.5438647873398529E-4</c:v>
                </c:pt>
                <c:pt idx="2">
                  <c:v>2.1762828402113049E-4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-2.611969401891184E-3</c:v>
                </c:pt>
                <c:pt idx="1">
                  <c:v>-2.2392625472101631E-3</c:v>
                </c:pt>
                <c:pt idx="2">
                  <c:v>-2.332717210688005E-3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1.6151338653885849E-4</c:v>
                </c:pt>
                <c:pt idx="1">
                  <c:v>2.0040705110599411E-4</c:v>
                </c:pt>
                <c:pt idx="2">
                  <c:v>3.4711096311987322E-4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1.2285351032264788E-5</c:v>
                </c:pt>
                <c:pt idx="1">
                  <c:v>1.7080981413992655E-5</c:v>
                </c:pt>
                <c:pt idx="2">
                  <c:v>2.3105525300421478E-5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2.1780040581407256E-3</c:v>
                </c:pt>
                <c:pt idx="1">
                  <c:v>1.7027721255921113E-3</c:v>
                </c:pt>
                <c:pt idx="2">
                  <c:v>1.6499874016546734E-3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Données!$C$119:$E$119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4.5127348443710358E-6</c:v>
                </c:pt>
                <c:pt idx="1">
                  <c:v>2.0019475338708959E-5</c:v>
                </c:pt>
                <c:pt idx="2">
                  <c:v>4.1772112726910088E-5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1.0000000000000002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266490464731503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-2.4550080905134551E-4</c:v>
                </c:pt>
                <c:pt idx="1">
                  <c:v>-7.0468729343263741E-4</c:v>
                </c:pt>
                <c:pt idx="2">
                  <c:v>-2.9473161172031411E-4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-1.3285997651632105E-3</c:v>
                </c:pt>
                <c:pt idx="1">
                  <c:v>2.2210593415303696E-3</c:v>
                </c:pt>
                <c:pt idx="2">
                  <c:v>3.4650918675708305E-4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Données!$C$154:$E$154</c:f>
              <c:numCache>
                <c:formatCode>0.0%</c:formatCode>
                <c:ptCount val="3"/>
                <c:pt idx="0">
                  <c:v>-0.13836181192199717</c:v>
                </c:pt>
                <c:pt idx="1">
                  <c:v>-8.9254599050750949E-2</c:v>
                </c:pt>
                <c:pt idx="2">
                  <c:v>-0.1051519967751566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Données!$C$155:$E$155</c:f>
              <c:numCache>
                <c:formatCode>0.0%</c:formatCode>
                <c:ptCount val="3"/>
                <c:pt idx="0">
                  <c:v>-6.2331653493533264E-3</c:v>
                </c:pt>
                <c:pt idx="1">
                  <c:v>-2.2071526192702106E-3</c:v>
                </c:pt>
                <c:pt idx="2">
                  <c:v>-1.819013678596918E-3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2.519720879304702E-3</c:v>
                </c:pt>
                <c:pt idx="1">
                  <c:v>1.0597258650575668E-2</c:v>
                </c:pt>
                <c:pt idx="2">
                  <c:v>2.0735388419211378E-2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-2.5644908428423445E-3</c:v>
                </c:pt>
                <c:pt idx="1">
                  <c:v>-8.1234790194017581E-4</c:v>
                </c:pt>
                <c:pt idx="2">
                  <c:v>-1.9481944484358194E-3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Données!$C$150:$E$150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-4.4283366588804664E-3</c:v>
                </c:pt>
                <c:pt idx="1">
                  <c:v>-1.831906229612601E-3</c:v>
                </c:pt>
                <c:pt idx="2">
                  <c:v>-2.0041488179725112E-3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Données!$C$150:$E$150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Données!$C$151:$E$151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-4.6515750588899552E-3</c:v>
                      </c:pt>
                      <c:pt idx="1">
                        <c:v>-1.6757610978153244E-3</c:v>
                      </c:pt>
                      <c:pt idx="2">
                        <c:v>-2.5551688133251872E-3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-4.8173346326588373E-6</c:v>
                </c:pt>
                <c:pt idx="1">
                  <c:v>-1.231144907471116E-5</c:v>
                </c:pt>
                <c:pt idx="2">
                  <c:v>-4.6154953471706401E-6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-1.0140710378597088E-4</c:v>
                </c:pt>
                <c:pt idx="1">
                  <c:v>1.6480901658835737E-4</c:v>
                </c:pt>
                <c:pt idx="2">
                  <c:v>2.6483013418543776E-5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-1.6470821253319293E-3</c:v>
                </c:pt>
                <c:pt idx="1">
                  <c:v>-1.0265576946362738E-3</c:v>
                </c:pt>
                <c:pt idx="2">
                  <c:v>-1.2179424282174108E-3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Données!$C$165:$E$165</c:f>
              <c:numCache>
                <c:formatCode>0.0%</c:formatCode>
                <c:ptCount val="3"/>
                <c:pt idx="0">
                  <c:v>-1.0959450636161725E-3</c:v>
                </c:pt>
                <c:pt idx="1">
                  <c:v>-3.7630434022311991E-4</c:v>
                </c:pt>
                <c:pt idx="2">
                  <c:v>-3.0308648646208431E-4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Données!$C$166:$E$166</c:f>
              <c:numCache>
                <c:formatCode>0.0%</c:formatCode>
                <c:ptCount val="3"/>
                <c:pt idx="0">
                  <c:v>4.4912016543221281E-5</c:v>
                </c:pt>
                <c:pt idx="1">
                  <c:v>1.8102881684365396E-4</c:v>
                </c:pt>
                <c:pt idx="2">
                  <c:v>3.3570903141255269E-4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Données!$C$167:$E$167</c:f>
              <c:numCache>
                <c:formatCode>0.0%</c:formatCode>
                <c:ptCount val="3"/>
                <c:pt idx="0">
                  <c:v>-1.7143185302778E-3</c:v>
                </c:pt>
                <c:pt idx="1">
                  <c:v>-5.5204035654713986E-4</c:v>
                </c:pt>
                <c:pt idx="2">
                  <c:v>-1.3327986293027857E-3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Données!$C$168:$E$168</c:f>
              <c:numCache>
                <c:formatCode>0.0%</c:formatCode>
                <c:ptCount val="3"/>
                <c:pt idx="0">
                  <c:v>-1.3291674266695532E-4</c:v>
                </c:pt>
                <c:pt idx="1">
                  <c:v>-5.4384960481585711E-5</c:v>
                </c:pt>
                <c:pt idx="2">
                  <c:v>-5.891774855882493E-5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Données!$C$160:$E$160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-4.6515750588899552E-3</c:v>
                </c:pt>
                <c:pt idx="1">
                  <c:v>-1.6757610978153244E-3</c:v>
                </c:pt>
                <c:pt idx="2">
                  <c:v>-2.5551688133251872E-3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Données!$C$171:$E$171</c:f>
              <c:numCache>
                <c:formatCode>0.0%</c:formatCode>
                <c:ptCount val="3"/>
                <c:pt idx="0">
                  <c:v>8.6862148159453506E-5</c:v>
                </c:pt>
                <c:pt idx="1">
                  <c:v>1.6993911626839858E-5</c:v>
                </c:pt>
                <c:pt idx="2">
                  <c:v>1.8783926314294014E-5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Données!$C$172:$E$172</c:f>
              <c:numCache>
                <c:formatCode>0.0%</c:formatCode>
                <c:ptCount val="3"/>
                <c:pt idx="0">
                  <c:v>2.5481570235220963E-4</c:v>
                </c:pt>
                <c:pt idx="1">
                  <c:v>2.8964069752376864E-4</c:v>
                </c:pt>
                <c:pt idx="2">
                  <c:v>2.7593779742579594E-4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Données!$C$173:$E$173</c:f>
              <c:numCache>
                <c:formatCode>0.0%</c:formatCode>
                <c:ptCount val="3"/>
                <c:pt idx="0">
                  <c:v>-1.5991475535643875E-3</c:v>
                </c:pt>
                <c:pt idx="1">
                  <c:v>-1.0089748056313717E-3</c:v>
                </c:pt>
                <c:pt idx="2">
                  <c:v>-9.8456374385659691E-4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Données!$C$174:$E$174</c:f>
              <c:numCache>
                <c:formatCode>0.0%</c:formatCode>
                <c:ptCount val="3"/>
                <c:pt idx="0">
                  <c:v>-2.7938236777877434E-4</c:v>
                </c:pt>
                <c:pt idx="1">
                  <c:v>-9.0750675812850679E-5</c:v>
                </c:pt>
                <c:pt idx="2">
                  <c:v>-5.0069927091778155E-5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Données!$C$175:$E$175</c:f>
              <c:numCache>
                <c:formatCode>0.0%</c:formatCode>
                <c:ptCount val="3"/>
                <c:pt idx="0">
                  <c:v>1.284199900462718E-4</c:v>
                </c:pt>
                <c:pt idx="1">
                  <c:v>2.1000710875030207E-4</c:v>
                </c:pt>
                <c:pt idx="2">
                  <c:v>2.2857209417429664E-4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Données!$C$176:$E$176</c:f>
              <c:numCache>
                <c:formatCode>0.0%</c:formatCode>
                <c:ptCount val="3"/>
                <c:pt idx="0">
                  <c:v>1.4017004312828485E-3</c:v>
                </c:pt>
                <c:pt idx="1">
                  <c:v>5.8772725462152842E-4</c:v>
                </c:pt>
                <c:pt idx="2">
                  <c:v>5.1353867148518084E-4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Données!$C$170:$E$170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Données!$C$177:$E$177</c:f>
              <c:numCache>
                <c:formatCode>0.0%</c:formatCode>
                <c:ptCount val="3"/>
                <c:pt idx="0">
                  <c:v>6.7318251483899916E-6</c:v>
                </c:pt>
                <c:pt idx="1">
                  <c:v>-4.6433605856641136E-6</c:v>
                </c:pt>
                <c:pt idx="2">
                  <c:v>-2.1989797650799614E-6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tabSelected="1" zoomScale="75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1-30_01-06-53_Result_France.xlsx" TargetMode="External"/><Relationship Id="rId1" Type="http://schemas.openxmlformats.org/officeDocument/2006/relationships/externalLinkPath" Target="2023-01-30_01-06-5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3873329.017</v>
          </cell>
          <cell r="C2">
            <v>3918643.1320000002</v>
          </cell>
          <cell r="D2">
            <v>3977077.2820000001</v>
          </cell>
          <cell r="E2">
            <v>4040043.517</v>
          </cell>
          <cell r="F2">
            <v>4103361.9539999999</v>
          </cell>
          <cell r="G2">
            <v>4166758.3689999999</v>
          </cell>
          <cell r="H2">
            <v>4231764.9460000005</v>
          </cell>
          <cell r="I2">
            <v>4290474.0410000002</v>
          </cell>
          <cell r="J2">
            <v>4346497.335</v>
          </cell>
          <cell r="K2">
            <v>4402931.6339999996</v>
          </cell>
          <cell r="L2">
            <v>4468093.47</v>
          </cell>
          <cell r="M2">
            <v>4531918.6339999996</v>
          </cell>
          <cell r="N2">
            <v>4599542.534</v>
          </cell>
          <cell r="O2">
            <v>4669574.0659999996</v>
          </cell>
          <cell r="P2">
            <v>4740926.3090000004</v>
          </cell>
          <cell r="Q2">
            <v>4813058.8360000001</v>
          </cell>
          <cell r="R2">
            <v>4885960.3849999998</v>
          </cell>
          <cell r="S2">
            <v>4959945.9369999999</v>
          </cell>
          <cell r="T2">
            <v>5035400.3250000002</v>
          </cell>
          <cell r="U2">
            <v>5112577.9160000002</v>
          </cell>
          <cell r="V2">
            <v>5186585.8880000003</v>
          </cell>
          <cell r="W2">
            <v>5266542.784</v>
          </cell>
          <cell r="X2">
            <v>5348305.0810000002</v>
          </cell>
          <cell r="Y2">
            <v>5431406.5259999996</v>
          </cell>
          <cell r="Z2">
            <v>5515588.2580000004</v>
          </cell>
          <cell r="AA2">
            <v>5584690.9780000001</v>
          </cell>
          <cell r="AB2">
            <v>5663912.1229999997</v>
          </cell>
          <cell r="AC2">
            <v>5743734.2649999997</v>
          </cell>
          <cell r="AD2">
            <v>5824510.7750000004</v>
          </cell>
          <cell r="AE2">
            <v>5906599.5640000002</v>
          </cell>
          <cell r="AF2">
            <v>5989986.9589999998</v>
          </cell>
          <cell r="AG2">
            <v>6074461.9740000004</v>
          </cell>
          <cell r="AH2">
            <v>6159835.2529999996</v>
          </cell>
          <cell r="AI2">
            <v>6246061.1270000003</v>
          </cell>
          <cell r="AJ2">
            <v>6333250.5559999999</v>
          </cell>
          <cell r="AK2">
            <v>6421601.0310000004</v>
          </cell>
        </row>
        <row r="3">
          <cell r="B3">
            <v>3873329.017</v>
          </cell>
          <cell r="C3">
            <v>3918643.1320000002</v>
          </cell>
          <cell r="D3">
            <v>3977077.2820000001</v>
          </cell>
          <cell r="E3">
            <v>4040043.517</v>
          </cell>
          <cell r="F3">
            <v>4103361.9539999999</v>
          </cell>
          <cell r="G3">
            <v>4166758.3689999999</v>
          </cell>
          <cell r="H3">
            <v>4226387.7419999996</v>
          </cell>
          <cell r="I3">
            <v>4287608.3169999998</v>
          </cell>
          <cell r="J3">
            <v>4350392.318</v>
          </cell>
          <cell r="K3">
            <v>4415032.9309999999</v>
          </cell>
          <cell r="L3">
            <v>4487395.09</v>
          </cell>
          <cell r="M3">
            <v>4556136.966</v>
          </cell>
          <cell r="N3">
            <v>4625907.7819999997</v>
          </cell>
          <cell r="O3">
            <v>4695761.8119999999</v>
          </cell>
          <cell r="P3">
            <v>4765518.8969999999</v>
          </cell>
          <cell r="Q3">
            <v>4835551.7680000002</v>
          </cell>
          <cell r="R3">
            <v>4906441.8530000001</v>
          </cell>
          <cell r="S3">
            <v>4978705.4800000004</v>
          </cell>
          <cell r="T3">
            <v>5052652.7529999996</v>
          </cell>
          <cell r="U3">
            <v>5128372.9479999999</v>
          </cell>
          <cell r="V3">
            <v>5200836.0480000004</v>
          </cell>
          <cell r="W3">
            <v>5279256.6869999999</v>
          </cell>
          <cell r="X3">
            <v>5359600.96</v>
          </cell>
          <cell r="Y3">
            <v>5441585.0880000005</v>
          </cell>
          <cell r="Z3">
            <v>5525108.1540000001</v>
          </cell>
          <cell r="AA3">
            <v>5594065.2949999999</v>
          </cell>
          <cell r="AB3">
            <v>5673663.4550000001</v>
          </cell>
          <cell r="AC3">
            <v>5754241.4699999997</v>
          </cell>
          <cell r="AD3">
            <v>5835986.2719999999</v>
          </cell>
          <cell r="AE3">
            <v>5919103.858</v>
          </cell>
          <cell r="AF3">
            <v>6003471.9730000002</v>
          </cell>
          <cell r="AG3">
            <v>6088818.1710000001</v>
          </cell>
          <cell r="AH3">
            <v>6174926.5039999997</v>
          </cell>
          <cell r="AI3">
            <v>6261746.3200000003</v>
          </cell>
          <cell r="AJ3">
            <v>6349389.642</v>
          </cell>
          <cell r="AK3">
            <v>6438051.3389999997</v>
          </cell>
        </row>
        <row r="4">
          <cell r="B4">
            <v>81949.29436</v>
          </cell>
          <cell r="C4">
            <v>81413.541490000003</v>
          </cell>
          <cell r="D4">
            <v>81039.512019999995</v>
          </cell>
          <cell r="E4">
            <v>80958.07432</v>
          </cell>
          <cell r="F4">
            <v>81202.088589999999</v>
          </cell>
          <cell r="G4">
            <v>81736.167239999995</v>
          </cell>
          <cell r="H4">
            <v>82452.893070000006</v>
          </cell>
          <cell r="I4">
            <v>83286.165949999995</v>
          </cell>
          <cell r="J4">
            <v>84150.254239999995</v>
          </cell>
          <cell r="K4">
            <v>84987.35226</v>
          </cell>
          <cell r="L4">
            <v>85840.158020000003</v>
          </cell>
          <cell r="M4">
            <v>86573.181259999998</v>
          </cell>
          <cell r="N4">
            <v>87197.640459999995</v>
          </cell>
          <cell r="O4">
            <v>87711.421679999999</v>
          </cell>
          <cell r="P4">
            <v>88122.4617</v>
          </cell>
          <cell r="Q4">
            <v>88446.75619</v>
          </cell>
          <cell r="R4">
            <v>88705.566460000002</v>
          </cell>
          <cell r="S4">
            <v>88922.223280000006</v>
          </cell>
          <cell r="T4">
            <v>89119.043189999997</v>
          </cell>
          <cell r="U4">
            <v>89314.921560000003</v>
          </cell>
          <cell r="V4">
            <v>89465.48977</v>
          </cell>
          <cell r="W4">
            <v>89667.739140000005</v>
          </cell>
          <cell r="X4">
            <v>89906.366720000005</v>
          </cell>
          <cell r="Y4">
            <v>90181.911649999995</v>
          </cell>
          <cell r="Z4">
            <v>90490.793730000005</v>
          </cell>
          <cell r="AA4">
            <v>90661.062040000004</v>
          </cell>
          <cell r="AB4">
            <v>90865.033089999997</v>
          </cell>
          <cell r="AC4">
            <v>91076.454979999995</v>
          </cell>
          <cell r="AD4">
            <v>91300.510729999995</v>
          </cell>
          <cell r="AE4">
            <v>91538.659669999994</v>
          </cell>
          <cell r="AF4">
            <v>91789.258619999993</v>
          </cell>
          <cell r="AG4">
            <v>92048.781300000002</v>
          </cell>
          <cell r="AH4">
            <v>92313.151599999997</v>
          </cell>
          <cell r="AI4">
            <v>92578.772670000006</v>
          </cell>
          <cell r="AJ4">
            <v>92843.040640000007</v>
          </cell>
          <cell r="AK4">
            <v>93104.37126</v>
          </cell>
        </row>
        <row r="5">
          <cell r="B5">
            <v>81949.29436</v>
          </cell>
          <cell r="C5">
            <v>81413.541490000003</v>
          </cell>
          <cell r="D5">
            <v>81039.512019999995</v>
          </cell>
          <cell r="E5">
            <v>80958.07432</v>
          </cell>
          <cell r="F5">
            <v>81202.088589999999</v>
          </cell>
          <cell r="G5">
            <v>81736.167239999995</v>
          </cell>
          <cell r="H5">
            <v>82442.833809999996</v>
          </cell>
          <cell r="I5">
            <v>83259.907829999996</v>
          </cell>
          <cell r="J5">
            <v>84116.739000000001</v>
          </cell>
          <cell r="K5">
            <v>84955.929109999997</v>
          </cell>
          <cell r="L5">
            <v>85815.610799999995</v>
          </cell>
          <cell r="M5">
            <v>86554.044410000002</v>
          </cell>
          <cell r="N5">
            <v>87180.039480000007</v>
          </cell>
          <cell r="O5">
            <v>87691.686109999995</v>
          </cell>
          <cell r="P5">
            <v>88099.644589999996</v>
          </cell>
          <cell r="Q5">
            <v>88423.336450000003</v>
          </cell>
          <cell r="R5">
            <v>88686.413780000003</v>
          </cell>
          <cell r="S5">
            <v>88912.641879999996</v>
          </cell>
          <cell r="T5">
            <v>89122.905400000003</v>
          </cell>
          <cell r="U5">
            <v>89333.590830000001</v>
          </cell>
          <cell r="V5">
            <v>89497.669890000005</v>
          </cell>
          <cell r="W5">
            <v>89710.261870000002</v>
          </cell>
          <cell r="X5">
            <v>89955.148910000004</v>
          </cell>
          <cell r="Y5">
            <v>90232.788610000003</v>
          </cell>
          <cell r="Z5">
            <v>90540.149009999994</v>
          </cell>
          <cell r="AA5">
            <v>90705.955700000006</v>
          </cell>
          <cell r="AB5">
            <v>90903.589129999993</v>
          </cell>
          <cell r="AC5">
            <v>91107.423039999994</v>
          </cell>
          <cell r="AD5">
            <v>91323.150869999998</v>
          </cell>
          <cell r="AE5">
            <v>91552.698420000001</v>
          </cell>
          <cell r="AF5">
            <v>91794.922229999996</v>
          </cell>
          <cell r="AG5">
            <v>92046.83412</v>
          </cell>
          <cell r="AH5">
            <v>92304.871539999993</v>
          </cell>
          <cell r="AI5">
            <v>92565.836620000002</v>
          </cell>
          <cell r="AJ5">
            <v>92827.337780000002</v>
          </cell>
          <cell r="AK5">
            <v>93087.783240000004</v>
          </cell>
        </row>
        <row r="6">
          <cell r="B6">
            <v>6541.6453099999999</v>
          </cell>
          <cell r="C6">
            <v>6399.6007769999997</v>
          </cell>
          <cell r="D6">
            <v>6292.8627269999997</v>
          </cell>
          <cell r="E6">
            <v>6219.459167</v>
          </cell>
          <cell r="F6">
            <v>6173.585986</v>
          </cell>
          <cell r="G6">
            <v>6150.7744709999997</v>
          </cell>
          <cell r="H6">
            <v>6181.8167409999996</v>
          </cell>
          <cell r="I6">
            <v>6188.2691139999997</v>
          </cell>
          <cell r="J6">
            <v>6196.1756310000001</v>
          </cell>
          <cell r="K6">
            <v>6209.2744540000003</v>
          </cell>
          <cell r="L6">
            <v>6241.221329</v>
          </cell>
          <cell r="M6">
            <v>6264.8237570000001</v>
          </cell>
          <cell r="N6">
            <v>6293.7612369999997</v>
          </cell>
          <cell r="O6">
            <v>6329.177181</v>
          </cell>
          <cell r="P6">
            <v>6370.1150580000003</v>
          </cell>
          <cell r="Q6">
            <v>6415.4655620000003</v>
          </cell>
          <cell r="R6">
            <v>6464.5501130000002</v>
          </cell>
          <cell r="S6">
            <v>6517.0582180000001</v>
          </cell>
          <cell r="T6">
            <v>6572.8684400000002</v>
          </cell>
          <cell r="U6">
            <v>6631.882568</v>
          </cell>
          <cell r="V6">
            <v>6684.5999229999998</v>
          </cell>
          <cell r="W6">
            <v>6749.9324740000002</v>
          </cell>
          <cell r="X6">
            <v>6818.3051619999997</v>
          </cell>
          <cell r="Y6">
            <v>6887.9969700000001</v>
          </cell>
          <cell r="Z6">
            <v>6958.7650990000002</v>
          </cell>
          <cell r="AA6">
            <v>7002.8494389999996</v>
          </cell>
          <cell r="AB6">
            <v>7065.8324940000002</v>
          </cell>
          <cell r="AC6">
            <v>7131.9396889999998</v>
          </cell>
          <cell r="AD6">
            <v>7198.3838640000004</v>
          </cell>
          <cell r="AE6">
            <v>7265.225324</v>
          </cell>
          <cell r="AF6">
            <v>7332.8178479999997</v>
          </cell>
          <cell r="AG6">
            <v>7401.3490199999997</v>
          </cell>
          <cell r="AH6">
            <v>7470.878858</v>
          </cell>
          <cell r="AI6">
            <v>7541.4171180000003</v>
          </cell>
          <cell r="AJ6">
            <v>7613.010808</v>
          </cell>
          <cell r="AK6">
            <v>7685.760945</v>
          </cell>
        </row>
        <row r="7">
          <cell r="B7">
            <v>6541.6453099999999</v>
          </cell>
          <cell r="C7">
            <v>6399.6007769999997</v>
          </cell>
          <cell r="D7">
            <v>6292.8627269999997</v>
          </cell>
          <cell r="E7">
            <v>6219.459167</v>
          </cell>
          <cell r="F7">
            <v>6173.585986</v>
          </cell>
          <cell r="G7">
            <v>6150.7744709999997</v>
          </cell>
          <cell r="H7">
            <v>6138.4628119999998</v>
          </cell>
          <cell r="I7">
            <v>6142.6016440000003</v>
          </cell>
          <cell r="J7">
            <v>6159.998474</v>
          </cell>
          <cell r="K7">
            <v>6187.3718440000002</v>
          </cell>
          <cell r="L7">
            <v>6234.983937</v>
          </cell>
          <cell r="M7">
            <v>6274.2928190000002</v>
          </cell>
          <cell r="N7">
            <v>6317.2366240000001</v>
          </cell>
          <cell r="O7">
            <v>6363.7196439999998</v>
          </cell>
          <cell r="P7">
            <v>6412.3138129999998</v>
          </cell>
          <cell r="Q7">
            <v>6462.1797729999998</v>
          </cell>
          <cell r="R7">
            <v>6513.1558290000003</v>
          </cell>
          <cell r="S7">
            <v>6565.4781979999998</v>
          </cell>
          <cell r="T7">
            <v>6619.5219310000002</v>
          </cell>
          <cell r="U7">
            <v>6675.6301670000003</v>
          </cell>
          <cell r="V7">
            <v>6724.6583970000002</v>
          </cell>
          <cell r="W7">
            <v>6785.9488380000003</v>
          </cell>
          <cell r="X7">
            <v>6850.3174589999999</v>
          </cell>
          <cell r="Y7">
            <v>6916.4438120000004</v>
          </cell>
          <cell r="Z7">
            <v>6984.4429110000001</v>
          </cell>
          <cell r="AA7">
            <v>7026.8268289999996</v>
          </cell>
          <cell r="AB7">
            <v>7089.30645</v>
          </cell>
          <cell r="AC7">
            <v>7156.0823499999997</v>
          </cell>
          <cell r="AD7">
            <v>7224.2236409999996</v>
          </cell>
          <cell r="AE7">
            <v>7293.5611660000004</v>
          </cell>
          <cell r="AF7">
            <v>7364.1860740000002</v>
          </cell>
          <cell r="AG7">
            <v>7436.0194549999997</v>
          </cell>
          <cell r="AH7">
            <v>7508.8688110000003</v>
          </cell>
          <cell r="AI7">
            <v>7582.5483830000003</v>
          </cell>
          <cell r="AJ7">
            <v>7656.9555140000002</v>
          </cell>
          <cell r="AK7">
            <v>7732.0637610000003</v>
          </cell>
        </row>
        <row r="8">
          <cell r="B8">
            <v>157985.0252</v>
          </cell>
          <cell r="C8">
            <v>158591.97219999999</v>
          </cell>
          <cell r="D8">
            <v>159230.75450000001</v>
          </cell>
          <cell r="E8">
            <v>160064.85620000001</v>
          </cell>
          <cell r="F8">
            <v>161116.5214</v>
          </cell>
          <cell r="G8">
            <v>162342.52189999999</v>
          </cell>
          <cell r="H8">
            <v>163613.7936</v>
          </cell>
          <cell r="I8">
            <v>164844.3677</v>
          </cell>
          <cell r="J8">
            <v>165989.40109999999</v>
          </cell>
          <cell r="K8">
            <v>167052.78709999999</v>
          </cell>
          <cell r="L8">
            <v>168205.4093</v>
          </cell>
          <cell r="M8">
            <v>169220.8818</v>
          </cell>
          <cell r="N8">
            <v>170124.9075</v>
          </cell>
          <cell r="O8">
            <v>170909.54389999999</v>
          </cell>
          <cell r="P8">
            <v>171579.6624</v>
          </cell>
          <cell r="Q8">
            <v>172152.78039999999</v>
          </cell>
          <cell r="R8">
            <v>172655.2874</v>
          </cell>
          <cell r="S8">
            <v>173116.60260000001</v>
          </cell>
          <cell r="T8">
            <v>173563.43919999999</v>
          </cell>
          <cell r="U8">
            <v>174015.97099999999</v>
          </cell>
          <cell r="V8">
            <v>174373.15100000001</v>
          </cell>
          <cell r="W8">
            <v>174807.45800000001</v>
          </cell>
          <cell r="X8">
            <v>175291.02840000001</v>
          </cell>
          <cell r="Y8">
            <v>175818.65950000001</v>
          </cell>
          <cell r="Z8">
            <v>176380.76459999999</v>
          </cell>
          <cell r="AA8">
            <v>176647.12359999999</v>
          </cell>
          <cell r="AB8">
            <v>176946.35250000001</v>
          </cell>
          <cell r="AC8">
            <v>177255.78140000001</v>
          </cell>
          <cell r="AD8">
            <v>177589.96799999999</v>
          </cell>
          <cell r="AE8">
            <v>177951.59959999999</v>
          </cell>
          <cell r="AF8">
            <v>178336.23310000001</v>
          </cell>
          <cell r="AG8">
            <v>178736.7959</v>
          </cell>
          <cell r="AH8">
            <v>179146.9529</v>
          </cell>
          <cell r="AI8">
            <v>179562.74859999999</v>
          </cell>
          <cell r="AJ8">
            <v>179982.61629999999</v>
          </cell>
          <cell r="AK8">
            <v>180406.36550000001</v>
          </cell>
        </row>
        <row r="9">
          <cell r="B9">
            <v>157985.0252</v>
          </cell>
          <cell r="C9">
            <v>158591.97219999999</v>
          </cell>
          <cell r="D9">
            <v>159230.75450000001</v>
          </cell>
          <cell r="E9">
            <v>160064.85620000001</v>
          </cell>
          <cell r="F9">
            <v>161116.5214</v>
          </cell>
          <cell r="G9">
            <v>162342.52189999999</v>
          </cell>
          <cell r="H9">
            <v>163584.57430000001</v>
          </cell>
          <cell r="I9">
            <v>164820.3904</v>
          </cell>
          <cell r="J9">
            <v>166015.27739999999</v>
          </cell>
          <cell r="K9">
            <v>167142.78049999999</v>
          </cell>
          <cell r="L9">
            <v>168341.17189999999</v>
          </cell>
          <cell r="M9">
            <v>169365.8235</v>
          </cell>
          <cell r="N9">
            <v>170242.67180000001</v>
          </cell>
          <cell r="O9">
            <v>170976.50690000001</v>
          </cell>
          <cell r="P9">
            <v>171590.4112</v>
          </cell>
          <cell r="Q9">
            <v>172117.4552</v>
          </cell>
          <cell r="R9">
            <v>172592.2292</v>
          </cell>
          <cell r="S9">
            <v>173044.5295</v>
          </cell>
          <cell r="T9">
            <v>173496.2145</v>
          </cell>
          <cell r="U9">
            <v>173960.95269999999</v>
          </cell>
          <cell r="V9">
            <v>174332.21669999999</v>
          </cell>
          <cell r="W9">
            <v>174779.86489999999</v>
          </cell>
          <cell r="X9">
            <v>175275.36290000001</v>
          </cell>
          <cell r="Y9">
            <v>175813.89439999999</v>
          </cell>
          <cell r="Z9">
            <v>176386.48480000001</v>
          </cell>
          <cell r="AA9">
            <v>176662.9204</v>
          </cell>
          <cell r="AB9">
            <v>176971.24069999999</v>
          </cell>
          <cell r="AC9">
            <v>177287.53109999999</v>
          </cell>
          <cell r="AD9">
            <v>177625.16329999999</v>
          </cell>
          <cell r="AE9">
            <v>177986.3083</v>
          </cell>
          <cell r="AF9">
            <v>178366.8474</v>
          </cell>
          <cell r="AG9">
            <v>178760.70730000001</v>
          </cell>
          <cell r="AH9">
            <v>179162.86989999999</v>
          </cell>
          <cell r="AI9">
            <v>179570.65220000001</v>
          </cell>
          <cell r="AJ9">
            <v>179983.4602</v>
          </cell>
          <cell r="AK9">
            <v>180401.66589999999</v>
          </cell>
        </row>
        <row r="10">
          <cell r="B10">
            <v>125932.31909999999</v>
          </cell>
          <cell r="C10">
            <v>126966.8846</v>
          </cell>
          <cell r="D10">
            <v>128620.5148</v>
          </cell>
          <cell r="E10">
            <v>130472.4057</v>
          </cell>
          <cell r="F10">
            <v>132378.69680000001</v>
          </cell>
          <cell r="G10">
            <v>134299.35269999999</v>
          </cell>
          <cell r="H10">
            <v>136138.74979999999</v>
          </cell>
          <cell r="I10">
            <v>137908.11840000001</v>
          </cell>
          <cell r="J10">
            <v>139619.1249</v>
          </cell>
          <cell r="K10">
            <v>141327.3222</v>
          </cell>
          <cell r="L10">
            <v>143280.51310000001</v>
          </cell>
          <cell r="M10">
            <v>145133.47719999999</v>
          </cell>
          <cell r="N10">
            <v>147038.21410000001</v>
          </cell>
          <cell r="O10">
            <v>148983.33780000001</v>
          </cell>
          <cell r="P10">
            <v>150955.99600000001</v>
          </cell>
          <cell r="Q10">
            <v>152950.09460000001</v>
          </cell>
          <cell r="R10">
            <v>154968.20060000001</v>
          </cell>
          <cell r="S10">
            <v>157018.95209999999</v>
          </cell>
          <cell r="T10">
            <v>159112.61929999999</v>
          </cell>
          <cell r="U10">
            <v>161257.15820000001</v>
          </cell>
          <cell r="V10">
            <v>163307.1078</v>
          </cell>
          <cell r="W10">
            <v>165539.2114</v>
          </cell>
          <cell r="X10">
            <v>167836.64360000001</v>
          </cell>
          <cell r="Y10">
            <v>170189.51949999999</v>
          </cell>
          <cell r="Z10">
            <v>172587.7598</v>
          </cell>
          <cell r="AA10">
            <v>174587.5521</v>
          </cell>
          <cell r="AB10">
            <v>176800.973</v>
          </cell>
          <cell r="AC10">
            <v>179063.05710000001</v>
          </cell>
          <cell r="AD10">
            <v>181376.94140000001</v>
          </cell>
          <cell r="AE10">
            <v>183741.82380000001</v>
          </cell>
          <cell r="AF10">
            <v>186152.4945</v>
          </cell>
          <cell r="AG10">
            <v>188601.6833</v>
          </cell>
          <cell r="AH10">
            <v>191083.13269999999</v>
          </cell>
          <cell r="AI10">
            <v>193593.6465</v>
          </cell>
          <cell r="AJ10">
            <v>196133.48050000001</v>
          </cell>
          <cell r="AK10">
            <v>198705.2481</v>
          </cell>
        </row>
        <row r="11">
          <cell r="B11">
            <v>125932.31909999999</v>
          </cell>
          <cell r="C11">
            <v>126966.8846</v>
          </cell>
          <cell r="D11">
            <v>128620.5148</v>
          </cell>
          <cell r="E11">
            <v>130472.4057</v>
          </cell>
          <cell r="F11">
            <v>132378.69680000001</v>
          </cell>
          <cell r="G11">
            <v>134299.35269999999</v>
          </cell>
          <cell r="H11">
            <v>136122.02170000001</v>
          </cell>
          <cell r="I11">
            <v>137957.3787</v>
          </cell>
          <cell r="J11">
            <v>139824.8303</v>
          </cell>
          <cell r="K11">
            <v>141735.2787</v>
          </cell>
          <cell r="L11">
            <v>143887.31839999999</v>
          </cell>
          <cell r="M11">
            <v>145901.70199999999</v>
          </cell>
          <cell r="N11">
            <v>147914.9492</v>
          </cell>
          <cell r="O11">
            <v>149915.95310000001</v>
          </cell>
          <cell r="P11">
            <v>151903.26130000001</v>
          </cell>
          <cell r="Q11">
            <v>153884.95610000001</v>
          </cell>
          <cell r="R11">
            <v>155874.21660000001</v>
          </cell>
          <cell r="S11">
            <v>157884.4933</v>
          </cell>
          <cell r="T11">
            <v>159926.3743</v>
          </cell>
          <cell r="U11">
            <v>162006.61300000001</v>
          </cell>
          <cell r="V11">
            <v>163978.98130000001</v>
          </cell>
          <cell r="W11">
            <v>166124.21340000001</v>
          </cell>
          <cell r="X11">
            <v>168329.92430000001</v>
          </cell>
          <cell r="Y11">
            <v>170592.14739999999</v>
          </cell>
          <cell r="Z11">
            <v>172906.47649999999</v>
          </cell>
          <cell r="AA11">
            <v>174833.33050000001</v>
          </cell>
          <cell r="AB11">
            <v>176986.25570000001</v>
          </cell>
          <cell r="AC11">
            <v>179199.18179999999</v>
          </cell>
          <cell r="AD11">
            <v>181473.0018</v>
          </cell>
          <cell r="AE11">
            <v>183804.12909999999</v>
          </cell>
          <cell r="AF11">
            <v>186184.68979999999</v>
          </cell>
          <cell r="AG11">
            <v>188605.14670000001</v>
          </cell>
          <cell r="AH11">
            <v>191057.3665</v>
          </cell>
          <cell r="AI11">
            <v>193536.59729999999</v>
          </cell>
          <cell r="AJ11">
            <v>196041.75769999999</v>
          </cell>
          <cell r="AK11">
            <v>198574.28219999999</v>
          </cell>
        </row>
        <row r="12">
          <cell r="B12">
            <v>22167.12988</v>
          </cell>
          <cell r="C12">
            <v>22972.238000000001</v>
          </cell>
          <cell r="D12">
            <v>23887.66761</v>
          </cell>
          <cell r="E12">
            <v>24583.804179999999</v>
          </cell>
          <cell r="F12">
            <v>25094.762620000001</v>
          </cell>
          <cell r="G12">
            <v>25514.718799999999</v>
          </cell>
          <cell r="H12">
            <v>25723.98475</v>
          </cell>
          <cell r="I12">
            <v>25982.650720000001</v>
          </cell>
          <cell r="J12">
            <v>26276.407640000001</v>
          </cell>
          <cell r="K12">
            <v>26593.142660000001</v>
          </cell>
          <cell r="L12">
            <v>27240.655739999998</v>
          </cell>
          <cell r="M12">
            <v>27486.525369999999</v>
          </cell>
          <cell r="N12">
            <v>27804.680639999999</v>
          </cell>
          <cell r="O12">
            <v>28192.747500000001</v>
          </cell>
          <cell r="P12">
            <v>28617.247510000001</v>
          </cell>
          <cell r="Q12">
            <v>29059.004980000002</v>
          </cell>
          <cell r="R12">
            <v>29510.748390000001</v>
          </cell>
          <cell r="S12">
            <v>29971.965619999999</v>
          </cell>
          <cell r="T12">
            <v>30444.808270000001</v>
          </cell>
          <cell r="U12">
            <v>30931.33452</v>
          </cell>
          <cell r="V12">
            <v>31213.18115</v>
          </cell>
          <cell r="W12">
            <v>31809.40062</v>
          </cell>
          <cell r="X12">
            <v>32398.573639999999</v>
          </cell>
          <cell r="Y12">
            <v>32963.491479999997</v>
          </cell>
          <cell r="Z12">
            <v>33517.366289999998</v>
          </cell>
          <cell r="AA12">
            <v>33422.679029999999</v>
          </cell>
          <cell r="AB12">
            <v>33957.748070000001</v>
          </cell>
          <cell r="AC12">
            <v>34535.180950000002</v>
          </cell>
          <cell r="AD12">
            <v>35095.734349999999</v>
          </cell>
          <cell r="AE12">
            <v>35646.982559999997</v>
          </cell>
          <cell r="AF12">
            <v>36197.133950000003</v>
          </cell>
          <cell r="AG12">
            <v>36749.481240000001</v>
          </cell>
          <cell r="AH12">
            <v>37304.771769999999</v>
          </cell>
          <cell r="AI12">
            <v>37863.401859999998</v>
          </cell>
          <cell r="AJ12">
            <v>38426.38824</v>
          </cell>
          <cell r="AK12">
            <v>38995.322209999998</v>
          </cell>
        </row>
        <row r="13">
          <cell r="B13">
            <v>22167.12988</v>
          </cell>
          <cell r="C13">
            <v>22972.238000000001</v>
          </cell>
          <cell r="D13">
            <v>23887.66761</v>
          </cell>
          <cell r="E13">
            <v>24583.804179999999</v>
          </cell>
          <cell r="F13">
            <v>25094.762620000001</v>
          </cell>
          <cell r="G13">
            <v>25514.718799999999</v>
          </cell>
          <cell r="H13">
            <v>25695.497299999999</v>
          </cell>
          <cell r="I13">
            <v>25970.138889999998</v>
          </cell>
          <cell r="J13">
            <v>26312.961230000001</v>
          </cell>
          <cell r="K13">
            <v>26693.413629999999</v>
          </cell>
          <cell r="L13">
            <v>27400.196199999998</v>
          </cell>
          <cell r="M13">
            <v>27688.451489999999</v>
          </cell>
          <cell r="N13">
            <v>28027.338930000002</v>
          </cell>
          <cell r="O13">
            <v>28416.399239999999</v>
          </cell>
          <cell r="P13">
            <v>28828.52852</v>
          </cell>
          <cell r="Q13">
            <v>29251.803029999999</v>
          </cell>
          <cell r="R13">
            <v>29684.261450000002</v>
          </cell>
          <cell r="S13">
            <v>30127.685689999998</v>
          </cell>
          <cell r="T13">
            <v>30584.11058</v>
          </cell>
          <cell r="U13">
            <v>31054.45867</v>
          </cell>
          <cell r="V13">
            <v>31318.910960000001</v>
          </cell>
          <cell r="W13">
            <v>31897.987639999999</v>
          </cell>
          <cell r="X13">
            <v>32470.765230000001</v>
          </cell>
          <cell r="Y13">
            <v>33021.547550000003</v>
          </cell>
          <cell r="Z13">
            <v>33565.07789</v>
          </cell>
          <cell r="AA13">
            <v>33464.078020000001</v>
          </cell>
          <cell r="AB13">
            <v>33998.290180000004</v>
          </cell>
          <cell r="AC13">
            <v>34578.926729999999</v>
          </cell>
          <cell r="AD13">
            <v>35145.319730000003</v>
          </cell>
          <cell r="AE13">
            <v>35703.652280000002</v>
          </cell>
          <cell r="AF13">
            <v>36261.026210000004</v>
          </cell>
          <cell r="AG13">
            <v>36820.010410000003</v>
          </cell>
          <cell r="AH13">
            <v>37380.96155</v>
          </cell>
          <cell r="AI13">
            <v>37944.109420000001</v>
          </cell>
          <cell r="AJ13">
            <v>38510.408810000001</v>
          </cell>
          <cell r="AK13">
            <v>39081.408530000001</v>
          </cell>
        </row>
        <row r="14">
          <cell r="B14">
            <v>25232.131710000001</v>
          </cell>
          <cell r="C14">
            <v>25436.937979999999</v>
          </cell>
          <cell r="D14">
            <v>25744.88679</v>
          </cell>
          <cell r="E14">
            <v>26157.058819999998</v>
          </cell>
          <cell r="F14">
            <v>26618.708709999999</v>
          </cell>
          <cell r="G14">
            <v>27100.564969999999</v>
          </cell>
          <cell r="H14">
            <v>27627.125370000002</v>
          </cell>
          <cell r="I14">
            <v>28095.837759999999</v>
          </cell>
          <cell r="J14">
            <v>28528.064910000001</v>
          </cell>
          <cell r="K14">
            <v>28950.066849999999</v>
          </cell>
          <cell r="L14">
            <v>29359.933099999998</v>
          </cell>
          <cell r="M14">
            <v>29854.441019999998</v>
          </cell>
          <cell r="N14">
            <v>30354.874660000001</v>
          </cell>
          <cell r="O14">
            <v>30860.495309999998</v>
          </cell>
          <cell r="P14">
            <v>31370.68</v>
          </cell>
          <cell r="Q14">
            <v>31885.13737</v>
          </cell>
          <cell r="R14">
            <v>32405.10917</v>
          </cell>
          <cell r="S14">
            <v>32933.129410000001</v>
          </cell>
          <cell r="T14">
            <v>33471.882790000003</v>
          </cell>
          <cell r="U14">
            <v>34023.090170000003</v>
          </cell>
          <cell r="V14">
            <v>34597.933389999998</v>
          </cell>
          <cell r="W14">
            <v>35145.571759999999</v>
          </cell>
          <cell r="X14">
            <v>35716.402730000002</v>
          </cell>
          <cell r="Y14">
            <v>36304.49381</v>
          </cell>
          <cell r="Z14">
            <v>36903.944649999998</v>
          </cell>
          <cell r="AA14">
            <v>37532.048119999999</v>
          </cell>
          <cell r="AB14">
            <v>38083.165430000001</v>
          </cell>
          <cell r="AC14">
            <v>38641.37255</v>
          </cell>
          <cell r="AD14">
            <v>39212.109830000001</v>
          </cell>
          <cell r="AE14">
            <v>39795.79666</v>
          </cell>
          <cell r="AF14">
            <v>40390.893239999998</v>
          </cell>
          <cell r="AG14">
            <v>40995.126600000003</v>
          </cell>
          <cell r="AH14">
            <v>41606.67542</v>
          </cell>
          <cell r="AI14">
            <v>42224.88119</v>
          </cell>
          <cell r="AJ14">
            <v>42850.282290000003</v>
          </cell>
          <cell r="AK14">
            <v>43484.129829999998</v>
          </cell>
        </row>
        <row r="15">
          <cell r="B15">
            <v>25232.131710000001</v>
          </cell>
          <cell r="C15">
            <v>25436.937979999999</v>
          </cell>
          <cell r="D15">
            <v>25744.88679</v>
          </cell>
          <cell r="E15">
            <v>26157.058819999998</v>
          </cell>
          <cell r="F15">
            <v>26618.708709999999</v>
          </cell>
          <cell r="G15">
            <v>27100.564969999999</v>
          </cell>
          <cell r="H15">
            <v>27604.440149999999</v>
          </cell>
          <cell r="I15">
            <v>28092.08194</v>
          </cell>
          <cell r="J15">
            <v>28574.84273</v>
          </cell>
          <cell r="K15">
            <v>29061.744279999999</v>
          </cell>
          <cell r="L15">
            <v>29533.42239</v>
          </cell>
          <cell r="M15">
            <v>30076.03413</v>
          </cell>
          <cell r="N15">
            <v>30605.45333</v>
          </cell>
          <cell r="O15">
            <v>31122.29247</v>
          </cell>
          <cell r="P15">
            <v>31631.017769999999</v>
          </cell>
          <cell r="Q15">
            <v>32137.018069999998</v>
          </cell>
          <cell r="R15">
            <v>32645.692940000001</v>
          </cell>
          <cell r="S15">
            <v>33161.448490000002</v>
          </cell>
          <cell r="T15">
            <v>33687.075649999999</v>
          </cell>
          <cell r="U15">
            <v>34223.751579999996</v>
          </cell>
          <cell r="V15">
            <v>34782.256240000002</v>
          </cell>
          <cell r="W15">
            <v>35312.840040000003</v>
          </cell>
          <cell r="X15">
            <v>35867.2189</v>
          </cell>
          <cell r="Y15">
            <v>36441.121850000003</v>
          </cell>
          <cell r="Z15">
            <v>37030.098789999996</v>
          </cell>
          <cell r="AA15">
            <v>37652.10987</v>
          </cell>
          <cell r="AB15">
            <v>38201.764309999999</v>
          </cell>
          <cell r="AC15">
            <v>38762.347139999998</v>
          </cell>
          <cell r="AD15">
            <v>39338.136189999997</v>
          </cell>
          <cell r="AE15">
            <v>39928.370909999998</v>
          </cell>
          <cell r="AF15">
            <v>40530.545109999999</v>
          </cell>
          <cell r="AG15">
            <v>41141.710169999998</v>
          </cell>
          <cell r="AH15">
            <v>41759.61752</v>
          </cell>
          <cell r="AI15">
            <v>42383.338089999997</v>
          </cell>
          <cell r="AJ15">
            <v>43013.219550000002</v>
          </cell>
          <cell r="AK15">
            <v>43650.359049999999</v>
          </cell>
        </row>
        <row r="16">
          <cell r="B16">
            <v>85851.002170000007</v>
          </cell>
          <cell r="C16">
            <v>85927.000379999998</v>
          </cell>
          <cell r="D16">
            <v>86512.541949999999</v>
          </cell>
          <cell r="E16">
            <v>87385.157210000005</v>
          </cell>
          <cell r="F16">
            <v>88430.413159999996</v>
          </cell>
          <cell r="G16">
            <v>89594.676179999995</v>
          </cell>
          <cell r="H16">
            <v>90771.496190000005</v>
          </cell>
          <cell r="I16">
            <v>91935.006840000002</v>
          </cell>
          <cell r="J16">
            <v>93079.67714</v>
          </cell>
          <cell r="K16">
            <v>94227.760049999997</v>
          </cell>
          <cell r="L16">
            <v>95580.077720000001</v>
          </cell>
          <cell r="M16">
            <v>96832.773629999996</v>
          </cell>
          <cell r="N16">
            <v>98140.830319999994</v>
          </cell>
          <cell r="O16">
            <v>99504.836389999997</v>
          </cell>
          <cell r="P16">
            <v>100906.3532</v>
          </cell>
          <cell r="Q16">
            <v>102332.9896</v>
          </cell>
          <cell r="R16">
            <v>103781.69349999999</v>
          </cell>
          <cell r="S16">
            <v>105256.7159</v>
          </cell>
          <cell r="T16">
            <v>106765.4975</v>
          </cell>
          <cell r="U16">
            <v>108314.63009999999</v>
          </cell>
          <cell r="V16">
            <v>109780.86289999999</v>
          </cell>
          <cell r="W16">
            <v>111410.4427</v>
          </cell>
          <cell r="X16">
            <v>113092.52929999999</v>
          </cell>
          <cell r="Y16">
            <v>114809.45699999999</v>
          </cell>
          <cell r="Z16">
            <v>116556.61780000001</v>
          </cell>
          <cell r="AA16">
            <v>117950.48269999999</v>
          </cell>
          <cell r="AB16">
            <v>119577.5828</v>
          </cell>
          <cell r="AC16">
            <v>121249.5337</v>
          </cell>
          <cell r="AD16">
            <v>122948.51820000001</v>
          </cell>
          <cell r="AE16">
            <v>124678.99739999999</v>
          </cell>
          <cell r="AF16">
            <v>126442.1427</v>
          </cell>
          <cell r="AG16">
            <v>128234.8135</v>
          </cell>
          <cell r="AH16">
            <v>130052.72500000001</v>
          </cell>
          <cell r="AI16">
            <v>131893.1698</v>
          </cell>
          <cell r="AJ16">
            <v>133756.12460000001</v>
          </cell>
          <cell r="AK16">
            <v>135643.7493</v>
          </cell>
        </row>
        <row r="17">
          <cell r="B17">
            <v>85851.002170000007</v>
          </cell>
          <cell r="C17">
            <v>85927.000379999998</v>
          </cell>
          <cell r="D17">
            <v>86512.541949999999</v>
          </cell>
          <cell r="E17">
            <v>87385.157210000005</v>
          </cell>
          <cell r="F17">
            <v>88430.413159999996</v>
          </cell>
          <cell r="G17">
            <v>89594.676179999995</v>
          </cell>
          <cell r="H17">
            <v>90740.056819999998</v>
          </cell>
          <cell r="I17">
            <v>91955.403879999998</v>
          </cell>
          <cell r="J17">
            <v>93230.238889999993</v>
          </cell>
          <cell r="K17">
            <v>94553.699859999993</v>
          </cell>
          <cell r="L17">
            <v>96084.555439999996</v>
          </cell>
          <cell r="M17">
            <v>97485.96226</v>
          </cell>
          <cell r="N17">
            <v>98894.399850000002</v>
          </cell>
          <cell r="O17">
            <v>100308.4093</v>
          </cell>
          <cell r="P17">
            <v>101719.4366</v>
          </cell>
          <cell r="Q17">
            <v>103129.55</v>
          </cell>
          <cell r="R17">
            <v>104548.1461</v>
          </cell>
          <cell r="S17">
            <v>105986.6296</v>
          </cell>
          <cell r="T17">
            <v>107454.5591</v>
          </cell>
          <cell r="U17">
            <v>108957.9715</v>
          </cell>
          <cell r="V17">
            <v>110372.10950000001</v>
          </cell>
          <cell r="W17">
            <v>111946.33809999999</v>
          </cell>
          <cell r="X17">
            <v>113572.2487</v>
          </cell>
          <cell r="Y17">
            <v>115236.565</v>
          </cell>
          <cell r="Z17">
            <v>116939.1118</v>
          </cell>
          <cell r="AA17">
            <v>118298.5736</v>
          </cell>
          <cell r="AB17">
            <v>119904.53599999999</v>
          </cell>
          <cell r="AC17">
            <v>121566.9528</v>
          </cell>
          <cell r="AD17">
            <v>123265.49709999999</v>
          </cell>
          <cell r="AE17">
            <v>125001.6442</v>
          </cell>
          <cell r="AF17">
            <v>126773.8005</v>
          </cell>
          <cell r="AG17">
            <v>128576.63189999999</v>
          </cell>
          <cell r="AH17">
            <v>130404.254</v>
          </cell>
          <cell r="AI17">
            <v>132252.83189999999</v>
          </cell>
          <cell r="AJ17">
            <v>134121.4958</v>
          </cell>
          <cell r="AK17">
            <v>136011.6844</v>
          </cell>
        </row>
        <row r="18">
          <cell r="B18">
            <v>29155.777910000001</v>
          </cell>
          <cell r="C18">
            <v>29318.68678</v>
          </cell>
          <cell r="D18">
            <v>29646.491249999999</v>
          </cell>
          <cell r="E18">
            <v>30030.016220000001</v>
          </cell>
          <cell r="F18">
            <v>30437.823960000002</v>
          </cell>
          <cell r="G18">
            <v>30867.431980000001</v>
          </cell>
          <cell r="H18">
            <v>31278.84607</v>
          </cell>
          <cell r="I18">
            <v>31686.532230000001</v>
          </cell>
          <cell r="J18">
            <v>32094.03543</v>
          </cell>
          <cell r="K18">
            <v>32507.84346</v>
          </cell>
          <cell r="L18">
            <v>33032.727070000001</v>
          </cell>
          <cell r="M18">
            <v>33470.511050000001</v>
          </cell>
          <cell r="N18">
            <v>33935.553999999996</v>
          </cell>
          <cell r="O18">
            <v>34426.357040000003</v>
          </cell>
          <cell r="P18">
            <v>34931.948940000002</v>
          </cell>
          <cell r="Q18">
            <v>35445.65956</v>
          </cell>
          <cell r="R18">
            <v>35965.539420000001</v>
          </cell>
          <cell r="S18">
            <v>36492.868540000003</v>
          </cell>
          <cell r="T18">
            <v>37030.273280000001</v>
          </cell>
          <cell r="U18">
            <v>37580.116150000002</v>
          </cell>
          <cell r="V18">
            <v>38073.526089999999</v>
          </cell>
          <cell r="W18">
            <v>38660.142639999998</v>
          </cell>
          <cell r="X18">
            <v>39260.539750000004</v>
          </cell>
          <cell r="Y18">
            <v>39867.154799999997</v>
          </cell>
          <cell r="Z18">
            <v>40480.758260000002</v>
          </cell>
          <cell r="AA18">
            <v>40892.205249999999</v>
          </cell>
          <cell r="AB18">
            <v>41466.11838</v>
          </cell>
          <cell r="AC18">
            <v>42059.436009999998</v>
          </cell>
          <cell r="AD18">
            <v>42658.206010000002</v>
          </cell>
          <cell r="AE18">
            <v>43264.960870000003</v>
          </cell>
          <cell r="AF18">
            <v>43881.291149999997</v>
          </cell>
          <cell r="AG18">
            <v>44506.746610000002</v>
          </cell>
          <cell r="AH18">
            <v>45140.155659999997</v>
          </cell>
          <cell r="AI18">
            <v>45780.759039999997</v>
          </cell>
          <cell r="AJ18">
            <v>46428.665289999997</v>
          </cell>
          <cell r="AK18">
            <v>47084.683219999999</v>
          </cell>
        </row>
        <row r="19">
          <cell r="B19">
            <v>29155.777910000001</v>
          </cell>
          <cell r="C19">
            <v>29318.68678</v>
          </cell>
          <cell r="D19">
            <v>29646.491249999999</v>
          </cell>
          <cell r="E19">
            <v>30030.016220000001</v>
          </cell>
          <cell r="F19">
            <v>30437.823960000002</v>
          </cell>
          <cell r="G19">
            <v>30867.431980000001</v>
          </cell>
          <cell r="H19">
            <v>31256.010549999999</v>
          </cell>
          <cell r="I19">
            <v>31680.16819</v>
          </cell>
          <cell r="J19">
            <v>32132.91172</v>
          </cell>
          <cell r="K19">
            <v>32606.435799999999</v>
          </cell>
          <cell r="L19">
            <v>33189.961869999999</v>
          </cell>
          <cell r="M19">
            <v>33674.33165</v>
          </cell>
          <cell r="N19">
            <v>34168.371500000001</v>
          </cell>
          <cell r="O19">
            <v>34670.899890000001</v>
          </cell>
          <cell r="P19">
            <v>35175.242259999999</v>
          </cell>
          <cell r="Q19">
            <v>35680.217859999997</v>
          </cell>
          <cell r="R19">
            <v>36188.250540000001</v>
          </cell>
          <cell r="S19">
            <v>36702.84981</v>
          </cell>
          <cell r="T19">
            <v>37226.991779999997</v>
          </cell>
          <cell r="U19">
            <v>37762.476799999997</v>
          </cell>
          <cell r="V19">
            <v>38239.610189999999</v>
          </cell>
          <cell r="W19">
            <v>38808.996149999999</v>
          </cell>
          <cell r="X19">
            <v>39391.904770000001</v>
          </cell>
          <cell r="Y19">
            <v>39982.173179999998</v>
          </cell>
          <cell r="Z19">
            <v>40581.996099999997</v>
          </cell>
          <cell r="AA19">
            <v>40982.866119999999</v>
          </cell>
          <cell r="AB19">
            <v>41550.402909999997</v>
          </cell>
          <cell r="AC19">
            <v>42140.866549999999</v>
          </cell>
          <cell r="AD19">
            <v>42739.39516</v>
          </cell>
          <cell r="AE19">
            <v>43347.51758</v>
          </cell>
          <cell r="AF19">
            <v>43965.953860000001</v>
          </cell>
          <cell r="AG19">
            <v>44593.617109999999</v>
          </cell>
          <cell r="AH19">
            <v>45228.917560000002</v>
          </cell>
          <cell r="AI19">
            <v>45870.83152</v>
          </cell>
          <cell r="AJ19">
            <v>46519.277979999999</v>
          </cell>
          <cell r="AK19">
            <v>47174.893859999996</v>
          </cell>
        </row>
        <row r="20">
          <cell r="B20">
            <v>30404.78685</v>
          </cell>
          <cell r="C20">
            <v>30899.657620000002</v>
          </cell>
          <cell r="D20">
            <v>31503.24134</v>
          </cell>
          <cell r="E20">
            <v>32120.56882</v>
          </cell>
          <cell r="F20">
            <v>32739.079890000001</v>
          </cell>
          <cell r="G20">
            <v>33361.852590000002</v>
          </cell>
          <cell r="H20">
            <v>33927.444600000003</v>
          </cell>
          <cell r="I20">
            <v>34477.139690000004</v>
          </cell>
          <cell r="J20">
            <v>34996.118179999998</v>
          </cell>
          <cell r="K20">
            <v>35486.402040000001</v>
          </cell>
          <cell r="L20">
            <v>36069.328549999998</v>
          </cell>
          <cell r="M20">
            <v>36523.050739999999</v>
          </cell>
          <cell r="N20">
            <v>36992.221129999998</v>
          </cell>
          <cell r="O20">
            <v>37483.447350000002</v>
          </cell>
          <cell r="P20">
            <v>37992.572529999998</v>
          </cell>
          <cell r="Q20">
            <v>38517.102400000003</v>
          </cell>
          <cell r="R20">
            <v>39057.142540000001</v>
          </cell>
          <cell r="S20">
            <v>39614.573839999997</v>
          </cell>
          <cell r="T20">
            <v>40191.754990000001</v>
          </cell>
          <cell r="U20">
            <v>40790.286209999998</v>
          </cell>
          <cell r="V20">
            <v>41332.234729999996</v>
          </cell>
          <cell r="W20">
            <v>41985.362849999998</v>
          </cell>
          <cell r="X20">
            <v>42654.460359999997</v>
          </cell>
          <cell r="Y20">
            <v>43332.033990000004</v>
          </cell>
          <cell r="Z20">
            <v>44017.527499999997</v>
          </cell>
          <cell r="AA20">
            <v>44481.020750000003</v>
          </cell>
          <cell r="AB20">
            <v>45120.405149999999</v>
          </cell>
          <cell r="AC20">
            <v>45775.038460000003</v>
          </cell>
          <cell r="AD20">
            <v>46432.238319999997</v>
          </cell>
          <cell r="AE20">
            <v>47094.771110000001</v>
          </cell>
          <cell r="AF20">
            <v>47765.08294</v>
          </cell>
          <cell r="AG20">
            <v>48443.729460000002</v>
          </cell>
          <cell r="AH20">
            <v>49130.331440000002</v>
          </cell>
          <cell r="AI20">
            <v>49824.625220000002</v>
          </cell>
          <cell r="AJ20">
            <v>50527.019410000001</v>
          </cell>
          <cell r="AK20">
            <v>51238.579389999999</v>
          </cell>
        </row>
        <row r="21">
          <cell r="B21">
            <v>30404.78685</v>
          </cell>
          <cell r="C21">
            <v>30899.657620000002</v>
          </cell>
          <cell r="D21">
            <v>31503.24134</v>
          </cell>
          <cell r="E21">
            <v>32120.56882</v>
          </cell>
          <cell r="F21">
            <v>32739.079890000001</v>
          </cell>
          <cell r="G21">
            <v>33361.852590000002</v>
          </cell>
          <cell r="H21">
            <v>33921.462449999999</v>
          </cell>
          <cell r="I21">
            <v>34500.873899999999</v>
          </cell>
          <cell r="J21">
            <v>35091.948700000001</v>
          </cell>
          <cell r="K21">
            <v>35686.555999999997</v>
          </cell>
          <cell r="L21">
            <v>36388.451330000004</v>
          </cell>
          <cell r="M21">
            <v>36956.936329999997</v>
          </cell>
          <cell r="N21">
            <v>37523.435510000003</v>
          </cell>
          <cell r="O21">
            <v>38087.050450000002</v>
          </cell>
          <cell r="P21">
            <v>38641.915200000003</v>
          </cell>
          <cell r="Q21">
            <v>39187.755839999998</v>
          </cell>
          <cell r="R21">
            <v>39728.52564</v>
          </cell>
          <cell r="S21">
            <v>40269.95753</v>
          </cell>
          <cell r="T21">
            <v>40817.685319999997</v>
          </cell>
          <cell r="U21">
            <v>41376.202870000001</v>
          </cell>
          <cell r="V21">
            <v>41869.626539999997</v>
          </cell>
          <cell r="W21">
            <v>42471.123319999999</v>
          </cell>
          <cell r="X21">
            <v>43088.262479999998</v>
          </cell>
          <cell r="Y21">
            <v>43717.310839999998</v>
          </cell>
          <cell r="Z21">
            <v>44361.076540000002</v>
          </cell>
          <cell r="AA21">
            <v>44790.729420000003</v>
          </cell>
          <cell r="AB21">
            <v>45407.721799999999</v>
          </cell>
          <cell r="AC21">
            <v>46050.236680000002</v>
          </cell>
          <cell r="AD21">
            <v>46704.231570000004</v>
          </cell>
          <cell r="AE21">
            <v>47370.540730000001</v>
          </cell>
          <cell r="AF21">
            <v>48049.427669999997</v>
          </cell>
          <cell r="AG21">
            <v>48739.297209999997</v>
          </cell>
          <cell r="AH21">
            <v>49437.82301</v>
          </cell>
          <cell r="AI21">
            <v>50143.090219999998</v>
          </cell>
          <cell r="AJ21">
            <v>50854.180990000001</v>
          </cell>
          <cell r="AK21">
            <v>51571.157749999998</v>
          </cell>
        </row>
        <row r="22">
          <cell r="B22">
            <v>210733.0802</v>
          </cell>
          <cell r="C22">
            <v>211528.4705</v>
          </cell>
          <cell r="D22">
            <v>213481.59760000001</v>
          </cell>
          <cell r="E22">
            <v>215991.21890000001</v>
          </cell>
          <cell r="F22">
            <v>218800.4094</v>
          </cell>
          <cell r="G22">
            <v>221825.8009</v>
          </cell>
          <cell r="H22">
            <v>224849.37390000001</v>
          </cell>
          <cell r="I22">
            <v>227785.04519999999</v>
          </cell>
          <cell r="J22">
            <v>230654.30910000001</v>
          </cell>
          <cell r="K22">
            <v>233522.38260000001</v>
          </cell>
          <cell r="L22">
            <v>236969.9909</v>
          </cell>
          <cell r="M22">
            <v>240055.10829999999</v>
          </cell>
          <cell r="N22">
            <v>243286.98809999999</v>
          </cell>
          <cell r="O22">
            <v>246669.03159999999</v>
          </cell>
          <cell r="P22">
            <v>250145.9774</v>
          </cell>
          <cell r="Q22">
            <v>253682.45800000001</v>
          </cell>
          <cell r="R22">
            <v>257270.5091</v>
          </cell>
          <cell r="S22">
            <v>260922.23670000001</v>
          </cell>
          <cell r="T22">
            <v>264657.88099999999</v>
          </cell>
          <cell r="U22">
            <v>268494.86200000002</v>
          </cell>
          <cell r="V22">
            <v>272071.69819999998</v>
          </cell>
          <cell r="W22">
            <v>276132.53749999998</v>
          </cell>
          <cell r="X22">
            <v>280320.68540000002</v>
          </cell>
          <cell r="Y22">
            <v>284583.76360000001</v>
          </cell>
          <cell r="Z22">
            <v>288914.10710000002</v>
          </cell>
          <cell r="AA22">
            <v>292192.94040000002</v>
          </cell>
          <cell r="AB22">
            <v>296223.02519999997</v>
          </cell>
          <cell r="AC22">
            <v>300377.60119999998</v>
          </cell>
          <cell r="AD22">
            <v>304588.14490000001</v>
          </cell>
          <cell r="AE22">
            <v>308867.2156</v>
          </cell>
          <cell r="AF22">
            <v>313220.41800000001</v>
          </cell>
          <cell r="AG22">
            <v>317641.45899999997</v>
          </cell>
          <cell r="AH22">
            <v>322120.6667</v>
          </cell>
          <cell r="AI22">
            <v>326652.25429999997</v>
          </cell>
          <cell r="AJ22">
            <v>331237.20039999997</v>
          </cell>
          <cell r="AK22">
            <v>335881.83110000001</v>
          </cell>
        </row>
        <row r="23">
          <cell r="B23">
            <v>210733.0802</v>
          </cell>
          <cell r="C23">
            <v>211528.4705</v>
          </cell>
          <cell r="D23">
            <v>213481.59760000001</v>
          </cell>
          <cell r="E23">
            <v>215991.21890000001</v>
          </cell>
          <cell r="F23">
            <v>218800.4094</v>
          </cell>
          <cell r="G23">
            <v>221825.8009</v>
          </cell>
          <cell r="H23">
            <v>224703.5582</v>
          </cell>
          <cell r="I23">
            <v>227763.21590000001</v>
          </cell>
          <cell r="J23">
            <v>230978.34280000001</v>
          </cell>
          <cell r="K23">
            <v>234314.8266</v>
          </cell>
          <cell r="L23">
            <v>238238.07699999999</v>
          </cell>
          <cell r="M23">
            <v>241720.05410000001</v>
          </cell>
          <cell r="N23">
            <v>245221.99410000001</v>
          </cell>
          <cell r="O23">
            <v>248742.49559999999</v>
          </cell>
          <cell r="P23">
            <v>252252.23259999999</v>
          </cell>
          <cell r="Q23">
            <v>255753.20540000001</v>
          </cell>
          <cell r="R23">
            <v>259268.88089999999</v>
          </cell>
          <cell r="S23">
            <v>262828.83399999997</v>
          </cell>
          <cell r="T23">
            <v>266458.08860000002</v>
          </cell>
          <cell r="U23">
            <v>270172.62900000002</v>
          </cell>
          <cell r="V23">
            <v>273607.62530000001</v>
          </cell>
          <cell r="W23">
            <v>277516.56530000002</v>
          </cell>
          <cell r="X23">
            <v>281550.10359999997</v>
          </cell>
          <cell r="Y23">
            <v>285668.19199999998</v>
          </cell>
          <cell r="Z23">
            <v>289875.38040000002</v>
          </cell>
          <cell r="AA23">
            <v>293059.02510000003</v>
          </cell>
          <cell r="AB23">
            <v>297030.01500000001</v>
          </cell>
          <cell r="AC23">
            <v>301157.1042</v>
          </cell>
          <cell r="AD23">
            <v>305365.0675</v>
          </cell>
          <cell r="AE23">
            <v>309658.56180000002</v>
          </cell>
          <cell r="AF23">
            <v>314035.87229999999</v>
          </cell>
          <cell r="AG23">
            <v>318484.83659999998</v>
          </cell>
          <cell r="AH23">
            <v>322991.3884</v>
          </cell>
          <cell r="AI23">
            <v>327546.5588</v>
          </cell>
          <cell r="AJ23">
            <v>332148.86290000001</v>
          </cell>
          <cell r="AK23">
            <v>336802.46879999997</v>
          </cell>
        </row>
        <row r="24">
          <cell r="B24">
            <v>16360.03955</v>
          </cell>
          <cell r="C24">
            <v>16011.56213</v>
          </cell>
          <cell r="D24">
            <v>15820.832340000001</v>
          </cell>
          <cell r="E24">
            <v>15780.995559999999</v>
          </cell>
          <cell r="F24">
            <v>15831.122890000001</v>
          </cell>
          <cell r="G24">
            <v>15938.199269999999</v>
          </cell>
          <cell r="H24">
            <v>16117.979359999999</v>
          </cell>
          <cell r="I24">
            <v>16288.820400000001</v>
          </cell>
          <cell r="J24">
            <v>16463.597829999999</v>
          </cell>
          <cell r="K24">
            <v>16653.716980000001</v>
          </cell>
          <cell r="L24">
            <v>16817.793259999999</v>
          </cell>
          <cell r="M24">
            <v>17100.30255</v>
          </cell>
          <cell r="N24">
            <v>17381.571830000001</v>
          </cell>
          <cell r="O24">
            <v>17667.09203</v>
          </cell>
          <cell r="P24">
            <v>17957.53919</v>
          </cell>
          <cell r="Q24">
            <v>18252.688300000002</v>
          </cell>
          <cell r="R24">
            <v>18552.704809999999</v>
          </cell>
          <cell r="S24">
            <v>18858.312620000001</v>
          </cell>
          <cell r="T24">
            <v>19170.347099999999</v>
          </cell>
          <cell r="U24">
            <v>19489.27234</v>
          </cell>
          <cell r="V24">
            <v>19845.047549999999</v>
          </cell>
          <cell r="W24">
            <v>20146.47868</v>
          </cell>
          <cell r="X24">
            <v>20469.741429999998</v>
          </cell>
          <cell r="Y24">
            <v>20806.27763</v>
          </cell>
          <cell r="Z24">
            <v>21151.276430000002</v>
          </cell>
          <cell r="AA24">
            <v>21579.458839999999</v>
          </cell>
          <cell r="AB24">
            <v>21890.200570000001</v>
          </cell>
          <cell r="AC24">
            <v>22211.957780000001</v>
          </cell>
          <cell r="AD24">
            <v>22544.088629999998</v>
          </cell>
          <cell r="AE24">
            <v>22885.554510000002</v>
          </cell>
          <cell r="AF24">
            <v>23234.798490000001</v>
          </cell>
          <cell r="AG24">
            <v>23590.23258</v>
          </cell>
          <cell r="AH24">
            <v>23950.75675</v>
          </cell>
          <cell r="AI24">
            <v>24316.018919999999</v>
          </cell>
          <cell r="AJ24">
            <v>24686.317060000001</v>
          </cell>
          <cell r="AK24">
            <v>25062.283240000001</v>
          </cell>
        </row>
        <row r="25">
          <cell r="B25">
            <v>16360.03955</v>
          </cell>
          <cell r="C25">
            <v>16011.56213</v>
          </cell>
          <cell r="D25">
            <v>15820.832340000001</v>
          </cell>
          <cell r="E25">
            <v>15780.995559999999</v>
          </cell>
          <cell r="F25">
            <v>15831.122890000001</v>
          </cell>
          <cell r="G25">
            <v>15938.199269999999</v>
          </cell>
          <cell r="H25">
            <v>16114.71458</v>
          </cell>
          <cell r="I25">
            <v>16296.56148</v>
          </cell>
          <cell r="J25">
            <v>16493.435969999999</v>
          </cell>
          <cell r="K25">
            <v>16709.520130000001</v>
          </cell>
          <cell r="L25">
            <v>16895.895280000001</v>
          </cell>
          <cell r="M25">
            <v>17193.0216</v>
          </cell>
          <cell r="N25">
            <v>17479.835770000002</v>
          </cell>
          <cell r="O25">
            <v>17763.761289999999</v>
          </cell>
          <cell r="P25">
            <v>18048.76599</v>
          </cell>
          <cell r="Q25">
            <v>18337.61521</v>
          </cell>
          <cell r="R25">
            <v>18632.358209999999</v>
          </cell>
          <cell r="S25">
            <v>18934.251459999999</v>
          </cell>
          <cell r="T25">
            <v>19243.699850000001</v>
          </cell>
          <cell r="U25">
            <v>19560.42023</v>
          </cell>
          <cell r="V25">
            <v>19913.750919999999</v>
          </cell>
          <cell r="W25">
            <v>20212.718929999999</v>
          </cell>
          <cell r="X25">
            <v>20533.767489999998</v>
          </cell>
          <cell r="Y25">
            <v>20868.872960000001</v>
          </cell>
          <cell r="Z25">
            <v>21213.675650000001</v>
          </cell>
          <cell r="AA25">
            <v>21643.032459999999</v>
          </cell>
          <cell r="AB25">
            <v>21956.275699999998</v>
          </cell>
          <cell r="AC25">
            <v>22281.448049999999</v>
          </cell>
          <cell r="AD25">
            <v>22617.4244</v>
          </cell>
          <cell r="AE25">
            <v>22962.759689999999</v>
          </cell>
          <cell r="AF25">
            <v>23315.648850000001</v>
          </cell>
          <cell r="AG25">
            <v>23674.418849999998</v>
          </cell>
          <cell r="AH25">
            <v>24037.996599999999</v>
          </cell>
          <cell r="AI25">
            <v>24406.088540000001</v>
          </cell>
          <cell r="AJ25">
            <v>24779.04221</v>
          </cell>
          <cell r="AK25">
            <v>25157.51728</v>
          </cell>
        </row>
        <row r="26">
          <cell r="B26">
            <v>271995.40830000001</v>
          </cell>
          <cell r="C26">
            <v>290680.13809999998</v>
          </cell>
          <cell r="D26">
            <v>309340.4276</v>
          </cell>
          <cell r="E26">
            <v>320823.81069999997</v>
          </cell>
          <cell r="F26">
            <v>327616.47659999999</v>
          </cell>
          <cell r="G26">
            <v>332280.9901</v>
          </cell>
          <cell r="H26">
            <v>330873.2329</v>
          </cell>
          <cell r="I26">
            <v>332279.0687</v>
          </cell>
          <cell r="J26">
            <v>334813.09730000002</v>
          </cell>
          <cell r="K26">
            <v>338035.3236</v>
          </cell>
          <cell r="L26">
            <v>350207.40169999999</v>
          </cell>
          <cell r="M26">
            <v>349947.73180000001</v>
          </cell>
          <cell r="N26">
            <v>353009.39919999999</v>
          </cell>
          <cell r="O26">
            <v>357633.0172</v>
          </cell>
          <cell r="P26">
            <v>362957.59509999998</v>
          </cell>
          <cell r="Q26">
            <v>368589.41389999999</v>
          </cell>
          <cell r="R26">
            <v>374380.58669999999</v>
          </cell>
          <cell r="S26">
            <v>380309.29470000003</v>
          </cell>
          <cell r="T26">
            <v>386402.23019999999</v>
          </cell>
          <cell r="U26">
            <v>392686.44420000003</v>
          </cell>
          <cell r="V26">
            <v>393245.57990000001</v>
          </cell>
          <cell r="W26">
            <v>403050.4706</v>
          </cell>
          <cell r="X26">
            <v>411374.0589</v>
          </cell>
          <cell r="Y26">
            <v>418949.7464</v>
          </cell>
          <cell r="Z26">
            <v>426214.6875</v>
          </cell>
          <cell r="AA26">
            <v>416017.75050000002</v>
          </cell>
          <cell r="AB26">
            <v>425314.70669999998</v>
          </cell>
          <cell r="AC26">
            <v>433558.80940000003</v>
          </cell>
          <cell r="AD26">
            <v>441178.3126</v>
          </cell>
          <cell r="AE26">
            <v>448536.40029999998</v>
          </cell>
          <cell r="AF26">
            <v>455810.74900000001</v>
          </cell>
          <cell r="AG26">
            <v>463064.81359999999</v>
          </cell>
          <cell r="AH26">
            <v>470316.0232</v>
          </cell>
          <cell r="AI26">
            <v>477576.29920000001</v>
          </cell>
          <cell r="AJ26">
            <v>484867.23710000003</v>
          </cell>
          <cell r="AK26">
            <v>492218.05940000003</v>
          </cell>
        </row>
        <row r="27">
          <cell r="B27">
            <v>271995.40830000001</v>
          </cell>
          <cell r="C27">
            <v>290680.13809999998</v>
          </cell>
          <cell r="D27">
            <v>309340.4276</v>
          </cell>
          <cell r="E27">
            <v>320823.81069999997</v>
          </cell>
          <cell r="F27">
            <v>327616.47659999999</v>
          </cell>
          <cell r="G27">
            <v>332280.9901</v>
          </cell>
          <cell r="H27">
            <v>330553.54229999997</v>
          </cell>
          <cell r="I27">
            <v>332175.92499999999</v>
          </cell>
          <cell r="J27">
            <v>335316.18670000002</v>
          </cell>
          <cell r="K27">
            <v>339245.27960000001</v>
          </cell>
          <cell r="L27">
            <v>351942.8175</v>
          </cell>
          <cell r="M27">
            <v>351899.6532</v>
          </cell>
          <cell r="N27">
            <v>354848.38040000002</v>
          </cell>
          <cell r="O27">
            <v>359102.18560000003</v>
          </cell>
          <cell r="P27">
            <v>363934.32789999997</v>
          </cell>
          <cell r="Q27">
            <v>369079.7732</v>
          </cell>
          <cell r="R27">
            <v>374471.27490000002</v>
          </cell>
          <cell r="S27">
            <v>380108.81910000002</v>
          </cell>
          <cell r="T27">
            <v>385998.7525</v>
          </cell>
          <cell r="U27">
            <v>392132.29440000001</v>
          </cell>
          <cell r="V27">
            <v>392562.03710000002</v>
          </cell>
          <cell r="W27">
            <v>402251.0123</v>
          </cell>
          <cell r="X27">
            <v>410480.8553</v>
          </cell>
          <cell r="Y27">
            <v>417996.77340000001</v>
          </cell>
          <cell r="Z27">
            <v>425249.6188</v>
          </cell>
          <cell r="AA27">
            <v>415095.79810000001</v>
          </cell>
          <cell r="AB27">
            <v>424481.37589999998</v>
          </cell>
          <cell r="AC27">
            <v>432847.15289999999</v>
          </cell>
          <cell r="AD27">
            <v>440598.6654</v>
          </cell>
          <cell r="AE27">
            <v>448079.82189999998</v>
          </cell>
          <cell r="AF27">
            <v>455456.1654</v>
          </cell>
          <cell r="AG27">
            <v>462786.65059999999</v>
          </cell>
          <cell r="AH27">
            <v>470089.95850000001</v>
          </cell>
          <cell r="AI27">
            <v>477382.3749</v>
          </cell>
          <cell r="AJ27">
            <v>484690.4987</v>
          </cell>
          <cell r="AK27">
            <v>492047.56040000002</v>
          </cell>
        </row>
        <row r="28">
          <cell r="B28">
            <v>25055.390879999999</v>
          </cell>
          <cell r="C28">
            <v>25020.841390000001</v>
          </cell>
          <cell r="D28">
            <v>25089.688740000001</v>
          </cell>
          <cell r="E28">
            <v>25249.04752</v>
          </cell>
          <cell r="F28">
            <v>25465.966090000002</v>
          </cell>
          <cell r="G28">
            <v>25721.703140000001</v>
          </cell>
          <cell r="H28">
            <v>26019.93909</v>
          </cell>
          <cell r="I28">
            <v>26307.360690000001</v>
          </cell>
          <cell r="J28">
            <v>26591.445820000001</v>
          </cell>
          <cell r="K28">
            <v>26882.715049999999</v>
          </cell>
          <cell r="L28">
            <v>27195.602419999999</v>
          </cell>
          <cell r="M28">
            <v>27540.810290000001</v>
          </cell>
          <cell r="N28">
            <v>27896.708630000001</v>
          </cell>
          <cell r="O28">
            <v>28260.291260000002</v>
          </cell>
          <cell r="P28">
            <v>28628.992030000001</v>
          </cell>
          <cell r="Q28">
            <v>29001.314829999999</v>
          </cell>
          <cell r="R28">
            <v>29377.294160000001</v>
          </cell>
          <cell r="S28">
            <v>29758.144489999999</v>
          </cell>
          <cell r="T28">
            <v>30145.4702</v>
          </cell>
          <cell r="U28">
            <v>30540.525529999999</v>
          </cell>
          <cell r="V28">
            <v>30936.52403</v>
          </cell>
          <cell r="W28">
            <v>31334.21458</v>
          </cell>
          <cell r="X28">
            <v>31745.656910000002</v>
          </cell>
          <cell r="Y28">
            <v>32168.182820000002</v>
          </cell>
          <cell r="Z28">
            <v>32599.201089999999</v>
          </cell>
          <cell r="AA28">
            <v>33010.000050000002</v>
          </cell>
          <cell r="AB28">
            <v>33407.473760000001</v>
          </cell>
          <cell r="AC28">
            <v>33810.653689999999</v>
          </cell>
          <cell r="AD28">
            <v>34221.776610000001</v>
          </cell>
          <cell r="AE28">
            <v>34641.45577</v>
          </cell>
          <cell r="AF28">
            <v>35069.14791</v>
          </cell>
          <cell r="AG28">
            <v>35503.724849999999</v>
          </cell>
          <cell r="AH28">
            <v>35944.167410000002</v>
          </cell>
          <cell r="AI28">
            <v>36390.007510000003</v>
          </cell>
          <cell r="AJ28">
            <v>36841.39948</v>
          </cell>
          <cell r="AK28">
            <v>37298.892919999998</v>
          </cell>
        </row>
        <row r="29">
          <cell r="B29">
            <v>25055.390879999999</v>
          </cell>
          <cell r="C29">
            <v>25020.841390000001</v>
          </cell>
          <cell r="D29">
            <v>25089.688740000001</v>
          </cell>
          <cell r="E29">
            <v>25249.04752</v>
          </cell>
          <cell r="F29">
            <v>25465.966090000002</v>
          </cell>
          <cell r="G29">
            <v>25721.703140000001</v>
          </cell>
          <cell r="H29">
            <v>26002.109919999999</v>
          </cell>
          <cell r="I29">
            <v>26296.675650000001</v>
          </cell>
          <cell r="J29">
            <v>26606.570019999999</v>
          </cell>
          <cell r="K29">
            <v>26932.46588</v>
          </cell>
          <cell r="L29">
            <v>27279.003580000001</v>
          </cell>
          <cell r="M29">
            <v>27650.68822</v>
          </cell>
          <cell r="N29">
            <v>28022.881819999999</v>
          </cell>
          <cell r="O29">
            <v>28393.179700000001</v>
          </cell>
          <cell r="P29">
            <v>28761.75243</v>
          </cell>
          <cell r="Q29">
            <v>29130.244050000001</v>
          </cell>
          <cell r="R29">
            <v>29500.984789999999</v>
          </cell>
          <cell r="S29">
            <v>29876.185860000001</v>
          </cell>
          <cell r="T29">
            <v>30257.424609999998</v>
          </cell>
          <cell r="U29">
            <v>30645.528450000002</v>
          </cell>
          <cell r="V29">
            <v>31033.315920000001</v>
          </cell>
          <cell r="W29">
            <v>31422.051380000001</v>
          </cell>
          <cell r="X29">
            <v>31824.36491</v>
          </cell>
          <cell r="Y29">
            <v>32238.456289999998</v>
          </cell>
          <cell r="Z29">
            <v>32662.545050000001</v>
          </cell>
          <cell r="AA29">
            <v>33068.32677</v>
          </cell>
          <cell r="AB29">
            <v>33462.997889999999</v>
          </cell>
          <cell r="AC29">
            <v>33865.22883</v>
          </cell>
          <cell r="AD29">
            <v>34276.734850000001</v>
          </cell>
          <cell r="AE29">
            <v>34697.582049999997</v>
          </cell>
          <cell r="AF29">
            <v>35126.77852</v>
          </cell>
          <cell r="AG29">
            <v>35562.886229999996</v>
          </cell>
          <cell r="AH29">
            <v>36004.691140000003</v>
          </cell>
          <cell r="AI29">
            <v>36451.600359999997</v>
          </cell>
          <cell r="AJ29">
            <v>36903.670579999998</v>
          </cell>
          <cell r="AK29">
            <v>37361.355629999998</v>
          </cell>
        </row>
        <row r="30">
          <cell r="B30">
            <v>59968.986040000003</v>
          </cell>
          <cell r="C30">
            <v>59841.542780000003</v>
          </cell>
          <cell r="D30">
            <v>59956.305189999999</v>
          </cell>
          <cell r="E30">
            <v>60293.11436</v>
          </cell>
          <cell r="F30">
            <v>60770.586770000002</v>
          </cell>
          <cell r="G30">
            <v>61338.911330000003</v>
          </cell>
          <cell r="H30">
            <v>62004.416160000001</v>
          </cell>
          <cell r="I30">
            <v>62634.531560000003</v>
          </cell>
          <cell r="J30">
            <v>63249.536849999997</v>
          </cell>
          <cell r="K30">
            <v>63880.947500000002</v>
          </cell>
          <cell r="L30">
            <v>64567.457589999998</v>
          </cell>
          <cell r="M30">
            <v>65340.867160000002</v>
          </cell>
          <cell r="N30">
            <v>66147.945630000002</v>
          </cell>
          <cell r="O30">
            <v>66978.667400000006</v>
          </cell>
          <cell r="P30">
            <v>67824.094159999993</v>
          </cell>
          <cell r="Q30">
            <v>68678.8318</v>
          </cell>
          <cell r="R30">
            <v>69542.36434</v>
          </cell>
          <cell r="S30">
            <v>70417.860920000006</v>
          </cell>
          <cell r="T30">
            <v>71309.685010000001</v>
          </cell>
          <cell r="U30">
            <v>72221.107409999997</v>
          </cell>
          <cell r="V30">
            <v>73137.35441</v>
          </cell>
          <cell r="W30">
            <v>74057.197480000003</v>
          </cell>
          <cell r="X30">
            <v>75009.279219999997</v>
          </cell>
          <cell r="Y30">
            <v>75986.621780000001</v>
          </cell>
          <cell r="Z30">
            <v>76982.329450000005</v>
          </cell>
          <cell r="AA30">
            <v>77932.553369999994</v>
          </cell>
          <cell r="AB30">
            <v>78848.405769999998</v>
          </cell>
          <cell r="AC30">
            <v>79776.888279999999</v>
          </cell>
          <cell r="AD30">
            <v>80724.664369999999</v>
          </cell>
          <cell r="AE30">
            <v>81693.597160000005</v>
          </cell>
          <cell r="AF30">
            <v>82681.911720000004</v>
          </cell>
          <cell r="AG30">
            <v>83686.031189999994</v>
          </cell>
          <cell r="AH30">
            <v>84702.753159999993</v>
          </cell>
          <cell r="AI30">
            <v>85730.625799999994</v>
          </cell>
          <cell r="AJ30">
            <v>86770.163910000003</v>
          </cell>
          <cell r="AK30">
            <v>87823.136979999996</v>
          </cell>
        </row>
        <row r="31">
          <cell r="B31">
            <v>59968.986040000003</v>
          </cell>
          <cell r="C31">
            <v>59841.542780000003</v>
          </cell>
          <cell r="D31">
            <v>59956.305189999999</v>
          </cell>
          <cell r="E31">
            <v>60293.11436</v>
          </cell>
          <cell r="F31">
            <v>60770.586770000002</v>
          </cell>
          <cell r="G31">
            <v>61338.911330000003</v>
          </cell>
          <cell r="H31">
            <v>61962.961170000002</v>
          </cell>
          <cell r="I31">
            <v>62615.956290000002</v>
          </cell>
          <cell r="J31">
            <v>63301.915500000003</v>
          </cell>
          <cell r="K31">
            <v>64024.790820000002</v>
          </cell>
          <cell r="L31">
            <v>64795.573689999997</v>
          </cell>
          <cell r="M31">
            <v>65629.176879999999</v>
          </cell>
          <cell r="N31">
            <v>66465.424450000006</v>
          </cell>
          <cell r="O31">
            <v>67298.033599999995</v>
          </cell>
          <cell r="P31">
            <v>68127.856140000004</v>
          </cell>
          <cell r="Q31">
            <v>68959.956109999999</v>
          </cell>
          <cell r="R31">
            <v>69801.126319999996</v>
          </cell>
          <cell r="S31">
            <v>70657.404689999996</v>
          </cell>
          <cell r="T31">
            <v>71532.560989999998</v>
          </cell>
          <cell r="U31">
            <v>72427.856539999993</v>
          </cell>
          <cell r="V31">
            <v>73326.620370000004</v>
          </cell>
          <cell r="W31">
            <v>74228.265339999998</v>
          </cell>
          <cell r="X31">
            <v>75162.51225</v>
          </cell>
          <cell r="Y31">
            <v>76124.395310000007</v>
          </cell>
          <cell r="Z31">
            <v>77108.934160000004</v>
          </cell>
          <cell r="AA31">
            <v>78053.186520000003</v>
          </cell>
          <cell r="AB31">
            <v>78968.669869999998</v>
          </cell>
          <cell r="AC31">
            <v>79901.082399999999</v>
          </cell>
          <cell r="AD31">
            <v>80855.41661</v>
          </cell>
          <cell r="AE31">
            <v>81831.9283</v>
          </cell>
          <cell r="AF31">
            <v>82827.652969999996</v>
          </cell>
          <cell r="AG31">
            <v>83838.330879999994</v>
          </cell>
          <cell r="AH31">
            <v>84860.473960000003</v>
          </cell>
          <cell r="AI31">
            <v>85892.568079999997</v>
          </cell>
          <cell r="AJ31">
            <v>86935.129100000006</v>
          </cell>
          <cell r="AK31">
            <v>87989.894899999999</v>
          </cell>
        </row>
        <row r="32">
          <cell r="B32">
            <v>15492.342360000001</v>
          </cell>
          <cell r="C32">
            <v>15770.149719999999</v>
          </cell>
          <cell r="D32">
            <v>16090.77677</v>
          </cell>
          <cell r="E32">
            <v>16431.725930000001</v>
          </cell>
          <cell r="F32">
            <v>16781.54436</v>
          </cell>
          <cell r="G32">
            <v>17129.951639999999</v>
          </cell>
          <cell r="H32">
            <v>17453.362990000001</v>
          </cell>
          <cell r="I32">
            <v>17755.329160000001</v>
          </cell>
          <cell r="J32">
            <v>18034.037629999999</v>
          </cell>
          <cell r="K32">
            <v>18295.71989</v>
          </cell>
          <cell r="L32">
            <v>18578.831340000001</v>
          </cell>
          <cell r="M32">
            <v>18838.365890000001</v>
          </cell>
          <cell r="N32">
            <v>19104.112580000001</v>
          </cell>
          <cell r="O32">
            <v>19376.65855</v>
          </cell>
          <cell r="P32">
            <v>19654.49698</v>
          </cell>
          <cell r="Q32">
            <v>19935.905569999999</v>
          </cell>
          <cell r="R32">
            <v>20220.141469999999</v>
          </cell>
          <cell r="S32">
            <v>20507.748589999999</v>
          </cell>
          <cell r="T32">
            <v>20800.153539999999</v>
          </cell>
          <cell r="U32">
            <v>21098.949110000001</v>
          </cell>
          <cell r="V32">
            <v>21384.504379999998</v>
          </cell>
          <cell r="W32">
            <v>21697.273300000001</v>
          </cell>
          <cell r="X32">
            <v>22018.516599999999</v>
          </cell>
          <cell r="Y32">
            <v>22347.61578</v>
          </cell>
          <cell r="Z32">
            <v>22683.38236</v>
          </cell>
          <cell r="AA32">
            <v>22964.682110000002</v>
          </cell>
          <cell r="AB32">
            <v>23278.20651</v>
          </cell>
          <cell r="AC32">
            <v>23596.278310000002</v>
          </cell>
          <cell r="AD32">
            <v>23920.79105</v>
          </cell>
          <cell r="AE32">
            <v>24252.993579999998</v>
          </cell>
          <cell r="AF32">
            <v>24592.98546</v>
          </cell>
          <cell r="AG32">
            <v>24939.90855</v>
          </cell>
          <cell r="AH32">
            <v>25292.52003</v>
          </cell>
          <cell r="AI32">
            <v>25649.786209999998</v>
          </cell>
          <cell r="AJ32">
            <v>26011.240330000001</v>
          </cell>
          <cell r="AK32">
            <v>26377.015439999999</v>
          </cell>
        </row>
        <row r="33">
          <cell r="B33">
            <v>15492.342360000001</v>
          </cell>
          <cell r="C33">
            <v>15770.149719999999</v>
          </cell>
          <cell r="D33">
            <v>16090.77677</v>
          </cell>
          <cell r="E33">
            <v>16431.725930000001</v>
          </cell>
          <cell r="F33">
            <v>16781.54436</v>
          </cell>
          <cell r="G33">
            <v>17129.951639999999</v>
          </cell>
          <cell r="H33">
            <v>17454.539919999999</v>
          </cell>
          <cell r="I33">
            <v>17766.740180000001</v>
          </cell>
          <cell r="J33">
            <v>18067.500329999999</v>
          </cell>
          <cell r="K33">
            <v>18359.8691</v>
          </cell>
          <cell r="L33">
            <v>18675.485410000001</v>
          </cell>
          <cell r="M33">
            <v>18962.336640000001</v>
          </cell>
          <cell r="N33">
            <v>19245.72135</v>
          </cell>
          <cell r="O33">
            <v>19524.976750000002</v>
          </cell>
          <cell r="P33">
            <v>19800.304639999998</v>
          </cell>
          <cell r="Q33">
            <v>20073.30344</v>
          </cell>
          <cell r="R33">
            <v>20346.630860000001</v>
          </cell>
          <cell r="S33">
            <v>20623.240689999999</v>
          </cell>
          <cell r="T33">
            <v>20905.645260000001</v>
          </cell>
          <cell r="U33">
            <v>21195.485960000002</v>
          </cell>
          <cell r="V33">
            <v>21472.590619999999</v>
          </cell>
          <cell r="W33">
            <v>21777.32789</v>
          </cell>
          <cell r="X33">
            <v>22090.89618</v>
          </cell>
          <cell r="Y33">
            <v>22413.05917</v>
          </cell>
          <cell r="Z33">
            <v>22743.187140000002</v>
          </cell>
          <cell r="AA33">
            <v>23020.495269999999</v>
          </cell>
          <cell r="AB33">
            <v>23332.151669999999</v>
          </cell>
          <cell r="AC33">
            <v>23650.22997</v>
          </cell>
          <cell r="AD33">
            <v>23976.15107</v>
          </cell>
          <cell r="AE33">
            <v>24310.55344</v>
          </cell>
          <cell r="AF33">
            <v>24652.955559999999</v>
          </cell>
          <cell r="AG33">
            <v>25002.053080000002</v>
          </cell>
          <cell r="AH33">
            <v>25356.322169999999</v>
          </cell>
          <cell r="AI33">
            <v>25714.588779999998</v>
          </cell>
          <cell r="AJ33">
            <v>26076.335370000001</v>
          </cell>
          <cell r="AK33">
            <v>26441.682680000002</v>
          </cell>
        </row>
        <row r="34">
          <cell r="B34">
            <v>20701.528730000002</v>
          </cell>
          <cell r="C34">
            <v>21010.650600000001</v>
          </cell>
          <cell r="D34">
            <v>21379.227470000002</v>
          </cell>
          <cell r="E34">
            <v>21780.83642</v>
          </cell>
          <cell r="F34">
            <v>22196.58178</v>
          </cell>
          <cell r="G34">
            <v>22616.790590000001</v>
          </cell>
          <cell r="H34">
            <v>23031.583750000002</v>
          </cell>
          <cell r="I34">
            <v>23423.424289999999</v>
          </cell>
          <cell r="J34">
            <v>23802.581429999998</v>
          </cell>
          <cell r="K34">
            <v>24184.86766</v>
          </cell>
          <cell r="L34">
            <v>24609.53226</v>
          </cell>
          <cell r="M34">
            <v>25041.417369999999</v>
          </cell>
          <cell r="N34">
            <v>25489.516080000001</v>
          </cell>
          <cell r="O34">
            <v>25948.27852</v>
          </cell>
          <cell r="P34">
            <v>26412.821090000001</v>
          </cell>
          <cell r="Q34">
            <v>26880.54621</v>
          </cell>
          <cell r="R34">
            <v>27351.540010000001</v>
          </cell>
          <cell r="S34">
            <v>27827.729510000001</v>
          </cell>
          <cell r="T34">
            <v>28311.54955</v>
          </cell>
          <cell r="U34">
            <v>28804.83224</v>
          </cell>
          <cell r="V34">
            <v>29287.32805</v>
          </cell>
          <cell r="W34">
            <v>29791.901539999999</v>
          </cell>
          <cell r="X34">
            <v>30309.746419999999</v>
          </cell>
          <cell r="Y34">
            <v>30839.414659999999</v>
          </cell>
          <cell r="Z34">
            <v>31379.028849999999</v>
          </cell>
          <cell r="AA34">
            <v>31863.09088</v>
          </cell>
          <cell r="AB34">
            <v>32366.12516</v>
          </cell>
          <cell r="AC34">
            <v>32878.771710000001</v>
          </cell>
          <cell r="AD34">
            <v>33404.246019999999</v>
          </cell>
          <cell r="AE34">
            <v>33943.032180000002</v>
          </cell>
          <cell r="AF34">
            <v>34493.862840000002</v>
          </cell>
          <cell r="AG34">
            <v>35054.862930000003</v>
          </cell>
          <cell r="AH34">
            <v>35624.610610000003</v>
          </cell>
          <cell r="AI34">
            <v>36202.700089999998</v>
          </cell>
          <cell r="AJ34">
            <v>36789.714639999998</v>
          </cell>
          <cell r="AK34">
            <v>37386.770879999996</v>
          </cell>
        </row>
        <row r="35">
          <cell r="B35">
            <v>20701.528730000002</v>
          </cell>
          <cell r="C35">
            <v>21010.650600000001</v>
          </cell>
          <cell r="D35">
            <v>21379.227470000002</v>
          </cell>
          <cell r="E35">
            <v>21780.83642</v>
          </cell>
          <cell r="F35">
            <v>22196.58178</v>
          </cell>
          <cell r="G35">
            <v>22616.790590000001</v>
          </cell>
          <cell r="H35">
            <v>23024.278170000001</v>
          </cell>
          <cell r="I35">
            <v>23429.614600000001</v>
          </cell>
          <cell r="J35">
            <v>23838.72424</v>
          </cell>
          <cell r="K35">
            <v>24256.564299999998</v>
          </cell>
          <cell r="L35">
            <v>24711.097900000001</v>
          </cell>
          <cell r="M35">
            <v>25160.910929999998</v>
          </cell>
          <cell r="N35">
            <v>25613.462</v>
          </cell>
          <cell r="O35">
            <v>26066.204020000001</v>
          </cell>
          <cell r="P35">
            <v>26519.52406</v>
          </cell>
          <cell r="Q35">
            <v>26975.820599999999</v>
          </cell>
          <cell r="R35">
            <v>27438.21846</v>
          </cell>
          <cell r="S35">
            <v>27909.340919999999</v>
          </cell>
          <cell r="T35">
            <v>28390.64544</v>
          </cell>
          <cell r="U35">
            <v>28882.414290000001</v>
          </cell>
          <cell r="V35">
            <v>29363.035670000001</v>
          </cell>
          <cell r="W35">
            <v>29865.364959999999</v>
          </cell>
          <cell r="X35">
            <v>30380.81811</v>
          </cell>
          <cell r="Y35">
            <v>30908.653289999998</v>
          </cell>
          <cell r="Z35">
            <v>31447.673839999999</v>
          </cell>
          <cell r="AA35">
            <v>31932.550869999999</v>
          </cell>
          <cell r="AB35">
            <v>32437.935150000001</v>
          </cell>
          <cell r="AC35">
            <v>32953.783199999998</v>
          </cell>
          <cell r="AD35">
            <v>33482.586669999997</v>
          </cell>
          <cell r="AE35">
            <v>34024.250030000003</v>
          </cell>
          <cell r="AF35">
            <v>34577.203520000003</v>
          </cell>
          <cell r="AG35">
            <v>35139.540650000003</v>
          </cell>
          <cell r="AH35">
            <v>35709.982069999998</v>
          </cell>
          <cell r="AI35">
            <v>36288.325810000002</v>
          </cell>
          <cell r="AJ35">
            <v>36875.327920000003</v>
          </cell>
          <cell r="AK35">
            <v>37472.198499999999</v>
          </cell>
        </row>
        <row r="36">
          <cell r="B36">
            <v>1906270.0360000001</v>
          </cell>
          <cell r="C36">
            <v>1919496.2790000001</v>
          </cell>
          <cell r="D36">
            <v>1940847.9</v>
          </cell>
          <cell r="E36">
            <v>1970427.682</v>
          </cell>
          <cell r="F36">
            <v>2002994.595</v>
          </cell>
          <cell r="G36">
            <v>2036309.531</v>
          </cell>
          <cell r="H36">
            <v>2075731.534</v>
          </cell>
          <cell r="I36">
            <v>2107970.6469999999</v>
          </cell>
          <cell r="J36">
            <v>2137256.2140000002</v>
          </cell>
          <cell r="K36">
            <v>2166472.9980000001</v>
          </cell>
          <cell r="L36">
            <v>2193548.7119999998</v>
          </cell>
          <cell r="M36">
            <v>2231675.81</v>
          </cell>
          <cell r="N36">
            <v>2270081.054</v>
          </cell>
          <cell r="O36">
            <v>2308938.1949999998</v>
          </cell>
          <cell r="P36">
            <v>2348075.3650000002</v>
          </cell>
          <cell r="Q36">
            <v>2387384.1869999999</v>
          </cell>
          <cell r="R36">
            <v>2426950.6150000002</v>
          </cell>
          <cell r="S36">
            <v>2467003.071</v>
          </cell>
          <cell r="T36">
            <v>2507783.676</v>
          </cell>
          <cell r="U36">
            <v>2549438.3309999998</v>
          </cell>
          <cell r="V36">
            <v>2594284.5830000001</v>
          </cell>
          <cell r="W36">
            <v>2634551.1579999998</v>
          </cell>
          <cell r="X36">
            <v>2677069.9049999998</v>
          </cell>
          <cell r="Y36">
            <v>2720972.463</v>
          </cell>
          <cell r="Z36">
            <v>2765707.517</v>
          </cell>
          <cell r="AA36">
            <v>2816514.2220000001</v>
          </cell>
          <cell r="AB36">
            <v>2856948.6</v>
          </cell>
          <cell r="AC36">
            <v>2898412.3190000001</v>
          </cell>
          <cell r="AD36">
            <v>2941011.9870000002</v>
          </cell>
          <cell r="AE36">
            <v>2984712.98</v>
          </cell>
          <cell r="AF36">
            <v>3029323.0580000002</v>
          </cell>
          <cell r="AG36">
            <v>3074598.9649999999</v>
          </cell>
          <cell r="AH36">
            <v>3120363.9130000002</v>
          </cell>
          <cell r="AI36">
            <v>3166568.3139999998</v>
          </cell>
          <cell r="AJ36">
            <v>3213280.8679999998</v>
          </cell>
          <cell r="AK36">
            <v>3260631.44</v>
          </cell>
        </row>
        <row r="37">
          <cell r="B37">
            <v>1906270.0360000001</v>
          </cell>
          <cell r="C37">
            <v>1919496.2790000001</v>
          </cell>
          <cell r="D37">
            <v>1940847.9</v>
          </cell>
          <cell r="E37">
            <v>1970427.682</v>
          </cell>
          <cell r="F37">
            <v>2002994.595</v>
          </cell>
          <cell r="G37">
            <v>2036309.531</v>
          </cell>
          <cell r="H37">
            <v>2072127.0859999999</v>
          </cell>
          <cell r="I37">
            <v>2105765.679</v>
          </cell>
          <cell r="J37">
            <v>2138920.2069999999</v>
          </cell>
          <cell r="K37">
            <v>2172654.2680000002</v>
          </cell>
          <cell r="L37">
            <v>2203374.5279999999</v>
          </cell>
          <cell r="M37">
            <v>2243575.125</v>
          </cell>
          <cell r="N37">
            <v>2282283.6740000001</v>
          </cell>
          <cell r="O37">
            <v>2320096.5240000002</v>
          </cell>
          <cell r="P37">
            <v>2357518.966</v>
          </cell>
          <cell r="Q37">
            <v>2395061.7880000002</v>
          </cell>
          <cell r="R37">
            <v>2433184.63</v>
          </cell>
          <cell r="S37">
            <v>2472209.0950000002</v>
          </cell>
          <cell r="T37">
            <v>2512277.9</v>
          </cell>
          <cell r="U37">
            <v>2553377.0090000001</v>
          </cell>
          <cell r="V37">
            <v>2597689.6800000002</v>
          </cell>
          <cell r="W37">
            <v>2637472.7429999998</v>
          </cell>
          <cell r="X37">
            <v>2679590.5380000002</v>
          </cell>
          <cell r="Y37">
            <v>2723265.3169999998</v>
          </cell>
          <cell r="Z37">
            <v>2768021.0619999999</v>
          </cell>
          <cell r="AA37">
            <v>2819111.7289999998</v>
          </cell>
          <cell r="AB37">
            <v>2860082.9539999999</v>
          </cell>
          <cell r="AC37">
            <v>2902230.7820000001</v>
          </cell>
          <cell r="AD37">
            <v>2945557.8229999999</v>
          </cell>
          <cell r="AE37">
            <v>2989943.85</v>
          </cell>
          <cell r="AF37">
            <v>3035145.4920000001</v>
          </cell>
          <cell r="AG37">
            <v>3080902.7370000002</v>
          </cell>
          <cell r="AH37">
            <v>3127045.6030000001</v>
          </cell>
          <cell r="AI37">
            <v>3173541.7790000001</v>
          </cell>
          <cell r="AJ37">
            <v>3220477.2409999999</v>
          </cell>
          <cell r="AK37">
            <v>3267993.5639999998</v>
          </cell>
        </row>
        <row r="38">
          <cell r="B38">
            <v>662790.50410000002</v>
          </cell>
          <cell r="C38">
            <v>669990.09019999998</v>
          </cell>
          <cell r="D38">
            <v>678934.07339999999</v>
          </cell>
          <cell r="E38">
            <v>689398.70810000005</v>
          </cell>
          <cell r="F38">
            <v>700564.446</v>
          </cell>
          <cell r="G38">
            <v>712088.14249999996</v>
          </cell>
          <cell r="H38">
            <v>724241.80489999999</v>
          </cell>
          <cell r="I38">
            <v>735742.9436</v>
          </cell>
          <cell r="J38">
            <v>747084.03610000003</v>
          </cell>
          <cell r="K38">
            <v>758602.0551</v>
          </cell>
          <cell r="L38">
            <v>770316.98939999996</v>
          </cell>
          <cell r="M38">
            <v>783487.47180000006</v>
          </cell>
          <cell r="N38">
            <v>796647.28799999994</v>
          </cell>
          <cell r="O38">
            <v>809906.17500000005</v>
          </cell>
          <cell r="P38">
            <v>823289.29280000005</v>
          </cell>
          <cell r="Q38">
            <v>836810.28610000003</v>
          </cell>
          <cell r="R38">
            <v>850491.50120000006</v>
          </cell>
          <cell r="S38">
            <v>864362.23289999994</v>
          </cell>
          <cell r="T38">
            <v>878447.88379999995</v>
          </cell>
          <cell r="U38">
            <v>892761.2916</v>
          </cell>
          <cell r="V38">
            <v>907316.17260000005</v>
          </cell>
          <cell r="W38">
            <v>921505.85519999999</v>
          </cell>
          <cell r="X38">
            <v>936196.68350000004</v>
          </cell>
          <cell r="Y38">
            <v>951233.07900000003</v>
          </cell>
          <cell r="Z38">
            <v>966532.98499999999</v>
          </cell>
          <cell r="AA38">
            <v>981909.0159</v>
          </cell>
          <cell r="AB38">
            <v>996068.35800000001</v>
          </cell>
          <cell r="AC38">
            <v>1010534.488</v>
          </cell>
          <cell r="AD38">
            <v>1025291.616</v>
          </cell>
          <cell r="AE38">
            <v>1040321.652</v>
          </cell>
          <cell r="AF38">
            <v>1055597.736</v>
          </cell>
          <cell r="AG38">
            <v>1071093.939</v>
          </cell>
          <cell r="AH38">
            <v>1086795.4439999999</v>
          </cell>
          <cell r="AI38">
            <v>1102702.564</v>
          </cell>
          <cell r="AJ38">
            <v>1118827.496</v>
          </cell>
          <cell r="AK38">
            <v>1135187.098</v>
          </cell>
        </row>
        <row r="39">
          <cell r="B39">
            <v>662790.50410000002</v>
          </cell>
          <cell r="C39">
            <v>669990.09019999998</v>
          </cell>
          <cell r="D39">
            <v>678934.07339999999</v>
          </cell>
          <cell r="E39">
            <v>689398.70810000005</v>
          </cell>
          <cell r="F39">
            <v>700564.446</v>
          </cell>
          <cell r="G39">
            <v>712088.14249999996</v>
          </cell>
          <cell r="H39">
            <v>723992.84759999998</v>
          </cell>
          <cell r="I39">
            <v>735667.27769999998</v>
          </cell>
          <cell r="J39">
            <v>747398.17590000003</v>
          </cell>
          <cell r="K39">
            <v>759340.15099999995</v>
          </cell>
          <cell r="L39">
            <v>771363.00289999996</v>
          </cell>
          <cell r="M39">
            <v>784670.32720000006</v>
          </cell>
          <cell r="N39">
            <v>797790.91200000001</v>
          </cell>
          <cell r="O39">
            <v>810893.28289999999</v>
          </cell>
          <cell r="P39">
            <v>824078.95369999995</v>
          </cell>
          <cell r="Q39">
            <v>837422.36109999998</v>
          </cell>
          <cell r="R39">
            <v>850977.18220000004</v>
          </cell>
          <cell r="S39">
            <v>864774.55290000001</v>
          </cell>
          <cell r="T39">
            <v>878823.91209999996</v>
          </cell>
          <cell r="U39">
            <v>893118.89580000006</v>
          </cell>
          <cell r="V39">
            <v>907659.52919999999</v>
          </cell>
          <cell r="W39">
            <v>921842.42859999998</v>
          </cell>
          <cell r="X39">
            <v>936537.97389999998</v>
          </cell>
          <cell r="Y39">
            <v>951598.98340000003</v>
          </cell>
          <cell r="Z39">
            <v>966949.00309999997</v>
          </cell>
          <cell r="AA39">
            <v>982399.65870000003</v>
          </cell>
          <cell r="AB39">
            <v>996653.94429999997</v>
          </cell>
          <cell r="AC39">
            <v>1011223.51</v>
          </cell>
          <cell r="AD39">
            <v>1026081.942</v>
          </cell>
          <cell r="AE39">
            <v>1041203.627</v>
          </cell>
          <cell r="AF39">
            <v>1056558.3870000001</v>
          </cell>
          <cell r="AG39">
            <v>1072120.6669999999</v>
          </cell>
          <cell r="AH39">
            <v>1087878.2180000001</v>
          </cell>
          <cell r="AI39">
            <v>1103834.3959999999</v>
          </cell>
          <cell r="AJ39">
            <v>1120003.97</v>
          </cell>
          <cell r="AK39">
            <v>1136405.6000000001</v>
          </cell>
        </row>
        <row r="40">
          <cell r="B40">
            <v>5830.4243450000004</v>
          </cell>
          <cell r="C40">
            <v>6538.5441559999999</v>
          </cell>
          <cell r="D40">
            <v>7162.5883009999998</v>
          </cell>
          <cell r="E40">
            <v>7680.8599770000001</v>
          </cell>
          <cell r="F40">
            <v>8113.4116249999997</v>
          </cell>
          <cell r="G40">
            <v>8484.2254109999994</v>
          </cell>
          <cell r="H40">
            <v>8860.325793</v>
          </cell>
          <cell r="I40">
            <v>9132.9346519999999</v>
          </cell>
          <cell r="J40">
            <v>9363.8282930000005</v>
          </cell>
          <cell r="K40">
            <v>9567.8004099999998</v>
          </cell>
          <cell r="L40">
            <v>9801.8285149999992</v>
          </cell>
          <cell r="M40">
            <v>9964.2552460000006</v>
          </cell>
          <cell r="N40">
            <v>10127.115830000001</v>
          </cell>
          <cell r="O40">
            <v>10294.047039999999</v>
          </cell>
          <cell r="P40">
            <v>10462.96493</v>
          </cell>
          <cell r="Q40">
            <v>10632.518050000001</v>
          </cell>
          <cell r="R40">
            <v>10802.76489</v>
          </cell>
          <cell r="S40">
            <v>10974.63834</v>
          </cell>
          <cell r="T40">
            <v>11149.328369999999</v>
          </cell>
          <cell r="U40">
            <v>11327.78253</v>
          </cell>
          <cell r="V40">
            <v>11476.14761</v>
          </cell>
          <cell r="W40">
            <v>11672.211520000001</v>
          </cell>
          <cell r="X40">
            <v>11870.10886</v>
          </cell>
          <cell r="Y40">
            <v>12066.808569999999</v>
          </cell>
          <cell r="Z40">
            <v>12263.35072</v>
          </cell>
          <cell r="AA40">
            <v>12359.073539999999</v>
          </cell>
          <cell r="AB40">
            <v>12542.65891</v>
          </cell>
          <cell r="AC40">
            <v>12732.29055</v>
          </cell>
          <cell r="AD40">
            <v>12920.1314</v>
          </cell>
          <cell r="AE40">
            <v>13107.47582</v>
          </cell>
          <cell r="AF40">
            <v>13295.72539</v>
          </cell>
          <cell r="AG40">
            <v>13485.48964</v>
          </cell>
          <cell r="AH40">
            <v>13676.947270000001</v>
          </cell>
          <cell r="AI40">
            <v>13870.197969999999</v>
          </cell>
          <cell r="AJ40">
            <v>14065.48964</v>
          </cell>
          <cell r="AK40">
            <v>14263.22694</v>
          </cell>
        </row>
        <row r="41">
          <cell r="B41">
            <v>5830.4243450000004</v>
          </cell>
          <cell r="C41">
            <v>6538.5441559999999</v>
          </cell>
          <cell r="D41">
            <v>7162.5883009999998</v>
          </cell>
          <cell r="E41">
            <v>7680.8599770000001</v>
          </cell>
          <cell r="F41">
            <v>8113.4116249999997</v>
          </cell>
          <cell r="G41">
            <v>8484.2254109999994</v>
          </cell>
          <cell r="H41">
            <v>8778.8357980000001</v>
          </cell>
          <cell r="I41">
            <v>9051.6219629999996</v>
          </cell>
          <cell r="J41">
            <v>9305.9842709999994</v>
          </cell>
          <cell r="K41">
            <v>9543.3115570000009</v>
          </cell>
          <cell r="L41">
            <v>9813.043936</v>
          </cell>
          <cell r="M41">
            <v>10008.015069999999</v>
          </cell>
          <cell r="N41">
            <v>10196.56143</v>
          </cell>
          <cell r="O41">
            <v>10380.691989999999</v>
          </cell>
          <cell r="P41">
            <v>10558.557409999999</v>
          </cell>
          <cell r="Q41">
            <v>10730.35564</v>
          </cell>
          <cell r="R41">
            <v>10897.829110000001</v>
          </cell>
          <cell r="S41">
            <v>11063.27289</v>
          </cell>
          <cell r="T41">
            <v>11228.84953</v>
          </cell>
          <cell r="U41">
            <v>11396.24217</v>
          </cell>
          <cell r="V41">
            <v>11532.19735</v>
          </cell>
          <cell r="W41">
            <v>11715.381649999999</v>
          </cell>
          <cell r="X41">
            <v>11900.7685</v>
          </cell>
          <cell r="Y41">
            <v>12086.254290000001</v>
          </cell>
          <cell r="Z41">
            <v>12273.70253</v>
          </cell>
          <cell r="AA41">
            <v>12362.989890000001</v>
          </cell>
          <cell r="AB41">
            <v>12543.09189</v>
          </cell>
          <cell r="AC41">
            <v>12732.0121</v>
          </cell>
          <cell r="AD41">
            <v>12921.46499</v>
          </cell>
          <cell r="AE41">
            <v>13112.12372</v>
          </cell>
          <cell r="AF41">
            <v>13304.729869999999</v>
          </cell>
          <cell r="AG41">
            <v>13499.27095</v>
          </cell>
          <cell r="AH41">
            <v>13695.38027</v>
          </cell>
          <cell r="AI41">
            <v>13892.747429999999</v>
          </cell>
          <cell r="AJ41">
            <v>14091.319450000001</v>
          </cell>
          <cell r="AK41">
            <v>14291.26742</v>
          </cell>
        </row>
        <row r="42">
          <cell r="B42">
            <v>45734.688020000001</v>
          </cell>
          <cell r="C42">
            <v>46342.744449999998</v>
          </cell>
          <cell r="D42">
            <v>46875.609179999999</v>
          </cell>
          <cell r="E42">
            <v>47408.5864</v>
          </cell>
          <cell r="F42">
            <v>47970.470359999999</v>
          </cell>
          <cell r="G42">
            <v>48567.251779999999</v>
          </cell>
          <cell r="H42">
            <v>49230.395629999999</v>
          </cell>
          <cell r="I42">
            <v>49873.405149999999</v>
          </cell>
          <cell r="J42">
            <v>50524.414640000003</v>
          </cell>
          <cell r="K42">
            <v>51176.293859999998</v>
          </cell>
          <cell r="L42">
            <v>51876.37831</v>
          </cell>
          <cell r="M42">
            <v>52518.979899999998</v>
          </cell>
          <cell r="N42">
            <v>53159.971660000003</v>
          </cell>
          <cell r="O42">
            <v>53806.408629999998</v>
          </cell>
          <cell r="P42">
            <v>54461.056559999997</v>
          </cell>
          <cell r="Q42">
            <v>55124.046000000002</v>
          </cell>
          <cell r="R42">
            <v>55794.014810000001</v>
          </cell>
          <cell r="S42">
            <v>56469.069510000001</v>
          </cell>
          <cell r="T42">
            <v>57147.629509999999</v>
          </cell>
          <cell r="U42">
            <v>57828.898789999999</v>
          </cell>
          <cell r="V42">
            <v>58471.633569999998</v>
          </cell>
          <cell r="W42">
            <v>59155.215949999998</v>
          </cell>
          <cell r="X42">
            <v>59843.285609999999</v>
          </cell>
          <cell r="Y42">
            <v>60534.840929999998</v>
          </cell>
          <cell r="Z42">
            <v>61230.815049999997</v>
          </cell>
          <cell r="AA42">
            <v>61809.296240000003</v>
          </cell>
          <cell r="AB42">
            <v>62450.357680000001</v>
          </cell>
          <cell r="AC42">
            <v>63091.541819999999</v>
          </cell>
          <cell r="AD42">
            <v>63728.526749999997</v>
          </cell>
          <cell r="AE42">
            <v>64362.491499999996</v>
          </cell>
          <cell r="AF42">
            <v>64995.897199999999</v>
          </cell>
          <cell r="AG42">
            <v>65630.957920000001</v>
          </cell>
          <cell r="AH42">
            <v>66268.974919999993</v>
          </cell>
          <cell r="AI42">
            <v>66910.180259999994</v>
          </cell>
          <cell r="AJ42">
            <v>67554.016959999994</v>
          </cell>
          <cell r="AK42">
            <v>68199.588359999994</v>
          </cell>
        </row>
        <row r="43">
          <cell r="B43">
            <v>45734.688020000001</v>
          </cell>
          <cell r="C43">
            <v>46342.744449999998</v>
          </cell>
          <cell r="D43">
            <v>46875.609179999999</v>
          </cell>
          <cell r="E43">
            <v>47408.5864</v>
          </cell>
          <cell r="F43">
            <v>47970.470359999999</v>
          </cell>
          <cell r="G43">
            <v>48567.251779999999</v>
          </cell>
          <cell r="H43">
            <v>49160.08193</v>
          </cell>
          <cell r="I43">
            <v>49775.690329999998</v>
          </cell>
          <cell r="J43">
            <v>50406.307059999999</v>
          </cell>
          <cell r="K43">
            <v>51044.642240000001</v>
          </cell>
          <cell r="L43">
            <v>51740.19627</v>
          </cell>
          <cell r="M43">
            <v>52386.88609</v>
          </cell>
          <cell r="N43">
            <v>53035.503490000003</v>
          </cell>
          <cell r="O43">
            <v>53686.386109999999</v>
          </cell>
          <cell r="P43">
            <v>54336.348279999998</v>
          </cell>
          <cell r="Q43">
            <v>54981.941659999997</v>
          </cell>
          <cell r="R43">
            <v>55620.723319999997</v>
          </cell>
          <cell r="S43">
            <v>56251.77938</v>
          </cell>
          <cell r="T43">
            <v>56875.666649999999</v>
          </cell>
          <cell r="U43">
            <v>57493.923459999998</v>
          </cell>
          <cell r="V43">
            <v>58067.665719999997</v>
          </cell>
          <cell r="W43">
            <v>58676.273260000002</v>
          </cell>
          <cell r="X43">
            <v>59284.504970000002</v>
          </cell>
          <cell r="Y43">
            <v>59891.687160000001</v>
          </cell>
          <cell r="Z43">
            <v>60498.989419999998</v>
          </cell>
          <cell r="AA43">
            <v>60985.864999999998</v>
          </cell>
          <cell r="AB43">
            <v>61531.433219999999</v>
          </cell>
          <cell r="AC43">
            <v>62074.080629999997</v>
          </cell>
          <cell r="AD43">
            <v>62609.687559999998</v>
          </cell>
          <cell r="AE43">
            <v>63139.308369999999</v>
          </cell>
          <cell r="AF43">
            <v>63665.027650000004</v>
          </cell>
          <cell r="AG43">
            <v>64188.528339999997</v>
          </cell>
          <cell r="AH43">
            <v>64710.548069999997</v>
          </cell>
          <cell r="AI43">
            <v>65230.863039999997</v>
          </cell>
          <cell r="AJ43">
            <v>65748.631089999995</v>
          </cell>
          <cell r="AK43">
            <v>66262.863880000004</v>
          </cell>
        </row>
        <row r="44">
          <cell r="B44">
            <v>3851.5294600000002</v>
          </cell>
          <cell r="C44">
            <v>3942.9289370000001</v>
          </cell>
          <cell r="D44">
            <v>4020.1949220000001</v>
          </cell>
          <cell r="E44">
            <v>4091.4673250000001</v>
          </cell>
          <cell r="F44">
            <v>4160.3377309999996</v>
          </cell>
          <cell r="G44">
            <v>4228.1266340000002</v>
          </cell>
          <cell r="H44">
            <v>4298.9555659999996</v>
          </cell>
          <cell r="I44">
            <v>4364.7027609999996</v>
          </cell>
          <cell r="J44">
            <v>4429.2347470000004</v>
          </cell>
          <cell r="K44">
            <v>4492.7332800000004</v>
          </cell>
          <cell r="L44">
            <v>4559.9704439999996</v>
          </cell>
          <cell r="M44">
            <v>4621.7893180000001</v>
          </cell>
          <cell r="N44">
            <v>4683.2253840000003</v>
          </cell>
          <cell r="O44">
            <v>4744.7369639999997</v>
          </cell>
          <cell r="P44">
            <v>4806.4460550000003</v>
          </cell>
          <cell r="Q44">
            <v>4868.3266119999998</v>
          </cell>
          <cell r="R44">
            <v>4930.2993660000002</v>
          </cell>
          <cell r="S44">
            <v>4992.280197</v>
          </cell>
          <cell r="T44">
            <v>5054.2163520000004</v>
          </cell>
          <cell r="U44">
            <v>5116.102543</v>
          </cell>
          <cell r="V44">
            <v>5174.3097369999996</v>
          </cell>
          <cell r="W44">
            <v>5235.9594530000004</v>
          </cell>
          <cell r="X44">
            <v>5297.7607900000003</v>
          </cell>
          <cell r="Y44">
            <v>5359.6521949999997</v>
          </cell>
          <cell r="Z44">
            <v>5421.7229100000004</v>
          </cell>
          <cell r="AA44">
            <v>5473.1964349999998</v>
          </cell>
          <cell r="AB44">
            <v>5530.1482999999998</v>
          </cell>
          <cell r="AC44">
            <v>5587.0318509999997</v>
          </cell>
          <cell r="AD44">
            <v>5643.5441810000002</v>
          </cell>
          <cell r="AE44">
            <v>5699.7828559999998</v>
          </cell>
          <cell r="AF44">
            <v>5755.9073319999998</v>
          </cell>
          <cell r="AG44">
            <v>5812.0435589999997</v>
          </cell>
          <cell r="AH44">
            <v>5868.2543400000004</v>
          </cell>
          <cell r="AI44">
            <v>5924.5368859999999</v>
          </cell>
          <cell r="AJ44">
            <v>5980.8436750000001</v>
          </cell>
          <cell r="AK44">
            <v>6037.1088600000003</v>
          </cell>
        </row>
        <row r="45">
          <cell r="B45">
            <v>3851.5294600000002</v>
          </cell>
          <cell r="C45">
            <v>3942.9289370000001</v>
          </cell>
          <cell r="D45">
            <v>4020.1949220000001</v>
          </cell>
          <cell r="E45">
            <v>4091.4673250000001</v>
          </cell>
          <cell r="F45">
            <v>4160.3377309999996</v>
          </cell>
          <cell r="G45">
            <v>4228.1266340000002</v>
          </cell>
          <cell r="H45">
            <v>4292.1553029999995</v>
          </cell>
          <cell r="I45">
            <v>4355.4563200000002</v>
          </cell>
          <cell r="J45">
            <v>4417.9689680000001</v>
          </cell>
          <cell r="K45">
            <v>4479.5984109999999</v>
          </cell>
          <cell r="L45">
            <v>4545.1867730000004</v>
          </cell>
          <cell r="M45">
            <v>4605.4690330000003</v>
          </cell>
          <cell r="N45">
            <v>4665.2267970000003</v>
          </cell>
          <cell r="O45">
            <v>4724.6111570000003</v>
          </cell>
          <cell r="P45">
            <v>4783.4891079999998</v>
          </cell>
          <cell r="Q45">
            <v>4841.7101119999998</v>
          </cell>
          <cell r="R45">
            <v>4899.1823510000004</v>
          </cell>
          <cell r="S45">
            <v>4955.8928370000003</v>
          </cell>
          <cell r="T45">
            <v>5011.8976769999999</v>
          </cell>
          <cell r="U45">
            <v>5067.2934839999998</v>
          </cell>
          <cell r="V45">
            <v>5118.5561280000002</v>
          </cell>
          <cell r="W45">
            <v>5172.7538750000003</v>
          </cell>
          <cell r="X45">
            <v>5226.6243750000003</v>
          </cell>
          <cell r="Y45">
            <v>5280.0941849999999</v>
          </cell>
          <cell r="Z45">
            <v>5333.2396140000001</v>
          </cell>
          <cell r="AA45">
            <v>5375.3746810000002</v>
          </cell>
          <cell r="AB45">
            <v>5422.4789030000002</v>
          </cell>
          <cell r="AC45">
            <v>5469.0370830000002</v>
          </cell>
          <cell r="AD45">
            <v>5514.7459239999998</v>
          </cell>
          <cell r="AE45">
            <v>5559.6916739999997</v>
          </cell>
          <cell r="AF45">
            <v>5604.0174360000001</v>
          </cell>
          <cell r="AG45">
            <v>5647.8317779999998</v>
          </cell>
          <cell r="AH45">
            <v>5691.1834550000003</v>
          </cell>
          <cell r="AI45">
            <v>5734.0659910000004</v>
          </cell>
          <cell r="AJ45">
            <v>5776.4396919999999</v>
          </cell>
          <cell r="AK45">
            <v>5818.25738</v>
          </cell>
        </row>
        <row r="46">
          <cell r="B46">
            <v>18414.093799999999</v>
          </cell>
          <cell r="C46">
            <v>19312.403350000001</v>
          </cell>
          <cell r="D46">
            <v>20042.812010000001</v>
          </cell>
          <cell r="E46">
            <v>20678.438340000001</v>
          </cell>
          <cell r="F46">
            <v>21255.287339999999</v>
          </cell>
          <cell r="G46">
            <v>21795.937140000002</v>
          </cell>
          <cell r="H46">
            <v>22680.01512</v>
          </cell>
          <cell r="I46">
            <v>23217.436269999998</v>
          </cell>
          <cell r="J46">
            <v>23679.954470000001</v>
          </cell>
          <cell r="K46">
            <v>24094.42467</v>
          </cell>
          <cell r="L46">
            <v>24480.62097</v>
          </cell>
          <cell r="M46">
            <v>24812.198649999998</v>
          </cell>
          <cell r="N46">
            <v>25112.609059999999</v>
          </cell>
          <cell r="O46">
            <v>25400.591609999999</v>
          </cell>
          <cell r="P46">
            <v>25686.507369999999</v>
          </cell>
          <cell r="Q46">
            <v>25973.1754</v>
          </cell>
          <cell r="R46">
            <v>26260.309669999999</v>
          </cell>
          <cell r="S46">
            <v>26546.535250000001</v>
          </cell>
          <cell r="T46">
            <v>26830.992770000001</v>
          </cell>
          <cell r="U46">
            <v>27114.175859999999</v>
          </cell>
          <cell r="V46">
            <v>27382.25837</v>
          </cell>
          <cell r="W46">
            <v>27662.44743</v>
          </cell>
          <cell r="X46">
            <v>27950.080529999999</v>
          </cell>
          <cell r="Y46">
            <v>28243.57387</v>
          </cell>
          <cell r="Z46">
            <v>28543.75188</v>
          </cell>
          <cell r="AA46">
            <v>28801.855889999999</v>
          </cell>
          <cell r="AB46">
            <v>29078.072980000001</v>
          </cell>
          <cell r="AC46">
            <v>29356.829470000001</v>
          </cell>
          <cell r="AD46">
            <v>29631.155159999998</v>
          </cell>
          <cell r="AE46">
            <v>29902.030129999999</v>
          </cell>
          <cell r="AF46">
            <v>30173.297289999999</v>
          </cell>
          <cell r="AG46">
            <v>30448.866180000001</v>
          </cell>
          <cell r="AH46">
            <v>30731.297289999999</v>
          </cell>
          <cell r="AI46">
            <v>31021.219799999999</v>
          </cell>
          <cell r="AJ46">
            <v>31317.91303</v>
          </cell>
          <cell r="AK46">
            <v>31620.15796</v>
          </cell>
        </row>
        <row r="47">
          <cell r="B47">
            <v>18414.093799999999</v>
          </cell>
          <cell r="C47">
            <v>19312.403350000001</v>
          </cell>
          <cell r="D47">
            <v>20042.812010000001</v>
          </cell>
          <cell r="E47">
            <v>20678.438340000001</v>
          </cell>
          <cell r="F47">
            <v>21255.287339999999</v>
          </cell>
          <cell r="G47">
            <v>21795.937140000002</v>
          </cell>
          <cell r="H47">
            <v>22296.002960000002</v>
          </cell>
          <cell r="I47">
            <v>22772.249339999998</v>
          </cell>
          <cell r="J47">
            <v>23226.689190000001</v>
          </cell>
          <cell r="K47">
            <v>23658.300039999998</v>
          </cell>
          <cell r="L47">
            <v>24086.984769999999</v>
          </cell>
          <cell r="M47">
            <v>24484.58655</v>
          </cell>
          <cell r="N47">
            <v>24865.017589999999</v>
          </cell>
          <cell r="O47">
            <v>25233.41748</v>
          </cell>
          <cell r="P47">
            <v>25588.012910000001</v>
          </cell>
          <cell r="Q47">
            <v>25925.53169</v>
          </cell>
          <cell r="R47">
            <v>26244.257119999998</v>
          </cell>
          <cell r="S47">
            <v>26545.13726</v>
          </cell>
          <cell r="T47">
            <v>26831.656299999999</v>
          </cell>
          <cell r="U47">
            <v>27108.8531</v>
          </cell>
          <cell r="V47">
            <v>27366.80156</v>
          </cell>
          <cell r="W47">
            <v>27633.391500000002</v>
          </cell>
          <cell r="X47">
            <v>27905.608530000001</v>
          </cell>
          <cell r="Y47">
            <v>28182.91129</v>
          </cell>
          <cell r="Z47">
            <v>28467.21614</v>
          </cell>
          <cell r="AA47">
            <v>28711.950049999999</v>
          </cell>
          <cell r="AB47">
            <v>28977.488239999999</v>
          </cell>
          <cell r="AC47">
            <v>29250.300009999999</v>
          </cell>
          <cell r="AD47">
            <v>29524.49209</v>
          </cell>
          <cell r="AE47">
            <v>29801.122480000002</v>
          </cell>
          <cell r="AF47">
            <v>30083.311860000002</v>
          </cell>
          <cell r="AG47">
            <v>30373.67556</v>
          </cell>
          <cell r="AH47">
            <v>30673.19497</v>
          </cell>
          <cell r="AI47">
            <v>30981.128509999999</v>
          </cell>
          <cell r="AJ47">
            <v>31295.634440000002</v>
          </cell>
          <cell r="AK47">
            <v>31614.517810000001</v>
          </cell>
        </row>
        <row r="48">
          <cell r="B48">
            <v>312.99626569999998</v>
          </cell>
          <cell r="C48">
            <v>328.26541420000001</v>
          </cell>
          <cell r="D48">
            <v>340.68064270000002</v>
          </cell>
          <cell r="E48">
            <v>351.48479479999997</v>
          </cell>
          <cell r="F48">
            <v>361.28987030000002</v>
          </cell>
          <cell r="G48">
            <v>370.47964489999998</v>
          </cell>
          <cell r="H48">
            <v>385.50689019999999</v>
          </cell>
          <cell r="I48">
            <v>394.64178520000002</v>
          </cell>
          <cell r="J48">
            <v>402.5035062</v>
          </cell>
          <cell r="K48">
            <v>409.54852440000002</v>
          </cell>
          <cell r="L48">
            <v>416.11295269999999</v>
          </cell>
          <cell r="M48">
            <v>421.74899310000001</v>
          </cell>
          <cell r="N48">
            <v>426.85526329999999</v>
          </cell>
          <cell r="O48">
            <v>431.75028900000001</v>
          </cell>
          <cell r="P48">
            <v>436.61018410000003</v>
          </cell>
          <cell r="Q48">
            <v>441.48286610000002</v>
          </cell>
          <cell r="R48">
            <v>446.36347310000002</v>
          </cell>
          <cell r="S48">
            <v>451.22863439999998</v>
          </cell>
          <cell r="T48">
            <v>456.0637428</v>
          </cell>
          <cell r="U48">
            <v>460.87718899999999</v>
          </cell>
          <cell r="V48">
            <v>465.43396089999999</v>
          </cell>
          <cell r="W48">
            <v>470.19651570000002</v>
          </cell>
          <cell r="X48">
            <v>475.0856015</v>
          </cell>
          <cell r="Y48">
            <v>480.07429780000001</v>
          </cell>
          <cell r="Z48">
            <v>485.17661750000002</v>
          </cell>
          <cell r="AA48">
            <v>489.56377839999999</v>
          </cell>
          <cell r="AB48">
            <v>494.25881889999999</v>
          </cell>
          <cell r="AC48">
            <v>498.99702339999999</v>
          </cell>
          <cell r="AD48">
            <v>503.65991459999998</v>
          </cell>
          <cell r="AE48">
            <v>508.26415170000001</v>
          </cell>
          <cell r="AF48">
            <v>512.87505510000005</v>
          </cell>
          <cell r="AG48">
            <v>517.559078</v>
          </cell>
          <cell r="AH48">
            <v>522.35974220000003</v>
          </cell>
          <cell r="AI48">
            <v>527.28774269999997</v>
          </cell>
          <cell r="AJ48">
            <v>532.33082939999997</v>
          </cell>
          <cell r="AK48">
            <v>537.46828200000004</v>
          </cell>
        </row>
        <row r="49">
          <cell r="B49">
            <v>312.99626569999998</v>
          </cell>
          <cell r="C49">
            <v>328.26541420000001</v>
          </cell>
          <cell r="D49">
            <v>340.68064270000002</v>
          </cell>
          <cell r="E49">
            <v>351.48479479999997</v>
          </cell>
          <cell r="F49">
            <v>361.28987030000002</v>
          </cell>
          <cell r="G49">
            <v>370.47964489999998</v>
          </cell>
          <cell r="H49">
            <v>378.97958720000003</v>
          </cell>
          <cell r="I49">
            <v>387.07465489999998</v>
          </cell>
          <cell r="J49">
            <v>394.79906310000001</v>
          </cell>
          <cell r="K49">
            <v>402.13543190000001</v>
          </cell>
          <cell r="L49">
            <v>409.42206370000002</v>
          </cell>
          <cell r="M49">
            <v>416.18035839999999</v>
          </cell>
          <cell r="N49">
            <v>422.64679080000002</v>
          </cell>
          <cell r="O49">
            <v>428.90872209999998</v>
          </cell>
          <cell r="P49">
            <v>434.93601000000001</v>
          </cell>
          <cell r="Q49">
            <v>440.67303509999999</v>
          </cell>
          <cell r="R49">
            <v>446.09061750000001</v>
          </cell>
          <cell r="S49">
            <v>451.2048719</v>
          </cell>
          <cell r="T49">
            <v>456.0750213</v>
          </cell>
          <cell r="U49">
            <v>460.7867147</v>
          </cell>
          <cell r="V49">
            <v>465.1712316</v>
          </cell>
          <cell r="W49">
            <v>469.70263319999998</v>
          </cell>
          <cell r="X49">
            <v>474.32968210000001</v>
          </cell>
          <cell r="Y49">
            <v>479.04317659999998</v>
          </cell>
          <cell r="Z49">
            <v>483.87569009999999</v>
          </cell>
          <cell r="AA49">
            <v>488.0355907</v>
          </cell>
          <cell r="AB49">
            <v>492.54911520000002</v>
          </cell>
          <cell r="AC49">
            <v>497.18627329999998</v>
          </cell>
          <cell r="AD49">
            <v>501.8468934</v>
          </cell>
          <cell r="AE49">
            <v>506.54895920000001</v>
          </cell>
          <cell r="AF49">
            <v>511.34551470000002</v>
          </cell>
          <cell r="AG49">
            <v>516.28101419999996</v>
          </cell>
          <cell r="AH49">
            <v>521.3721395</v>
          </cell>
          <cell r="AI49">
            <v>526.60628499999996</v>
          </cell>
          <cell r="AJ49">
            <v>531.95214580000004</v>
          </cell>
          <cell r="AK49">
            <v>537.37241280000001</v>
          </cell>
        </row>
        <row r="50">
          <cell r="B50">
            <v>32429.271959999998</v>
          </cell>
          <cell r="C50">
            <v>32644.49209</v>
          </cell>
          <cell r="D50">
            <v>32867.147579999997</v>
          </cell>
          <cell r="E50">
            <v>33189.134050000001</v>
          </cell>
          <cell r="F50">
            <v>33641.547290000002</v>
          </cell>
          <cell r="G50">
            <v>34229.852610000002</v>
          </cell>
          <cell r="H50">
            <v>35094.431579999997</v>
          </cell>
          <cell r="I50">
            <v>35553.471980000002</v>
          </cell>
          <cell r="J50">
            <v>35782.928290000003</v>
          </cell>
          <cell r="K50">
            <v>35848.436999999998</v>
          </cell>
          <cell r="L50">
            <v>35822.978230000001</v>
          </cell>
          <cell r="M50">
            <v>35736.807460000004</v>
          </cell>
          <cell r="N50">
            <v>35663.548609999998</v>
          </cell>
          <cell r="O50">
            <v>35663.15064</v>
          </cell>
          <cell r="P50">
            <v>35773.067260000003</v>
          </cell>
          <cell r="Q50">
            <v>35999.734680000001</v>
          </cell>
          <cell r="R50">
            <v>36343.720540000002</v>
          </cell>
          <cell r="S50">
            <v>36798.790289999997</v>
          </cell>
          <cell r="T50">
            <v>37353.608930000002</v>
          </cell>
          <cell r="U50">
            <v>37993.964180000003</v>
          </cell>
          <cell r="V50">
            <v>38687.597199999997</v>
          </cell>
          <cell r="W50">
            <v>39441.48691</v>
          </cell>
          <cell r="X50">
            <v>40232.593930000003</v>
          </cell>
          <cell r="Y50">
            <v>41042.20364</v>
          </cell>
          <cell r="Z50">
            <v>41855.437790000004</v>
          </cell>
          <cell r="AA50">
            <v>42602.118880000002</v>
          </cell>
          <cell r="AB50">
            <v>43332.623809999997</v>
          </cell>
          <cell r="AC50">
            <v>44020.234989999997</v>
          </cell>
          <cell r="AD50">
            <v>44655.514459999999</v>
          </cell>
          <cell r="AE50">
            <v>45243.65062</v>
          </cell>
          <cell r="AF50">
            <v>45798.25303</v>
          </cell>
          <cell r="AG50">
            <v>46336.279889999998</v>
          </cell>
          <cell r="AH50">
            <v>46873.954270000002</v>
          </cell>
          <cell r="AI50">
            <v>47422.446400000001</v>
          </cell>
          <cell r="AJ50">
            <v>47988.746579999999</v>
          </cell>
          <cell r="AK50">
            <v>48576.64071</v>
          </cell>
        </row>
        <row r="51">
          <cell r="B51">
            <v>32429.271959999998</v>
          </cell>
          <cell r="C51">
            <v>32644.49209</v>
          </cell>
          <cell r="D51">
            <v>32867.147579999997</v>
          </cell>
          <cell r="E51">
            <v>33189.134050000001</v>
          </cell>
          <cell r="F51">
            <v>33641.547290000002</v>
          </cell>
          <cell r="G51">
            <v>34229.852610000002</v>
          </cell>
          <cell r="H51">
            <v>34922.839890000003</v>
          </cell>
          <cell r="I51">
            <v>35707.338049999998</v>
          </cell>
          <cell r="J51">
            <v>36552.558499999999</v>
          </cell>
          <cell r="K51">
            <v>37423.527020000001</v>
          </cell>
          <cell r="L51">
            <v>38309.28628</v>
          </cell>
          <cell r="M51">
            <v>39153.130539999998</v>
          </cell>
          <cell r="N51">
            <v>39946.640339999998</v>
          </cell>
          <cell r="O51">
            <v>40679.107499999998</v>
          </cell>
          <cell r="P51">
            <v>41338.119420000003</v>
          </cell>
          <cell r="Q51">
            <v>41916.325649999999</v>
          </cell>
          <cell r="R51">
            <v>42418.94371</v>
          </cell>
          <cell r="S51">
            <v>42862.677219999998</v>
          </cell>
          <cell r="T51">
            <v>43272.612840000002</v>
          </cell>
          <cell r="U51">
            <v>43677.463660000001</v>
          </cell>
          <cell r="V51">
            <v>44084.889439999999</v>
          </cell>
          <cell r="W51">
            <v>44538.08943</v>
          </cell>
          <cell r="X51">
            <v>45044.175389999997</v>
          </cell>
          <cell r="Y51">
            <v>45609.252280000001</v>
          </cell>
          <cell r="Z51">
            <v>46237.27205</v>
          </cell>
          <cell r="AA51">
            <v>46866.142290000003</v>
          </cell>
          <cell r="AB51">
            <v>47556.402589999998</v>
          </cell>
          <cell r="AC51">
            <v>48280.075689999998</v>
          </cell>
          <cell r="AD51">
            <v>49021.06164</v>
          </cell>
          <cell r="AE51">
            <v>49772.910490000002</v>
          </cell>
          <cell r="AF51">
            <v>50534.208930000001</v>
          </cell>
          <cell r="AG51">
            <v>51304.556920000003</v>
          </cell>
          <cell r="AH51">
            <v>52082.007129999998</v>
          </cell>
          <cell r="AI51">
            <v>52862.353490000001</v>
          </cell>
          <cell r="AJ51">
            <v>53640.07071</v>
          </cell>
          <cell r="AK51">
            <v>54408.688390000003</v>
          </cell>
        </row>
        <row r="52">
          <cell r="B52">
            <v>433.29852799999998</v>
          </cell>
          <cell r="C52">
            <v>436.17415740000001</v>
          </cell>
          <cell r="D52">
            <v>439.14913309999997</v>
          </cell>
          <cell r="E52">
            <v>443.45130369999998</v>
          </cell>
          <cell r="F52">
            <v>449.49615080000001</v>
          </cell>
          <cell r="G52">
            <v>457.35669830000001</v>
          </cell>
          <cell r="H52">
            <v>468.90863180000002</v>
          </cell>
          <cell r="I52">
            <v>475.04202670000001</v>
          </cell>
          <cell r="J52">
            <v>478.10787040000002</v>
          </cell>
          <cell r="K52">
            <v>478.98315450000001</v>
          </cell>
          <cell r="L52">
            <v>478.64299140000003</v>
          </cell>
          <cell r="M52">
            <v>477.49163440000001</v>
          </cell>
          <cell r="N52">
            <v>476.51279799999998</v>
          </cell>
          <cell r="O52">
            <v>476.50748049999999</v>
          </cell>
          <cell r="P52">
            <v>477.97611389999997</v>
          </cell>
          <cell r="Q52">
            <v>481.00469429999998</v>
          </cell>
          <cell r="R52">
            <v>485.60080629999999</v>
          </cell>
          <cell r="S52">
            <v>491.68114800000001</v>
          </cell>
          <cell r="T52">
            <v>499.09426839999998</v>
          </cell>
          <cell r="U52">
            <v>507.65027270000002</v>
          </cell>
          <cell r="V52">
            <v>516.91813930000001</v>
          </cell>
          <cell r="W52">
            <v>526.99111600000003</v>
          </cell>
          <cell r="X52">
            <v>537.56136579999998</v>
          </cell>
          <cell r="Y52">
            <v>548.37883639999995</v>
          </cell>
          <cell r="Z52">
            <v>559.24473450000005</v>
          </cell>
          <cell r="AA52">
            <v>569.22139440000001</v>
          </cell>
          <cell r="AB52">
            <v>578.98191899999995</v>
          </cell>
          <cell r="AC52">
            <v>588.16932580000002</v>
          </cell>
          <cell r="AD52">
            <v>596.65751079999995</v>
          </cell>
          <cell r="AE52">
            <v>604.51579790000005</v>
          </cell>
          <cell r="AF52">
            <v>611.92602929999998</v>
          </cell>
          <cell r="AG52">
            <v>619.11478910000005</v>
          </cell>
          <cell r="AH52">
            <v>626.29883930000005</v>
          </cell>
          <cell r="AI52">
            <v>633.62742920000005</v>
          </cell>
          <cell r="AJ52">
            <v>641.19395840000004</v>
          </cell>
          <cell r="AK52">
            <v>649.04901170000005</v>
          </cell>
        </row>
        <row r="53">
          <cell r="B53">
            <v>433.29852799999998</v>
          </cell>
          <cell r="C53">
            <v>436.17415740000001</v>
          </cell>
          <cell r="D53">
            <v>439.14913309999997</v>
          </cell>
          <cell r="E53">
            <v>443.45130369999998</v>
          </cell>
          <cell r="F53">
            <v>449.49615080000001</v>
          </cell>
          <cell r="G53">
            <v>457.35669830000001</v>
          </cell>
          <cell r="H53">
            <v>466.61593699999997</v>
          </cell>
          <cell r="I53">
            <v>477.09788350000002</v>
          </cell>
          <cell r="J53">
            <v>488.39116130000002</v>
          </cell>
          <cell r="K53">
            <v>500.02846779999999</v>
          </cell>
          <cell r="L53">
            <v>511.86339850000002</v>
          </cell>
          <cell r="M53">
            <v>523.13828850000004</v>
          </cell>
          <cell r="N53">
            <v>533.74064269999997</v>
          </cell>
          <cell r="O53">
            <v>543.52738550000004</v>
          </cell>
          <cell r="P53">
            <v>552.33266779999997</v>
          </cell>
          <cell r="Q53">
            <v>560.05827780000004</v>
          </cell>
          <cell r="R53">
            <v>566.77392859999998</v>
          </cell>
          <cell r="S53">
            <v>572.70280290000005</v>
          </cell>
          <cell r="T53">
            <v>578.18009210000002</v>
          </cell>
          <cell r="U53">
            <v>583.58944150000002</v>
          </cell>
          <cell r="V53">
            <v>589.03319590000001</v>
          </cell>
          <cell r="W53">
            <v>595.08855500000004</v>
          </cell>
          <cell r="X53">
            <v>601.85054160000004</v>
          </cell>
          <cell r="Y53">
            <v>609.40072599999996</v>
          </cell>
          <cell r="Z53">
            <v>617.79191170000001</v>
          </cell>
          <cell r="AA53">
            <v>626.1944608</v>
          </cell>
          <cell r="AB53">
            <v>635.41726340000002</v>
          </cell>
          <cell r="AC53">
            <v>645.08650569999998</v>
          </cell>
          <cell r="AD53">
            <v>654.98707079999997</v>
          </cell>
          <cell r="AE53">
            <v>665.032779</v>
          </cell>
          <cell r="AF53">
            <v>675.20474620000005</v>
          </cell>
          <cell r="AG53">
            <v>685.49762769999995</v>
          </cell>
          <cell r="AH53">
            <v>695.88540420000004</v>
          </cell>
          <cell r="AI53">
            <v>706.31187720000003</v>
          </cell>
          <cell r="AJ53">
            <v>716.70322139999996</v>
          </cell>
          <cell r="AK53">
            <v>726.97298350000005</v>
          </cell>
        </row>
        <row r="54">
          <cell r="B54">
            <v>1655.536171</v>
          </cell>
          <cell r="C54">
            <v>1666.5233040000001</v>
          </cell>
          <cell r="D54">
            <v>1677.8900169999999</v>
          </cell>
          <cell r="E54">
            <v>1694.3276430000001</v>
          </cell>
          <cell r="F54">
            <v>1717.4236430000001</v>
          </cell>
          <cell r="G54">
            <v>1747.457026</v>
          </cell>
          <cell r="H54">
            <v>1791.5943649999999</v>
          </cell>
          <cell r="I54">
            <v>1815.0286860000001</v>
          </cell>
          <cell r="J54">
            <v>1826.742585</v>
          </cell>
          <cell r="K54">
            <v>1830.086849</v>
          </cell>
          <cell r="L54">
            <v>1828.7871620000001</v>
          </cell>
          <cell r="M54">
            <v>1824.3880859999999</v>
          </cell>
          <cell r="N54">
            <v>1820.648173</v>
          </cell>
          <cell r="O54">
            <v>1820.6278560000001</v>
          </cell>
          <cell r="P54">
            <v>1826.2391729999999</v>
          </cell>
          <cell r="Q54">
            <v>1837.810698</v>
          </cell>
          <cell r="R54">
            <v>1855.3714070000001</v>
          </cell>
          <cell r="S54">
            <v>1878.6030249999999</v>
          </cell>
          <cell r="T54">
            <v>1906.92689</v>
          </cell>
          <cell r="U54">
            <v>1939.6174570000001</v>
          </cell>
          <cell r="V54">
            <v>1975.0278900000001</v>
          </cell>
          <cell r="W54">
            <v>2013.514467</v>
          </cell>
          <cell r="X54">
            <v>2053.9010130000001</v>
          </cell>
          <cell r="Y54">
            <v>2095.2321339999999</v>
          </cell>
          <cell r="Z54">
            <v>2136.7482850000001</v>
          </cell>
          <cell r="AA54">
            <v>2174.866857</v>
          </cell>
          <cell r="AB54">
            <v>2212.1596260000001</v>
          </cell>
          <cell r="AC54">
            <v>2247.2626399999999</v>
          </cell>
          <cell r="AD54">
            <v>2279.6940840000002</v>
          </cell>
          <cell r="AE54">
            <v>2309.7188310000001</v>
          </cell>
          <cell r="AF54">
            <v>2338.0316579999999</v>
          </cell>
          <cell r="AG54">
            <v>2365.4982909999999</v>
          </cell>
          <cell r="AH54">
            <v>2392.9469300000001</v>
          </cell>
          <cell r="AI54">
            <v>2420.947823</v>
          </cell>
          <cell r="AJ54">
            <v>2449.857829</v>
          </cell>
          <cell r="AK54">
            <v>2479.8702199999998</v>
          </cell>
        </row>
        <row r="55">
          <cell r="B55">
            <v>1655.536171</v>
          </cell>
          <cell r="C55">
            <v>1666.5233040000001</v>
          </cell>
          <cell r="D55">
            <v>1677.8900169999999</v>
          </cell>
          <cell r="E55">
            <v>1694.3276430000001</v>
          </cell>
          <cell r="F55">
            <v>1717.4236430000001</v>
          </cell>
          <cell r="G55">
            <v>1747.457026</v>
          </cell>
          <cell r="H55">
            <v>1782.8344939999999</v>
          </cell>
          <cell r="I55">
            <v>1822.8836530000001</v>
          </cell>
          <cell r="J55">
            <v>1866.0327259999999</v>
          </cell>
          <cell r="K55">
            <v>1910.496255</v>
          </cell>
          <cell r="L55">
            <v>1955.714862</v>
          </cell>
          <cell r="M55">
            <v>1998.79368</v>
          </cell>
          <cell r="N55">
            <v>2039.3028890000001</v>
          </cell>
          <cell r="O55">
            <v>2076.695831</v>
          </cell>
          <cell r="P55">
            <v>2110.3388340000001</v>
          </cell>
          <cell r="Q55">
            <v>2139.8566510000001</v>
          </cell>
          <cell r="R55">
            <v>2165.515641</v>
          </cell>
          <cell r="S55">
            <v>2188.1685360000001</v>
          </cell>
          <cell r="T55">
            <v>2209.0960249999998</v>
          </cell>
          <cell r="U55">
            <v>2229.7639319999998</v>
          </cell>
          <cell r="V55">
            <v>2250.5632930000002</v>
          </cell>
          <cell r="W55">
            <v>2273.6994570000002</v>
          </cell>
          <cell r="X55">
            <v>2299.5354870000001</v>
          </cell>
          <cell r="Y55">
            <v>2328.3830419999999</v>
          </cell>
          <cell r="Z55">
            <v>2360.4438740000001</v>
          </cell>
          <cell r="AA55">
            <v>2392.5481239999999</v>
          </cell>
          <cell r="AB55">
            <v>2427.7863769999999</v>
          </cell>
          <cell r="AC55">
            <v>2464.730376</v>
          </cell>
          <cell r="AD55">
            <v>2502.558207</v>
          </cell>
          <cell r="AE55">
            <v>2540.9405980000001</v>
          </cell>
          <cell r="AF55">
            <v>2579.8053949999999</v>
          </cell>
          <cell r="AG55">
            <v>2619.1321790000002</v>
          </cell>
          <cell r="AH55">
            <v>2658.8215359999999</v>
          </cell>
          <cell r="AI55">
            <v>2698.658743</v>
          </cell>
          <cell r="AJ55">
            <v>2738.361731</v>
          </cell>
          <cell r="AK55">
            <v>2777.6001809999998</v>
          </cell>
        </row>
        <row r="56">
          <cell r="B56">
            <v>787.31299669999999</v>
          </cell>
          <cell r="C56">
            <v>792.53807889999996</v>
          </cell>
          <cell r="D56">
            <v>797.9436753</v>
          </cell>
          <cell r="E56">
            <v>805.76081439999996</v>
          </cell>
          <cell r="F56">
            <v>816.7444352</v>
          </cell>
          <cell r="G56">
            <v>831.02722349999999</v>
          </cell>
          <cell r="H56">
            <v>852.01734190000002</v>
          </cell>
          <cell r="I56">
            <v>863.16185589999998</v>
          </cell>
          <cell r="J56">
            <v>868.73256170000002</v>
          </cell>
          <cell r="K56">
            <v>870.32297229999995</v>
          </cell>
          <cell r="L56">
            <v>869.70488829999999</v>
          </cell>
          <cell r="M56">
            <v>867.61284720000003</v>
          </cell>
          <cell r="N56">
            <v>865.83427989999996</v>
          </cell>
          <cell r="O56">
            <v>865.82461780000006</v>
          </cell>
          <cell r="P56">
            <v>868.49315720000004</v>
          </cell>
          <cell r="Q56">
            <v>873.99615470000003</v>
          </cell>
          <cell r="R56">
            <v>882.34739179999997</v>
          </cell>
          <cell r="S56">
            <v>893.39550689999999</v>
          </cell>
          <cell r="T56">
            <v>906.86531049999996</v>
          </cell>
          <cell r="U56">
            <v>922.41175929999997</v>
          </cell>
          <cell r="V56">
            <v>939.25167759999999</v>
          </cell>
          <cell r="W56">
            <v>957.55449880000003</v>
          </cell>
          <cell r="X56">
            <v>976.76087619999998</v>
          </cell>
          <cell r="Y56">
            <v>996.41645919999996</v>
          </cell>
          <cell r="Z56">
            <v>1016.160036</v>
          </cell>
          <cell r="AA56">
            <v>1034.2878470000001</v>
          </cell>
          <cell r="AB56">
            <v>1052.0229360000001</v>
          </cell>
          <cell r="AC56">
            <v>1068.7166569999999</v>
          </cell>
          <cell r="AD56">
            <v>1084.1398770000001</v>
          </cell>
          <cell r="AE56">
            <v>1098.4185580000001</v>
          </cell>
          <cell r="AF56">
            <v>1111.883112</v>
          </cell>
          <cell r="AG56">
            <v>1124.945248</v>
          </cell>
          <cell r="AH56">
            <v>1137.998826</v>
          </cell>
          <cell r="AI56">
            <v>1151.3150350000001</v>
          </cell>
          <cell r="AJ56">
            <v>1165.063586</v>
          </cell>
          <cell r="AK56">
            <v>1179.336391</v>
          </cell>
        </row>
        <row r="57">
          <cell r="B57">
            <v>787.31299669999999</v>
          </cell>
          <cell r="C57">
            <v>792.53807889999996</v>
          </cell>
          <cell r="D57">
            <v>797.9436753</v>
          </cell>
          <cell r="E57">
            <v>805.76081439999996</v>
          </cell>
          <cell r="F57">
            <v>816.7444352</v>
          </cell>
          <cell r="G57">
            <v>831.02722349999999</v>
          </cell>
          <cell r="H57">
            <v>847.85146480000003</v>
          </cell>
          <cell r="I57">
            <v>866.89739320000001</v>
          </cell>
          <cell r="J57">
            <v>887.41752840000004</v>
          </cell>
          <cell r="K57">
            <v>908.56277130000001</v>
          </cell>
          <cell r="L57">
            <v>930.06710180000005</v>
          </cell>
          <cell r="M57">
            <v>950.55382610000004</v>
          </cell>
          <cell r="N57">
            <v>969.81853779999994</v>
          </cell>
          <cell r="O57">
            <v>987.6012657</v>
          </cell>
          <cell r="P57">
            <v>1003.600658</v>
          </cell>
          <cell r="Q57">
            <v>1017.6382620000001</v>
          </cell>
          <cell r="R57">
            <v>1029.8407480000001</v>
          </cell>
          <cell r="S57">
            <v>1040.613644</v>
          </cell>
          <cell r="T57">
            <v>1050.5659989999999</v>
          </cell>
          <cell r="U57">
            <v>1060.394906</v>
          </cell>
          <cell r="V57">
            <v>1070.2863279999999</v>
          </cell>
          <cell r="W57">
            <v>1081.2890500000001</v>
          </cell>
          <cell r="X57">
            <v>1093.5757289999999</v>
          </cell>
          <cell r="Y57">
            <v>1107.29458</v>
          </cell>
          <cell r="Z57">
            <v>1122.5415499999999</v>
          </cell>
          <cell r="AA57">
            <v>1137.809168</v>
          </cell>
          <cell r="AB57">
            <v>1154.5672039999999</v>
          </cell>
          <cell r="AC57">
            <v>1172.13643</v>
          </cell>
          <cell r="AD57">
            <v>1190.125976</v>
          </cell>
          <cell r="AE57">
            <v>1208.37925</v>
          </cell>
          <cell r="AF57">
            <v>1226.8619389999999</v>
          </cell>
          <cell r="AG57">
            <v>1245.5643319999999</v>
          </cell>
          <cell r="AH57">
            <v>1264.439151</v>
          </cell>
          <cell r="AI57">
            <v>1283.3842830000001</v>
          </cell>
          <cell r="AJ57">
            <v>1302.2655850000001</v>
          </cell>
          <cell r="AK57">
            <v>1320.92597</v>
          </cell>
        </row>
        <row r="58">
          <cell r="B58">
            <v>1543.08826</v>
          </cell>
          <cell r="C58">
            <v>1553.329121</v>
          </cell>
          <cell r="D58">
            <v>1563.923779</v>
          </cell>
          <cell r="E58">
            <v>1579.244923</v>
          </cell>
          <cell r="F58">
            <v>1600.772189</v>
          </cell>
          <cell r="G58">
            <v>1628.7656340000001</v>
          </cell>
          <cell r="H58">
            <v>1669.90506</v>
          </cell>
          <cell r="I58">
            <v>1691.747668</v>
          </cell>
          <cell r="J58">
            <v>1702.665931</v>
          </cell>
          <cell r="K58">
            <v>1705.7830449999999</v>
          </cell>
          <cell r="L58">
            <v>1704.571635</v>
          </cell>
          <cell r="M58">
            <v>1700.4713549999999</v>
          </cell>
          <cell r="N58">
            <v>1696.985465</v>
          </cell>
          <cell r="O58">
            <v>1696.9665279999999</v>
          </cell>
          <cell r="P58">
            <v>1702.1967119999999</v>
          </cell>
          <cell r="Q58">
            <v>1712.9822710000001</v>
          </cell>
          <cell r="R58">
            <v>1729.350216</v>
          </cell>
          <cell r="S58">
            <v>1751.003888</v>
          </cell>
          <cell r="T58">
            <v>1777.4039290000001</v>
          </cell>
          <cell r="U58">
            <v>1807.8740760000001</v>
          </cell>
          <cell r="V58">
            <v>1840.879349</v>
          </cell>
          <cell r="W58">
            <v>1876.751827</v>
          </cell>
          <cell r="X58">
            <v>1914.3952240000001</v>
          </cell>
          <cell r="Y58">
            <v>1952.919038</v>
          </cell>
          <cell r="Z58">
            <v>1991.6153139999999</v>
          </cell>
          <cell r="AA58">
            <v>2027.1447840000001</v>
          </cell>
          <cell r="AB58">
            <v>2061.9045390000001</v>
          </cell>
          <cell r="AC58">
            <v>2094.623274</v>
          </cell>
          <cell r="AD58">
            <v>2124.8518989999998</v>
          </cell>
          <cell r="AE58">
            <v>2152.8372939999999</v>
          </cell>
          <cell r="AF58">
            <v>2179.2270469999999</v>
          </cell>
          <cell r="AG58">
            <v>2204.828082</v>
          </cell>
          <cell r="AH58">
            <v>2230.4123450000002</v>
          </cell>
          <cell r="AI58">
            <v>2256.5113510000001</v>
          </cell>
          <cell r="AJ58">
            <v>2283.4577210000002</v>
          </cell>
          <cell r="AK58">
            <v>2311.4315999999999</v>
          </cell>
        </row>
        <row r="59">
          <cell r="B59">
            <v>1543.08826</v>
          </cell>
          <cell r="C59">
            <v>1553.329121</v>
          </cell>
          <cell r="D59">
            <v>1563.923779</v>
          </cell>
          <cell r="E59">
            <v>1579.244923</v>
          </cell>
          <cell r="F59">
            <v>1600.772189</v>
          </cell>
          <cell r="G59">
            <v>1628.7656340000001</v>
          </cell>
          <cell r="H59">
            <v>1661.74018</v>
          </cell>
          <cell r="I59">
            <v>1699.0691059999999</v>
          </cell>
          <cell r="J59">
            <v>1739.2873930000001</v>
          </cell>
          <cell r="K59">
            <v>1780.730855</v>
          </cell>
          <cell r="L59">
            <v>1822.8781080000001</v>
          </cell>
          <cell r="M59">
            <v>1863.0309110000001</v>
          </cell>
          <cell r="N59">
            <v>1900.7886390000001</v>
          </cell>
          <cell r="O59">
            <v>1935.6417650000001</v>
          </cell>
          <cell r="P59">
            <v>1966.9996550000001</v>
          </cell>
          <cell r="Q59">
            <v>1994.512553</v>
          </cell>
          <cell r="R59">
            <v>2018.4287240000001</v>
          </cell>
          <cell r="S59">
            <v>2039.5429810000001</v>
          </cell>
          <cell r="T59">
            <v>2059.0490260000001</v>
          </cell>
          <cell r="U59">
            <v>2078.3131199999998</v>
          </cell>
          <cell r="V59">
            <v>2097.6997390000001</v>
          </cell>
          <cell r="W59">
            <v>2119.2644409999998</v>
          </cell>
          <cell r="X59">
            <v>2143.3456259999998</v>
          </cell>
          <cell r="Y59">
            <v>2170.233788</v>
          </cell>
          <cell r="Z59">
            <v>2200.1169730000001</v>
          </cell>
          <cell r="AA59">
            <v>2230.040626</v>
          </cell>
          <cell r="AB59">
            <v>2262.8854139999999</v>
          </cell>
          <cell r="AC59">
            <v>2297.3200900000002</v>
          </cell>
          <cell r="AD59">
            <v>2332.5785660000001</v>
          </cell>
          <cell r="AE59">
            <v>2368.3539340000002</v>
          </cell>
          <cell r="AF59">
            <v>2404.5789439999999</v>
          </cell>
          <cell r="AG59">
            <v>2441.2345599999999</v>
          </cell>
          <cell r="AH59">
            <v>2478.228122</v>
          </cell>
          <cell r="AI59">
            <v>2515.359492</v>
          </cell>
          <cell r="AJ59">
            <v>2552.3657600000001</v>
          </cell>
          <cell r="AK59">
            <v>2588.939042</v>
          </cell>
        </row>
        <row r="60">
          <cell r="B60">
            <v>438.9632148</v>
          </cell>
          <cell r="C60">
            <v>441.87643839999998</v>
          </cell>
          <cell r="D60">
            <v>444.89030709999997</v>
          </cell>
          <cell r="E60">
            <v>449.2487218</v>
          </cell>
          <cell r="F60">
            <v>455.37259569999998</v>
          </cell>
          <cell r="G60">
            <v>463.33590720000001</v>
          </cell>
          <cell r="H60">
            <v>475.0388638</v>
          </cell>
          <cell r="I60">
            <v>481.25244300000003</v>
          </cell>
          <cell r="J60">
            <v>484.3583678</v>
          </cell>
          <cell r="K60">
            <v>485.24509490000003</v>
          </cell>
          <cell r="L60">
            <v>484.90048460000003</v>
          </cell>
          <cell r="M60">
            <v>483.73407550000002</v>
          </cell>
          <cell r="N60">
            <v>482.74244240000002</v>
          </cell>
          <cell r="O60">
            <v>482.73705530000001</v>
          </cell>
          <cell r="P60">
            <v>484.22488879999997</v>
          </cell>
          <cell r="Q60">
            <v>487.29306309999998</v>
          </cell>
          <cell r="R60">
            <v>491.94926190000001</v>
          </cell>
          <cell r="S60">
            <v>498.10909429999998</v>
          </cell>
          <cell r="T60">
            <v>505.61912949999999</v>
          </cell>
          <cell r="U60">
            <v>514.28698989999998</v>
          </cell>
          <cell r="V60">
            <v>523.67601909999996</v>
          </cell>
          <cell r="W60">
            <v>533.88068380000004</v>
          </cell>
          <cell r="X60">
            <v>544.58912280000004</v>
          </cell>
          <cell r="Y60">
            <v>555.54801450000002</v>
          </cell>
          <cell r="Z60">
            <v>566.55596679999996</v>
          </cell>
          <cell r="AA60">
            <v>576.66305569999997</v>
          </cell>
          <cell r="AB60">
            <v>586.55118359999994</v>
          </cell>
          <cell r="AC60">
            <v>595.85870109999996</v>
          </cell>
          <cell r="AD60">
            <v>604.45785560000002</v>
          </cell>
          <cell r="AE60">
            <v>612.4188772</v>
          </cell>
          <cell r="AF60">
            <v>619.92598559999999</v>
          </cell>
          <cell r="AG60">
            <v>627.20872699999995</v>
          </cell>
          <cell r="AH60">
            <v>634.48669710000001</v>
          </cell>
          <cell r="AI60">
            <v>641.91109659999995</v>
          </cell>
          <cell r="AJ60">
            <v>649.57654609999997</v>
          </cell>
          <cell r="AK60">
            <v>657.53429170000004</v>
          </cell>
        </row>
        <row r="61">
          <cell r="B61">
            <v>438.9632148</v>
          </cell>
          <cell r="C61">
            <v>441.87643839999998</v>
          </cell>
          <cell r="D61">
            <v>444.89030709999997</v>
          </cell>
          <cell r="E61">
            <v>449.2487218</v>
          </cell>
          <cell r="F61">
            <v>455.37259569999998</v>
          </cell>
          <cell r="G61">
            <v>463.33590720000001</v>
          </cell>
          <cell r="H61">
            <v>472.71619570000001</v>
          </cell>
          <cell r="I61">
            <v>483.33517699999999</v>
          </cell>
          <cell r="J61">
            <v>494.77609630000001</v>
          </cell>
          <cell r="K61">
            <v>506.56554199999999</v>
          </cell>
          <cell r="L61">
            <v>518.55519549999997</v>
          </cell>
          <cell r="M61">
            <v>529.97748679999995</v>
          </cell>
          <cell r="N61">
            <v>540.71844980000003</v>
          </cell>
          <cell r="O61">
            <v>550.63313860000005</v>
          </cell>
          <cell r="P61">
            <v>559.55353600000001</v>
          </cell>
          <cell r="Q61">
            <v>567.38014599999997</v>
          </cell>
          <cell r="R61">
            <v>574.18359310000005</v>
          </cell>
          <cell r="S61">
            <v>580.18997809999996</v>
          </cell>
          <cell r="T61">
            <v>585.73887409999998</v>
          </cell>
          <cell r="U61">
            <v>591.21894199999997</v>
          </cell>
          <cell r="V61">
            <v>596.73386489999996</v>
          </cell>
          <cell r="W61">
            <v>602.86838809999995</v>
          </cell>
          <cell r="X61">
            <v>609.71877700000005</v>
          </cell>
          <cell r="Y61">
            <v>617.36766790000001</v>
          </cell>
          <cell r="Z61">
            <v>625.86855500000001</v>
          </cell>
          <cell r="AA61">
            <v>634.38095399999997</v>
          </cell>
          <cell r="AB61">
            <v>643.72433000000001</v>
          </cell>
          <cell r="AC61">
            <v>653.51998219999996</v>
          </cell>
          <cell r="AD61">
            <v>663.54998149999994</v>
          </cell>
          <cell r="AE61">
            <v>673.72702119999997</v>
          </cell>
          <cell r="AF61">
            <v>684.03197069999999</v>
          </cell>
          <cell r="AG61">
            <v>694.45941519999997</v>
          </cell>
          <cell r="AH61">
            <v>704.98299529999997</v>
          </cell>
          <cell r="AI61">
            <v>715.5457778</v>
          </cell>
          <cell r="AJ61">
            <v>726.07297219999998</v>
          </cell>
          <cell r="AK61">
            <v>736.47699509999995</v>
          </cell>
        </row>
        <row r="62">
          <cell r="B62">
            <v>4446.4385229999998</v>
          </cell>
          <cell r="C62">
            <v>4475.9477610000004</v>
          </cell>
          <cell r="D62">
            <v>4506.4764740000001</v>
          </cell>
          <cell r="E62">
            <v>4550.6246440000004</v>
          </cell>
          <cell r="F62">
            <v>4612.6558750000004</v>
          </cell>
          <cell r="G62">
            <v>4693.3195260000002</v>
          </cell>
          <cell r="H62">
            <v>4811.8635750000003</v>
          </cell>
          <cell r="I62">
            <v>4874.8034690000004</v>
          </cell>
          <cell r="J62">
            <v>4906.2646549999999</v>
          </cell>
          <cell r="K62">
            <v>4915.2466770000001</v>
          </cell>
          <cell r="L62">
            <v>4911.7559789999996</v>
          </cell>
          <cell r="M62">
            <v>4899.9409420000002</v>
          </cell>
          <cell r="N62">
            <v>4889.896283</v>
          </cell>
          <cell r="O62">
            <v>4889.8417159999999</v>
          </cell>
          <cell r="P62">
            <v>4904.9125910000002</v>
          </cell>
          <cell r="Q62">
            <v>4935.9913880000004</v>
          </cell>
          <cell r="R62">
            <v>4983.1559360000001</v>
          </cell>
          <cell r="S62">
            <v>5045.5514069999999</v>
          </cell>
          <cell r="T62">
            <v>5121.6236339999996</v>
          </cell>
          <cell r="U62">
            <v>5209.423949</v>
          </cell>
          <cell r="V62">
            <v>5304.529278</v>
          </cell>
          <cell r="W62">
            <v>5407.8965150000004</v>
          </cell>
          <cell r="X62">
            <v>5516.3666869999997</v>
          </cell>
          <cell r="Y62">
            <v>5627.3737979999996</v>
          </cell>
          <cell r="Z62">
            <v>5738.877864</v>
          </cell>
          <cell r="AA62">
            <v>5841.2567140000001</v>
          </cell>
          <cell r="AB62">
            <v>5941.4176189999998</v>
          </cell>
          <cell r="AC62">
            <v>6035.6972830000004</v>
          </cell>
          <cell r="AD62">
            <v>6122.8016470000002</v>
          </cell>
          <cell r="AE62">
            <v>6203.442102</v>
          </cell>
          <cell r="AF62">
            <v>6279.484684</v>
          </cell>
          <cell r="AG62">
            <v>6353.254559</v>
          </cell>
          <cell r="AH62">
            <v>6426.9761049999997</v>
          </cell>
          <cell r="AI62">
            <v>6502.1808940000001</v>
          </cell>
          <cell r="AJ62">
            <v>6579.8273769999996</v>
          </cell>
          <cell r="AK62">
            <v>6660.4346480000004</v>
          </cell>
        </row>
        <row r="63">
          <cell r="B63">
            <v>4446.4385229999998</v>
          </cell>
          <cell r="C63">
            <v>4475.9477610000004</v>
          </cell>
          <cell r="D63">
            <v>4506.4764740000001</v>
          </cell>
          <cell r="E63">
            <v>4550.6246440000004</v>
          </cell>
          <cell r="F63">
            <v>4612.6558750000004</v>
          </cell>
          <cell r="G63">
            <v>4693.3195260000002</v>
          </cell>
          <cell r="H63">
            <v>4788.3363170000002</v>
          </cell>
          <cell r="I63">
            <v>4895.9003350000003</v>
          </cell>
          <cell r="J63">
            <v>5011.7901019999999</v>
          </cell>
          <cell r="K63">
            <v>5131.2102349999996</v>
          </cell>
          <cell r="L63">
            <v>5252.6583549999996</v>
          </cell>
          <cell r="M63">
            <v>5368.3594300000004</v>
          </cell>
          <cell r="N63">
            <v>5477.159052</v>
          </cell>
          <cell r="O63">
            <v>5577.5890040000004</v>
          </cell>
          <cell r="P63">
            <v>5667.9473690000004</v>
          </cell>
          <cell r="Q63">
            <v>5747.2263130000001</v>
          </cell>
          <cell r="R63">
            <v>5816.1412209999999</v>
          </cell>
          <cell r="S63">
            <v>5876.9823580000002</v>
          </cell>
          <cell r="T63">
            <v>5933.1894030000003</v>
          </cell>
          <cell r="U63">
            <v>5988.6992600000003</v>
          </cell>
          <cell r="V63">
            <v>6044.5621760000004</v>
          </cell>
          <cell r="W63">
            <v>6106.7012789999999</v>
          </cell>
          <cell r="X63">
            <v>6176.0916790000001</v>
          </cell>
          <cell r="Y63">
            <v>6253.5704340000002</v>
          </cell>
          <cell r="Z63">
            <v>6339.6794069999996</v>
          </cell>
          <cell r="AA63">
            <v>6425.90499</v>
          </cell>
          <cell r="AB63">
            <v>6520.5478789999997</v>
          </cell>
          <cell r="AC63">
            <v>6619.7720600000002</v>
          </cell>
          <cell r="AD63">
            <v>6721.370038</v>
          </cell>
          <cell r="AE63">
            <v>6824.4574499999999</v>
          </cell>
          <cell r="AF63">
            <v>6928.8405110000003</v>
          </cell>
          <cell r="AG63">
            <v>7034.4643749999996</v>
          </cell>
          <cell r="AH63">
            <v>7141.0620360000003</v>
          </cell>
          <cell r="AI63">
            <v>7248.0567940000001</v>
          </cell>
          <cell r="AJ63">
            <v>7354.6910669999997</v>
          </cell>
          <cell r="AK63">
            <v>7460.0776839999999</v>
          </cell>
        </row>
        <row r="64">
          <cell r="B64">
            <v>2810.4986439999998</v>
          </cell>
          <cell r="C64">
            <v>2836.3110160000001</v>
          </cell>
          <cell r="D64">
            <v>2863.4908700000001</v>
          </cell>
          <cell r="E64">
            <v>2896.6242440000001</v>
          </cell>
          <cell r="F64">
            <v>2937.2510889999999</v>
          </cell>
          <cell r="G64">
            <v>2985.6801850000002</v>
          </cell>
          <cell r="H64">
            <v>3047.6870410000001</v>
          </cell>
          <cell r="I64">
            <v>3085.4596470000001</v>
          </cell>
          <cell r="J64">
            <v>3109.4057699999998</v>
          </cell>
          <cell r="K64">
            <v>3123.861903</v>
          </cell>
          <cell r="L64">
            <v>3134.7358599999998</v>
          </cell>
          <cell r="M64">
            <v>3141.6635230000002</v>
          </cell>
          <cell r="N64">
            <v>3149.4426960000001</v>
          </cell>
          <cell r="O64">
            <v>3162.2269529999999</v>
          </cell>
          <cell r="P64">
            <v>3182.3403939999998</v>
          </cell>
          <cell r="Q64">
            <v>3209.4092970000002</v>
          </cell>
          <cell r="R64">
            <v>3243.0227</v>
          </cell>
          <cell r="S64">
            <v>3282.5446299999999</v>
          </cell>
          <cell r="T64">
            <v>3327.1733829999998</v>
          </cell>
          <cell r="U64">
            <v>3376.0526420000001</v>
          </cell>
          <cell r="V64">
            <v>3426.3907180000001</v>
          </cell>
          <cell r="W64">
            <v>3480.106894</v>
          </cell>
          <cell r="X64">
            <v>3535.918631</v>
          </cell>
          <cell r="Y64">
            <v>3592.7118700000001</v>
          </cell>
          <cell r="Z64">
            <v>3649.7137499999999</v>
          </cell>
          <cell r="AA64">
            <v>3700.1679020000001</v>
          </cell>
          <cell r="AB64">
            <v>3749.896675</v>
          </cell>
          <cell r="AC64">
            <v>3797.5396219999998</v>
          </cell>
          <cell r="AD64">
            <v>3842.427099</v>
          </cell>
          <cell r="AE64">
            <v>3884.8558240000002</v>
          </cell>
          <cell r="AF64">
            <v>3925.615397</v>
          </cell>
          <cell r="AG64">
            <v>3965.6864850000002</v>
          </cell>
          <cell r="AH64">
            <v>4006.0144150000001</v>
          </cell>
          <cell r="AI64">
            <v>4047.1516780000002</v>
          </cell>
          <cell r="AJ64">
            <v>4089.4004409999998</v>
          </cell>
          <cell r="AK64">
            <v>4132.8868069999999</v>
          </cell>
        </row>
        <row r="65">
          <cell r="B65">
            <v>2810.4986439999998</v>
          </cell>
          <cell r="C65">
            <v>2836.3110160000001</v>
          </cell>
          <cell r="D65">
            <v>2863.4908700000001</v>
          </cell>
          <cell r="E65">
            <v>2896.6242440000001</v>
          </cell>
          <cell r="F65">
            <v>2937.2510889999999</v>
          </cell>
          <cell r="G65">
            <v>2985.6801850000002</v>
          </cell>
          <cell r="H65">
            <v>3039.1198439999998</v>
          </cell>
          <cell r="I65">
            <v>3097.1597470000002</v>
          </cell>
          <cell r="J65">
            <v>3158.1377160000002</v>
          </cell>
          <cell r="K65">
            <v>3220.0435480000001</v>
          </cell>
          <cell r="L65">
            <v>3283.7592070000001</v>
          </cell>
          <cell r="M65">
            <v>3344.2352639999999</v>
          </cell>
          <cell r="N65">
            <v>3401.4056660000001</v>
          </cell>
          <cell r="O65">
            <v>3455.1407469999999</v>
          </cell>
          <cell r="P65">
            <v>3504.8005349999999</v>
          </cell>
          <cell r="Q65">
            <v>3549.8414120000002</v>
          </cell>
          <cell r="R65">
            <v>3590.5440130000002</v>
          </cell>
          <cell r="S65">
            <v>3627.9104480000001</v>
          </cell>
          <cell r="T65">
            <v>3663.4536680000001</v>
          </cell>
          <cell r="U65">
            <v>3698.8906470000002</v>
          </cell>
          <cell r="V65">
            <v>3733.6458210000001</v>
          </cell>
          <cell r="W65">
            <v>3771.352707</v>
          </cell>
          <cell r="X65">
            <v>3812.2188740000001</v>
          </cell>
          <cell r="Y65">
            <v>3856.3229030000002</v>
          </cell>
          <cell r="Z65">
            <v>3903.789753</v>
          </cell>
          <cell r="AA65">
            <v>3948.1783650000002</v>
          </cell>
          <cell r="AB65">
            <v>3995.8097499999999</v>
          </cell>
          <cell r="AC65">
            <v>4045.2817669999999</v>
          </cell>
          <cell r="AD65">
            <v>4095.565967</v>
          </cell>
          <cell r="AE65">
            <v>4146.3365199999998</v>
          </cell>
          <cell r="AF65">
            <v>4197.607293</v>
          </cell>
          <cell r="AG65">
            <v>4249.4394840000004</v>
          </cell>
          <cell r="AH65">
            <v>4301.7695059999996</v>
          </cell>
          <cell r="AI65">
            <v>4354.3669600000003</v>
          </cell>
          <cell r="AJ65">
            <v>4406.9010779999999</v>
          </cell>
          <cell r="AK65">
            <v>4458.8863970000002</v>
          </cell>
        </row>
        <row r="66">
          <cell r="B66">
            <v>54.448244729999999</v>
          </cell>
          <cell r="C66">
            <v>54.809595999999999</v>
          </cell>
          <cell r="D66">
            <v>55.183431110000001</v>
          </cell>
          <cell r="E66">
            <v>55.724041389999996</v>
          </cell>
          <cell r="F66">
            <v>56.48363621</v>
          </cell>
          <cell r="G66">
            <v>57.47139172</v>
          </cell>
          <cell r="H66">
            <v>58.923006399999998</v>
          </cell>
          <cell r="I66">
            <v>59.693728110000002</v>
          </cell>
          <cell r="J66">
            <v>60.0789817</v>
          </cell>
          <cell r="K66">
            <v>60.188969800000002</v>
          </cell>
          <cell r="L66">
            <v>60.146224940000003</v>
          </cell>
          <cell r="M66">
            <v>60.001545550000003</v>
          </cell>
          <cell r="N66">
            <v>59.878545080000002</v>
          </cell>
          <cell r="O66">
            <v>59.877876880000002</v>
          </cell>
          <cell r="P66">
            <v>60.062425189999999</v>
          </cell>
          <cell r="Q66">
            <v>60.442996270000002</v>
          </cell>
          <cell r="R66">
            <v>61.020543189999998</v>
          </cell>
          <cell r="S66">
            <v>61.784598250000002</v>
          </cell>
          <cell r="T66">
            <v>62.716130130000003</v>
          </cell>
          <cell r="U66">
            <v>63.791276680000003</v>
          </cell>
          <cell r="V66">
            <v>64.955875770000006</v>
          </cell>
          <cell r="W66">
            <v>66.221644889999993</v>
          </cell>
          <cell r="X66">
            <v>67.549901309999996</v>
          </cell>
          <cell r="Y66">
            <v>68.909223449999999</v>
          </cell>
          <cell r="Z66">
            <v>70.274630990000006</v>
          </cell>
          <cell r="AA66">
            <v>71.528296960000006</v>
          </cell>
          <cell r="AB66">
            <v>72.7548034</v>
          </cell>
          <cell r="AC66">
            <v>73.909291920000001</v>
          </cell>
          <cell r="AD66">
            <v>74.975916299999994</v>
          </cell>
          <cell r="AE66">
            <v>75.963387780000005</v>
          </cell>
          <cell r="AF66">
            <v>76.894556629999997</v>
          </cell>
          <cell r="AG66">
            <v>77.797895389999994</v>
          </cell>
          <cell r="AH66">
            <v>78.700642329999994</v>
          </cell>
          <cell r="AI66">
            <v>79.621552120000004</v>
          </cell>
          <cell r="AJ66">
            <v>80.572361330000007</v>
          </cell>
          <cell r="AK66">
            <v>81.559426459999997</v>
          </cell>
        </row>
        <row r="67">
          <cell r="B67">
            <v>54.448244729999999</v>
          </cell>
          <cell r="C67">
            <v>54.809595999999999</v>
          </cell>
          <cell r="D67">
            <v>55.183431110000001</v>
          </cell>
          <cell r="E67">
            <v>55.724041389999996</v>
          </cell>
          <cell r="F67">
            <v>56.48363621</v>
          </cell>
          <cell r="G67">
            <v>57.47139172</v>
          </cell>
          <cell r="H67">
            <v>58.634906620000002</v>
          </cell>
          <cell r="I67">
            <v>59.952066860000002</v>
          </cell>
          <cell r="J67">
            <v>61.371178890000003</v>
          </cell>
          <cell r="K67">
            <v>62.833521519999998</v>
          </cell>
          <cell r="L67">
            <v>64.320697589999995</v>
          </cell>
          <cell r="M67">
            <v>65.737499020000001</v>
          </cell>
          <cell r="N67">
            <v>67.069789659999998</v>
          </cell>
          <cell r="O67">
            <v>68.299590670000001</v>
          </cell>
          <cell r="P67">
            <v>69.406061469999997</v>
          </cell>
          <cell r="Q67">
            <v>70.37686076</v>
          </cell>
          <cell r="R67">
            <v>71.22074868</v>
          </cell>
          <cell r="S67">
            <v>71.965770370000001</v>
          </cell>
          <cell r="T67">
            <v>72.654045920000002</v>
          </cell>
          <cell r="U67">
            <v>73.333784159999993</v>
          </cell>
          <cell r="V67">
            <v>74.017845730000005</v>
          </cell>
          <cell r="W67">
            <v>74.77876148</v>
          </cell>
          <cell r="X67">
            <v>75.628471970000007</v>
          </cell>
          <cell r="Y67">
            <v>76.577227289999996</v>
          </cell>
          <cell r="Z67">
            <v>77.631662750000004</v>
          </cell>
          <cell r="AA67">
            <v>78.687526140000003</v>
          </cell>
          <cell r="AB67">
            <v>79.84646248</v>
          </cell>
          <cell r="AC67">
            <v>81.061498389999997</v>
          </cell>
          <cell r="AD67">
            <v>82.305602309999998</v>
          </cell>
          <cell r="AE67">
            <v>83.567944870000005</v>
          </cell>
          <cell r="AF67">
            <v>84.846153139999998</v>
          </cell>
          <cell r="AG67">
            <v>86.139555479999999</v>
          </cell>
          <cell r="AH67">
            <v>87.444882320000005</v>
          </cell>
          <cell r="AI67">
            <v>88.755071749999999</v>
          </cell>
          <cell r="AJ67">
            <v>90.060846909999995</v>
          </cell>
          <cell r="AK67">
            <v>91.351344069999996</v>
          </cell>
        </row>
      </sheetData>
      <sheetData sheetId="4">
        <row r="2">
          <cell r="B2">
            <v>8842603.023</v>
          </cell>
          <cell r="C2">
            <v>8946732.2760000005</v>
          </cell>
          <cell r="D2">
            <v>9053431.7170000002</v>
          </cell>
          <cell r="E2">
            <v>9163660.0549999997</v>
          </cell>
          <cell r="F2">
            <v>9277663.6610000003</v>
          </cell>
          <cell r="G2">
            <v>9395208.9309999999</v>
          </cell>
          <cell r="H2">
            <v>9516480.1339999996</v>
          </cell>
          <cell r="I2">
            <v>9640105.4969999995</v>
          </cell>
          <cell r="J2">
            <v>9765071.5769999996</v>
          </cell>
          <cell r="K2">
            <v>9891143.4969999995</v>
          </cell>
          <cell r="L2">
            <v>10018615.550000001</v>
          </cell>
          <cell r="M2">
            <v>10148733.32</v>
          </cell>
          <cell r="N2">
            <v>10282120.58</v>
          </cell>
          <cell r="O2">
            <v>10419084.73</v>
          </cell>
          <cell r="P2">
            <v>10559730.369999999</v>
          </cell>
          <cell r="Q2">
            <v>10704058.84</v>
          </cell>
          <cell r="R2">
            <v>10852067.77</v>
          </cell>
          <cell r="S2">
            <v>11003816.77</v>
          </cell>
          <cell r="T2">
            <v>11159442.460000001</v>
          </cell>
          <cell r="U2">
            <v>11319130.699999999</v>
          </cell>
          <cell r="V2">
            <v>11483086.039999999</v>
          </cell>
          <cell r="W2">
            <v>11651130.35</v>
          </cell>
          <cell r="X2">
            <v>11823439.52</v>
          </cell>
          <cell r="Y2">
            <v>12000173.17</v>
          </cell>
          <cell r="Z2">
            <v>12181392.380000001</v>
          </cell>
          <cell r="AA2">
            <v>12366987.76</v>
          </cell>
          <cell r="AB2">
            <v>12556165.529999999</v>
          </cell>
          <cell r="AC2">
            <v>12748761.91</v>
          </cell>
          <cell r="AD2">
            <v>12944850.98</v>
          </cell>
          <cell r="AE2">
            <v>13144563.34</v>
          </cell>
          <cell r="AF2">
            <v>13347988.58</v>
          </cell>
          <cell r="AG2">
            <v>13555137.51</v>
          </cell>
          <cell r="AH2">
            <v>13765954.210000001</v>
          </cell>
          <cell r="AI2">
            <v>13980355.539999999</v>
          </cell>
          <cell r="AJ2">
            <v>14198273.310000001</v>
          </cell>
          <cell r="AK2">
            <v>14419679.5</v>
          </cell>
        </row>
        <row r="3">
          <cell r="B3">
            <v>8842603.023</v>
          </cell>
          <cell r="C3">
            <v>8946732.2760000005</v>
          </cell>
          <cell r="D3">
            <v>9053431.7170000002</v>
          </cell>
          <cell r="E3">
            <v>9163660.0549999997</v>
          </cell>
          <cell r="F3">
            <v>9277663.6610000003</v>
          </cell>
          <cell r="G3">
            <v>9395208.9309999999</v>
          </cell>
          <cell r="H3">
            <v>9516012.727</v>
          </cell>
          <cell r="I3">
            <v>9639566.1620000005</v>
          </cell>
          <cell r="J3">
            <v>9765575.6420000009</v>
          </cell>
          <cell r="K3">
            <v>9894005.5260000005</v>
          </cell>
          <cell r="L3">
            <v>10024843.51</v>
          </cell>
          <cell r="M3">
            <v>10158771.48</v>
          </cell>
          <cell r="N3">
            <v>10295780.380000001</v>
          </cell>
          <cell r="O3">
            <v>10435680.98</v>
          </cell>
          <cell r="P3">
            <v>10578320.52</v>
          </cell>
          <cell r="Q3">
            <v>10723675.449999999</v>
          </cell>
          <cell r="R3">
            <v>10871870.039999999</v>
          </cell>
          <cell r="S3">
            <v>11023143.42</v>
          </cell>
          <cell r="T3">
            <v>11177791.52</v>
          </cell>
          <cell r="U3">
            <v>11336109.390000001</v>
          </cell>
          <cell r="V3">
            <v>11498363</v>
          </cell>
          <cell r="W3">
            <v>11664432.41</v>
          </cell>
          <cell r="X3">
            <v>11834556.960000001</v>
          </cell>
          <cell r="Y3">
            <v>12008981.890000001</v>
          </cell>
          <cell r="Z3">
            <v>12187874.34</v>
          </cell>
          <cell r="AA3">
            <v>12371234.550000001</v>
          </cell>
          <cell r="AB3">
            <v>12558369.460000001</v>
          </cell>
          <cell r="AC3">
            <v>12749175.92</v>
          </cell>
          <cell r="AD3">
            <v>12943746.27</v>
          </cell>
          <cell r="AE3">
            <v>13142194.15</v>
          </cell>
          <cell r="AF3">
            <v>13344569.93</v>
          </cell>
          <cell r="AG3">
            <v>13550836.41</v>
          </cell>
          <cell r="AH3">
            <v>13760890.73</v>
          </cell>
          <cell r="AI3">
            <v>13974609.539999999</v>
          </cell>
          <cell r="AJ3">
            <v>14191892.35</v>
          </cell>
          <cell r="AK3">
            <v>14412685.17</v>
          </cell>
        </row>
        <row r="4">
          <cell r="B4">
            <v>181382.44390000001</v>
          </cell>
          <cell r="C4">
            <v>183399.76560000001</v>
          </cell>
          <cell r="D4">
            <v>185298.91099999999</v>
          </cell>
          <cell r="E4">
            <v>187092.33350000001</v>
          </cell>
          <cell r="F4">
            <v>188807.87640000001</v>
          </cell>
          <cell r="G4">
            <v>190474.80619999999</v>
          </cell>
          <cell r="H4">
            <v>192113.10159999999</v>
          </cell>
          <cell r="I4">
            <v>193731.37400000001</v>
          </cell>
          <cell r="J4">
            <v>195333.7703</v>
          </cell>
          <cell r="K4">
            <v>196922.8118</v>
          </cell>
          <cell r="L4">
            <v>198508.1514</v>
          </cell>
          <cell r="M4">
            <v>200086.6814</v>
          </cell>
          <cell r="N4">
            <v>201649.98819999999</v>
          </cell>
          <cell r="O4">
            <v>203185.7187</v>
          </cell>
          <cell r="P4">
            <v>204679.8749</v>
          </cell>
          <cell r="Q4">
            <v>206119.3872</v>
          </cell>
          <cell r="R4">
            <v>207494.1544</v>
          </cell>
          <cell r="S4">
            <v>208798.08549999999</v>
          </cell>
          <cell r="T4">
            <v>210029.1115</v>
          </cell>
          <cell r="U4">
            <v>211188.45680000001</v>
          </cell>
          <cell r="V4">
            <v>212273.67559999999</v>
          </cell>
          <cell r="W4">
            <v>213290.8137</v>
          </cell>
          <cell r="X4">
            <v>214246.9859</v>
          </cell>
          <cell r="Y4">
            <v>215149.16680000001</v>
          </cell>
          <cell r="Z4">
            <v>216003.5753</v>
          </cell>
          <cell r="AA4">
            <v>216799.29749999999</v>
          </cell>
          <cell r="AB4">
            <v>217537.54680000001</v>
          </cell>
          <cell r="AC4">
            <v>218222.2083</v>
          </cell>
          <cell r="AD4">
            <v>218858.58040000001</v>
          </cell>
          <cell r="AE4">
            <v>219452.10870000001</v>
          </cell>
          <cell r="AF4">
            <v>220007.46290000001</v>
          </cell>
          <cell r="AG4">
            <v>220528.16699999999</v>
          </cell>
          <cell r="AH4">
            <v>221016.71660000001</v>
          </cell>
          <cell r="AI4">
            <v>221474.95699999999</v>
          </cell>
          <cell r="AJ4">
            <v>221904.4779</v>
          </cell>
          <cell r="AK4">
            <v>222306.86180000001</v>
          </cell>
        </row>
        <row r="5">
          <cell r="B5">
            <v>181382.44390000001</v>
          </cell>
          <cell r="C5">
            <v>183399.76560000001</v>
          </cell>
          <cell r="D5">
            <v>185298.91099999999</v>
          </cell>
          <cell r="E5">
            <v>187092.33350000001</v>
          </cell>
          <cell r="F5">
            <v>188807.87640000001</v>
          </cell>
          <cell r="G5">
            <v>190474.80619999999</v>
          </cell>
          <cell r="H5">
            <v>192113.20610000001</v>
          </cell>
          <cell r="I5">
            <v>193735.78760000001</v>
          </cell>
          <cell r="J5">
            <v>195348.8364</v>
          </cell>
          <cell r="K5">
            <v>196952.8749</v>
          </cell>
          <cell r="L5">
            <v>198551.77170000001</v>
          </cell>
          <cell r="M5">
            <v>200135.49110000001</v>
          </cell>
          <cell r="N5">
            <v>201689.6678</v>
          </cell>
          <cell r="O5">
            <v>203198.94349999999</v>
          </cell>
          <cell r="P5">
            <v>204649.864</v>
          </cell>
          <cell r="Q5">
            <v>206032.73379999999</v>
          </cell>
          <cell r="R5">
            <v>207342.23980000001</v>
          </cell>
          <cell r="S5">
            <v>208577.08</v>
          </cell>
          <cell r="T5">
            <v>209739.03450000001</v>
          </cell>
          <cell r="U5">
            <v>210831.89939999999</v>
          </cell>
          <cell r="V5">
            <v>211854.6629</v>
          </cell>
          <cell r="W5">
            <v>212814.07560000001</v>
          </cell>
          <cell r="X5">
            <v>213717.50820000001</v>
          </cell>
          <cell r="Y5">
            <v>214572.00210000001</v>
          </cell>
          <cell r="Z5">
            <v>215383.74290000001</v>
          </cell>
          <cell r="AA5">
            <v>216141.74799999999</v>
          </cell>
          <cell r="AB5">
            <v>216846.89199999999</v>
          </cell>
          <cell r="AC5">
            <v>217502.42480000001</v>
          </cell>
          <cell r="AD5">
            <v>218112.79070000001</v>
          </cell>
          <cell r="AE5">
            <v>218682.508</v>
          </cell>
          <cell r="AF5">
            <v>219215.40479999999</v>
          </cell>
          <cell r="AG5">
            <v>219714.3732</v>
          </cell>
          <cell r="AH5">
            <v>220181.54380000001</v>
          </cell>
          <cell r="AI5">
            <v>220618.65770000001</v>
          </cell>
          <cell r="AJ5">
            <v>221027.40700000001</v>
          </cell>
          <cell r="AK5">
            <v>221409.6097</v>
          </cell>
        </row>
        <row r="6">
          <cell r="B6">
            <v>14498.30163</v>
          </cell>
          <cell r="C6">
            <v>14647.617969999999</v>
          </cell>
          <cell r="D6">
            <v>14776.09561</v>
          </cell>
          <cell r="E6">
            <v>14885.80514</v>
          </cell>
          <cell r="F6">
            <v>14979.79552</v>
          </cell>
          <cell r="G6">
            <v>15060.990519999999</v>
          </cell>
          <cell r="H6">
            <v>15135.28247</v>
          </cell>
          <cell r="I6">
            <v>15201.83402</v>
          </cell>
          <cell r="J6">
            <v>15260.574989999999</v>
          </cell>
          <cell r="K6">
            <v>15312.36429</v>
          </cell>
          <cell r="L6">
            <v>15359.79098</v>
          </cell>
          <cell r="M6">
            <v>15403.31524</v>
          </cell>
          <cell r="N6">
            <v>15443.86383</v>
          </cell>
          <cell r="O6">
            <v>15482.512210000001</v>
          </cell>
          <cell r="P6">
            <v>15520.21307</v>
          </cell>
          <cell r="Q6">
            <v>15557.74901</v>
          </cell>
          <cell r="R6">
            <v>15595.79369</v>
          </cell>
          <cell r="S6">
            <v>15634.976479999999</v>
          </cell>
          <cell r="T6">
            <v>15675.91178</v>
          </cell>
          <cell r="U6">
            <v>15719.193240000001</v>
          </cell>
          <cell r="V6">
            <v>15764.516030000001</v>
          </cell>
          <cell r="W6">
            <v>15812.98941</v>
          </cell>
          <cell r="X6">
            <v>15865.30204</v>
          </cell>
          <cell r="Y6">
            <v>15921.808010000001</v>
          </cell>
          <cell r="Z6">
            <v>15982.7065</v>
          </cell>
          <cell r="AA6">
            <v>16045.636500000001</v>
          </cell>
          <cell r="AB6">
            <v>16111.519749999999</v>
          </cell>
          <cell r="AC6">
            <v>16181.01001</v>
          </cell>
          <cell r="AD6">
            <v>16254.4071</v>
          </cell>
          <cell r="AE6">
            <v>16331.87789</v>
          </cell>
          <cell r="AF6">
            <v>16413.540860000001</v>
          </cell>
          <cell r="AG6">
            <v>16499.481199999998</v>
          </cell>
          <cell r="AH6">
            <v>16589.758229999999</v>
          </cell>
          <cell r="AI6">
            <v>16684.419140000002</v>
          </cell>
          <cell r="AJ6">
            <v>16783.51712</v>
          </cell>
          <cell r="AK6">
            <v>16887.124319999999</v>
          </cell>
        </row>
        <row r="7">
          <cell r="B7">
            <v>14498.30163</v>
          </cell>
          <cell r="C7">
            <v>14647.617969999999</v>
          </cell>
          <cell r="D7">
            <v>14776.09561</v>
          </cell>
          <cell r="E7">
            <v>14885.80514</v>
          </cell>
          <cell r="F7">
            <v>14979.79552</v>
          </cell>
          <cell r="G7">
            <v>15060.990519999999</v>
          </cell>
          <cell r="H7">
            <v>15131.173870000001</v>
          </cell>
          <cell r="I7">
            <v>15192.4414</v>
          </cell>
          <cell r="J7">
            <v>15246.82423</v>
          </cell>
          <cell r="K7">
            <v>15296.092850000001</v>
          </cell>
          <cell r="L7">
            <v>15342.945449999999</v>
          </cell>
          <cell r="M7">
            <v>15387.611360000001</v>
          </cell>
          <cell r="N7">
            <v>15430.593699999999</v>
          </cell>
          <cell r="O7">
            <v>15472.49555</v>
          </cell>
          <cell r="P7">
            <v>15513.85319</v>
          </cell>
          <cell r="Q7">
            <v>15555.145640000001</v>
          </cell>
          <cell r="R7">
            <v>15596.8462</v>
          </cell>
          <cell r="S7">
            <v>15639.450059999999</v>
          </cell>
          <cell r="T7">
            <v>15683.47143</v>
          </cell>
          <cell r="U7">
            <v>15729.42405</v>
          </cell>
          <cell r="V7">
            <v>15776.942800000001</v>
          </cell>
          <cell r="W7">
            <v>15827.113649999999</v>
          </cell>
          <cell r="X7">
            <v>15880.64624</v>
          </cell>
          <cell r="Y7">
            <v>15937.965190000001</v>
          </cell>
          <cell r="Z7">
            <v>15999.38377</v>
          </cell>
          <cell r="AA7">
            <v>16062.68914</v>
          </cell>
          <cell r="AB7">
            <v>16128.95204</v>
          </cell>
          <cell r="AC7">
            <v>16198.96033</v>
          </cell>
          <cell r="AD7">
            <v>16273.12032</v>
          </cell>
          <cell r="AE7">
            <v>16351.671619999999</v>
          </cell>
          <cell r="AF7">
            <v>16434.77245</v>
          </cell>
          <cell r="AG7">
            <v>16522.518680000001</v>
          </cell>
          <cell r="AH7">
            <v>16614.95564</v>
          </cell>
          <cell r="AI7">
            <v>16712.098139999998</v>
          </cell>
          <cell r="AJ7">
            <v>16813.953570000001</v>
          </cell>
          <cell r="AK7">
            <v>16920.536670000001</v>
          </cell>
        </row>
        <row r="8">
          <cell r="B8">
            <v>75645.214089999994</v>
          </cell>
          <cell r="C8">
            <v>76519.110490000006</v>
          </cell>
          <cell r="D8">
            <v>77374.572010000004</v>
          </cell>
          <cell r="E8">
            <v>78208.766000000003</v>
          </cell>
          <cell r="F8">
            <v>79021.177349999998</v>
          </cell>
          <cell r="G8">
            <v>79811.043369999999</v>
          </cell>
          <cell r="H8">
            <v>80574.752630000003</v>
          </cell>
          <cell r="I8">
            <v>81308.999039999995</v>
          </cell>
          <cell r="J8">
            <v>82011.999720000007</v>
          </cell>
          <cell r="K8">
            <v>82685.565539999996</v>
          </cell>
          <cell r="L8">
            <v>83339.138149999999</v>
          </cell>
          <cell r="M8">
            <v>83975.899340000004</v>
          </cell>
          <cell r="N8">
            <v>84595.654899999994</v>
          </cell>
          <cell r="O8">
            <v>85195.085709999999</v>
          </cell>
          <cell r="P8">
            <v>85768.996280000007</v>
          </cell>
          <cell r="Q8">
            <v>86311.956770000004</v>
          </cell>
          <cell r="R8">
            <v>86819.669110000003</v>
          </cell>
          <cell r="S8">
            <v>87289.69025</v>
          </cell>
          <cell r="T8">
            <v>87721.480649999998</v>
          </cell>
          <cell r="U8">
            <v>88115.991899999994</v>
          </cell>
          <cell r="V8">
            <v>88471.670700000002</v>
          </cell>
          <cell r="W8">
            <v>88791.602220000001</v>
          </cell>
          <cell r="X8">
            <v>89079.534759999995</v>
          </cell>
          <cell r="Y8">
            <v>89339.063290000006</v>
          </cell>
          <cell r="Z8">
            <v>89573.324659999998</v>
          </cell>
          <cell r="AA8">
            <v>89775.745360000001</v>
          </cell>
          <cell r="AB8">
            <v>89946.997889999999</v>
          </cell>
          <cell r="AC8">
            <v>90090.131940000007</v>
          </cell>
          <cell r="AD8">
            <v>90209.301959999997</v>
          </cell>
          <cell r="AE8">
            <v>90308.663650000002</v>
          </cell>
          <cell r="AF8">
            <v>90391.683510000003</v>
          </cell>
          <cell r="AG8">
            <v>90460.928769999999</v>
          </cell>
          <cell r="AH8">
            <v>90518.222869999998</v>
          </cell>
          <cell r="AI8">
            <v>90564.964630000002</v>
          </cell>
          <cell r="AJ8">
            <v>90602.422319999998</v>
          </cell>
          <cell r="AK8">
            <v>90631.891499999998</v>
          </cell>
        </row>
        <row r="9">
          <cell r="B9">
            <v>75645.214089999994</v>
          </cell>
          <cell r="C9">
            <v>76519.110490000006</v>
          </cell>
          <cell r="D9">
            <v>77374.572010000004</v>
          </cell>
          <cell r="E9">
            <v>78208.766000000003</v>
          </cell>
          <cell r="F9">
            <v>79021.177349999998</v>
          </cell>
          <cell r="G9">
            <v>79811.043369999999</v>
          </cell>
          <cell r="H9">
            <v>80574.496190000005</v>
          </cell>
          <cell r="I9">
            <v>81307.564240000007</v>
          </cell>
          <cell r="J9">
            <v>82007.466539999994</v>
          </cell>
          <cell r="K9">
            <v>82672.567909999998</v>
          </cell>
          <cell r="L9">
            <v>83306.705409999995</v>
          </cell>
          <cell r="M9">
            <v>83907.683709999998</v>
          </cell>
          <cell r="N9">
            <v>84471.854600000006</v>
          </cell>
          <cell r="O9">
            <v>84995.670429999998</v>
          </cell>
          <cell r="P9">
            <v>85476.996979999996</v>
          </cell>
          <cell r="Q9">
            <v>85915.763630000001</v>
          </cell>
          <cell r="R9">
            <v>86313.888720000003</v>
          </cell>
          <cell r="S9">
            <v>86674.702929999999</v>
          </cell>
          <cell r="T9">
            <v>87002.195009999996</v>
          </cell>
          <cell r="U9">
            <v>87300.355020000003</v>
          </cell>
          <cell r="V9">
            <v>87569.392940000005</v>
          </cell>
          <cell r="W9">
            <v>87813.145910000007</v>
          </cell>
          <cell r="X9">
            <v>88035.435419999994</v>
          </cell>
          <cell r="Y9">
            <v>88239.510479999997</v>
          </cell>
          <cell r="Z9">
            <v>88427.869959999996</v>
          </cell>
          <cell r="AA9">
            <v>88593.222829999999</v>
          </cell>
          <cell r="AB9">
            <v>88735.140889999995</v>
          </cell>
          <cell r="AC9">
            <v>88855.308550000002</v>
          </cell>
          <cell r="AD9">
            <v>88956.398799999995</v>
          </cell>
          <cell r="AE9">
            <v>89041.149879999997</v>
          </cell>
          <cell r="AF9">
            <v>89111.836769999994</v>
          </cell>
          <cell r="AG9">
            <v>89170.165540000002</v>
          </cell>
          <cell r="AH9">
            <v>89217.459740000006</v>
          </cell>
          <cell r="AI9">
            <v>89254.947150000007</v>
          </cell>
          <cell r="AJ9">
            <v>89283.981419999996</v>
          </cell>
          <cell r="AK9">
            <v>89306.113200000007</v>
          </cell>
        </row>
        <row r="10">
          <cell r="B10">
            <v>124596.7108</v>
          </cell>
          <cell r="C10">
            <v>126049.6709</v>
          </cell>
          <cell r="D10">
            <v>127535.86629999999</v>
          </cell>
          <cell r="E10">
            <v>129074.59239999999</v>
          </cell>
          <cell r="F10">
            <v>130668.3278</v>
          </cell>
          <cell r="G10">
            <v>132311.3242</v>
          </cell>
          <cell r="H10">
            <v>133988.85339999999</v>
          </cell>
          <cell r="I10">
            <v>135689.02480000001</v>
          </cell>
          <cell r="J10">
            <v>137403.4086</v>
          </cell>
          <cell r="K10">
            <v>139131.3314</v>
          </cell>
          <cell r="L10">
            <v>140894.61439999999</v>
          </cell>
          <cell r="M10">
            <v>142693.2206</v>
          </cell>
          <cell r="N10">
            <v>144529.9975</v>
          </cell>
          <cell r="O10">
            <v>146406.18890000001</v>
          </cell>
          <cell r="P10">
            <v>148320.4002</v>
          </cell>
          <cell r="Q10">
            <v>150269.61170000001</v>
          </cell>
          <cell r="R10">
            <v>152250.73130000001</v>
          </cell>
          <cell r="S10">
            <v>154261.7868</v>
          </cell>
          <cell r="T10">
            <v>156302.3841</v>
          </cell>
          <cell r="U10">
            <v>158373.49179999999</v>
          </cell>
          <cell r="V10">
            <v>160465.23629999999</v>
          </cell>
          <cell r="W10">
            <v>162586.41519999999</v>
          </cell>
          <cell r="X10">
            <v>164742.5123</v>
          </cell>
          <cell r="Y10">
            <v>166936.8357</v>
          </cell>
          <cell r="Z10">
            <v>169171.11129999999</v>
          </cell>
          <cell r="AA10">
            <v>171412.1752</v>
          </cell>
          <cell r="AB10">
            <v>173665.13829999999</v>
          </cell>
          <cell r="AC10">
            <v>175935.16500000001</v>
          </cell>
          <cell r="AD10">
            <v>178227.3842</v>
          </cell>
          <cell r="AE10">
            <v>180546.41769999999</v>
          </cell>
          <cell r="AF10">
            <v>182895.69750000001</v>
          </cell>
          <cell r="AG10">
            <v>185277.155</v>
          </cell>
          <cell r="AH10">
            <v>187691.42139999999</v>
          </cell>
          <cell r="AI10">
            <v>190138.37</v>
          </cell>
          <cell r="AJ10">
            <v>192617.71830000001</v>
          </cell>
          <cell r="AK10">
            <v>195129.44589999999</v>
          </cell>
        </row>
        <row r="11">
          <cell r="B11">
            <v>124596.7108</v>
          </cell>
          <cell r="C11">
            <v>126049.6709</v>
          </cell>
          <cell r="D11">
            <v>127535.86629999999</v>
          </cell>
          <cell r="E11">
            <v>129074.59239999999</v>
          </cell>
          <cell r="F11">
            <v>130668.3278</v>
          </cell>
          <cell r="G11">
            <v>132311.3242</v>
          </cell>
          <cell r="H11">
            <v>133988.0227</v>
          </cell>
          <cell r="I11">
            <v>135689.8799</v>
          </cell>
          <cell r="J11">
            <v>137413.96859999999</v>
          </cell>
          <cell r="K11">
            <v>139161.15049999999</v>
          </cell>
          <cell r="L11">
            <v>140949.448</v>
          </cell>
          <cell r="M11">
            <v>142772.13680000001</v>
          </cell>
          <cell r="N11">
            <v>144625.03090000001</v>
          </cell>
          <cell r="O11">
            <v>146504.37059999999</v>
          </cell>
          <cell r="P11">
            <v>148406.9822</v>
          </cell>
          <cell r="Q11">
            <v>150331.08780000001</v>
          </cell>
          <cell r="R11">
            <v>152276.69880000001</v>
          </cell>
          <cell r="S11">
            <v>154245.38099999999</v>
          </cell>
          <cell r="T11">
            <v>156239.61670000001</v>
          </cell>
          <cell r="U11">
            <v>158262.1041</v>
          </cell>
          <cell r="V11">
            <v>160303.63589999999</v>
          </cell>
          <cell r="W11">
            <v>162373.0711</v>
          </cell>
          <cell r="X11">
            <v>164475.7782</v>
          </cell>
          <cell r="Y11">
            <v>166615.0791</v>
          </cell>
          <cell r="Z11">
            <v>168792.95550000001</v>
          </cell>
          <cell r="AA11">
            <v>170976.8806</v>
          </cell>
          <cell r="AB11">
            <v>173172.3665</v>
          </cell>
          <cell r="AC11">
            <v>175384.74600000001</v>
          </cell>
          <cell r="AD11">
            <v>177619.03760000001</v>
          </cell>
          <cell r="AE11">
            <v>179879.54010000001</v>
          </cell>
          <cell r="AF11">
            <v>182169.28909999999</v>
          </cell>
          <cell r="AG11">
            <v>184489.88500000001</v>
          </cell>
          <cell r="AH11">
            <v>186841.77979999999</v>
          </cell>
          <cell r="AI11">
            <v>189224.84090000001</v>
          </cell>
          <cell r="AJ11">
            <v>191638.92259999999</v>
          </cell>
          <cell r="AK11">
            <v>194084.22150000001</v>
          </cell>
        </row>
        <row r="13">
          <cell r="B13">
            <v>17708.482950000001</v>
          </cell>
          <cell r="C13">
            <v>17951.25891</v>
          </cell>
          <cell r="D13">
            <v>18242.37959</v>
          </cell>
          <cell r="E13">
            <v>18572.735929999999</v>
          </cell>
          <cell r="F13">
            <v>18927.32401</v>
          </cell>
          <cell r="G13">
            <v>19294.318319999998</v>
          </cell>
          <cell r="H13">
            <v>19655.975579999998</v>
          </cell>
          <cell r="I13">
            <v>20010.412670000002</v>
          </cell>
          <cell r="J13">
            <v>20360.173640000001</v>
          </cell>
          <cell r="K13">
            <v>20707.85399</v>
          </cell>
          <cell r="L13">
            <v>21070.976999999999</v>
          </cell>
          <cell r="M13">
            <v>21433.215230000002</v>
          </cell>
          <cell r="N13">
            <v>21791.476890000002</v>
          </cell>
          <cell r="O13">
            <v>22147.265370000001</v>
          </cell>
          <cell r="P13">
            <v>22502.217949999998</v>
          </cell>
          <cell r="Q13">
            <v>22857.558730000001</v>
          </cell>
          <cell r="R13">
            <v>23214.40884</v>
          </cell>
          <cell r="S13">
            <v>23573.97364</v>
          </cell>
          <cell r="T13">
            <v>23937.508010000001</v>
          </cell>
          <cell r="U13">
            <v>24306.179220000002</v>
          </cell>
          <cell r="V13">
            <v>24669.708879999998</v>
          </cell>
          <cell r="W13">
            <v>25040.924869999999</v>
          </cell>
          <cell r="X13">
            <v>25423.389330000002</v>
          </cell>
          <cell r="Y13">
            <v>25816.574570000001</v>
          </cell>
          <cell r="Z13">
            <v>26219.373439999999</v>
          </cell>
          <cell r="AA13">
            <v>26597.880099999998</v>
          </cell>
          <cell r="AB13">
            <v>26974.063269999999</v>
          </cell>
          <cell r="AC13">
            <v>27357.464950000001</v>
          </cell>
          <cell r="AD13">
            <v>27750.06279</v>
          </cell>
          <cell r="AE13">
            <v>28151.70451</v>
          </cell>
          <cell r="AF13">
            <v>28561.83553</v>
          </cell>
          <cell r="AG13">
            <v>28979.82303</v>
          </cell>
          <cell r="AH13">
            <v>29405.00992</v>
          </cell>
          <cell r="AI13">
            <v>29836.795979999999</v>
          </cell>
          <cell r="AJ13">
            <v>30274.740819999999</v>
          </cell>
          <cell r="AK13">
            <v>30718.624339999998</v>
          </cell>
        </row>
        <row r="14">
          <cell r="B14">
            <v>21942.22134</v>
          </cell>
          <cell r="C14">
            <v>22199.989580000001</v>
          </cell>
          <cell r="D14">
            <v>22463.59533</v>
          </cell>
          <cell r="E14">
            <v>22737.277529999999</v>
          </cell>
          <cell r="F14">
            <v>23023.2255</v>
          </cell>
          <cell r="G14">
            <v>23321.721160000001</v>
          </cell>
          <cell r="H14">
            <v>23633.539949999998</v>
          </cell>
          <cell r="I14">
            <v>23955.319479999998</v>
          </cell>
          <cell r="J14">
            <v>24284.050480000002</v>
          </cell>
          <cell r="K14">
            <v>24618.60151</v>
          </cell>
          <cell r="L14">
            <v>24958.792369999999</v>
          </cell>
          <cell r="M14">
            <v>25308.457030000001</v>
          </cell>
          <cell r="N14">
            <v>25669.17481</v>
          </cell>
          <cell r="O14">
            <v>26041.43172</v>
          </cell>
          <cell r="P14">
            <v>26425.161169999999</v>
          </cell>
          <cell r="Q14">
            <v>26820.05602</v>
          </cell>
          <cell r="R14">
            <v>27225.826300000001</v>
          </cell>
          <cell r="S14">
            <v>27642.371070000001</v>
          </cell>
          <cell r="T14">
            <v>28069.822219999998</v>
          </cell>
          <cell r="U14">
            <v>28508.473679999999</v>
          </cell>
          <cell r="V14">
            <v>28959.04621</v>
          </cell>
          <cell r="W14">
            <v>29420.348539999999</v>
          </cell>
          <cell r="X14">
            <v>29892.629509999999</v>
          </cell>
          <cell r="Y14">
            <v>30376.30631</v>
          </cell>
          <cell r="Z14">
            <v>30871.535349999998</v>
          </cell>
          <cell r="AA14">
            <v>31378.9431</v>
          </cell>
          <cell r="AB14">
            <v>31895.11778</v>
          </cell>
          <cell r="AC14">
            <v>32419.032790000001</v>
          </cell>
          <cell r="AD14">
            <v>32950.740319999997</v>
          </cell>
          <cell r="AE14">
            <v>33490.58524</v>
          </cell>
          <cell r="AF14">
            <v>34038.831890000001</v>
          </cell>
          <cell r="AG14">
            <v>34595.525730000001</v>
          </cell>
          <cell r="AH14">
            <v>35160.51309</v>
          </cell>
          <cell r="AI14">
            <v>35733.547530000003</v>
          </cell>
          <cell r="AJ14">
            <v>36314.408960000001</v>
          </cell>
          <cell r="AK14">
            <v>36902.980710000003</v>
          </cell>
        </row>
        <row r="15">
          <cell r="B15">
            <v>21942.22134</v>
          </cell>
          <cell r="C15">
            <v>22199.989580000001</v>
          </cell>
          <cell r="D15">
            <v>22463.59533</v>
          </cell>
          <cell r="E15">
            <v>22737.277529999999</v>
          </cell>
          <cell r="F15">
            <v>23023.2255</v>
          </cell>
          <cell r="G15">
            <v>23321.721160000001</v>
          </cell>
          <cell r="H15">
            <v>23632.72508</v>
          </cell>
          <cell r="I15">
            <v>23954.727790000001</v>
          </cell>
          <cell r="J15">
            <v>24286.553449999999</v>
          </cell>
          <cell r="K15">
            <v>24627.746889999999</v>
          </cell>
          <cell r="L15">
            <v>24977.47366</v>
          </cell>
          <cell r="M15">
            <v>25338.147349999999</v>
          </cell>
          <cell r="N15">
            <v>25709.665010000001</v>
          </cell>
          <cell r="O15">
            <v>26091.133720000002</v>
          </cell>
          <cell r="P15">
            <v>26481.722249999999</v>
          </cell>
          <cell r="Q15">
            <v>26880.98099</v>
          </cell>
          <cell r="R15">
            <v>27288.902239999999</v>
          </cell>
          <cell r="S15">
            <v>27705.83005</v>
          </cell>
          <cell r="T15">
            <v>28132.298610000002</v>
          </cell>
          <cell r="U15">
            <v>28568.869709999999</v>
          </cell>
          <cell r="V15">
            <v>29016.397110000002</v>
          </cell>
          <cell r="W15">
            <v>29473.811020000001</v>
          </cell>
          <cell r="X15">
            <v>29941.49798</v>
          </cell>
          <cell r="Y15">
            <v>30420.078450000001</v>
          </cell>
          <cell r="Z15">
            <v>30909.978019999999</v>
          </cell>
          <cell r="AA15">
            <v>31412.11145</v>
          </cell>
          <cell r="AB15">
            <v>31923.35024</v>
          </cell>
          <cell r="AC15">
            <v>32442.852470000002</v>
          </cell>
          <cell r="AD15">
            <v>32970.743580000002</v>
          </cell>
          <cell r="AE15">
            <v>33507.346980000002</v>
          </cell>
          <cell r="AF15">
            <v>34052.844290000001</v>
          </cell>
          <cell r="AG15">
            <v>34607.172980000003</v>
          </cell>
          <cell r="AH15">
            <v>35170.073179999999</v>
          </cell>
          <cell r="AI15">
            <v>35741.207970000003</v>
          </cell>
          <cell r="AJ15">
            <v>36320.28514</v>
          </cell>
          <cell r="AK15">
            <v>36907.130109999998</v>
          </cell>
        </row>
        <row r="16">
          <cell r="B16">
            <v>93598.517619999999</v>
          </cell>
          <cell r="C16">
            <v>94644.607510000002</v>
          </cell>
          <cell r="D16">
            <v>95661.991150000002</v>
          </cell>
          <cell r="E16">
            <v>96675.699129999994</v>
          </cell>
          <cell r="F16">
            <v>97703.689970000007</v>
          </cell>
          <cell r="G16">
            <v>98757.143649999998</v>
          </cell>
          <cell r="H16">
            <v>99837.158590000006</v>
          </cell>
          <cell r="I16">
            <v>100938.7944</v>
          </cell>
          <cell r="J16">
            <v>102057.36259999999</v>
          </cell>
          <cell r="K16">
            <v>103191.74249999999</v>
          </cell>
          <cell r="L16">
            <v>104357.9663</v>
          </cell>
          <cell r="M16">
            <v>105553.8842</v>
          </cell>
          <cell r="N16">
            <v>106782.4234</v>
          </cell>
          <cell r="O16">
            <v>108047.5468</v>
          </cell>
          <cell r="P16">
            <v>109351.61689999999</v>
          </cell>
          <cell r="Q16">
            <v>110695.3806</v>
          </cell>
          <cell r="R16">
            <v>112078.92720000001</v>
          </cell>
          <cell r="S16">
            <v>113502.6176</v>
          </cell>
          <cell r="T16">
            <v>114967.54580000001</v>
          </cell>
          <cell r="U16">
            <v>116475.48149999999</v>
          </cell>
          <cell r="V16">
            <v>118018.9394</v>
          </cell>
          <cell r="W16">
            <v>119606.1121</v>
          </cell>
          <cell r="X16">
            <v>121241.5941</v>
          </cell>
          <cell r="Y16">
            <v>122927.0736</v>
          </cell>
          <cell r="Z16">
            <v>124662.7733</v>
          </cell>
          <cell r="AA16">
            <v>126419.4451</v>
          </cell>
          <cell r="AB16">
            <v>128203.64840000001</v>
          </cell>
          <cell r="AC16">
            <v>130019.5898</v>
          </cell>
          <cell r="AD16">
            <v>131869.1073</v>
          </cell>
          <cell r="AE16">
            <v>133753.45680000001</v>
          </cell>
          <cell r="AF16">
            <v>135673.53709999999</v>
          </cell>
          <cell r="AG16">
            <v>137629.65669999999</v>
          </cell>
          <cell r="AH16">
            <v>139621.48920000001</v>
          </cell>
          <cell r="AI16">
            <v>141648.31159999999</v>
          </cell>
          <cell r="AJ16">
            <v>143709.37059999999</v>
          </cell>
          <cell r="AK16">
            <v>145804.18090000001</v>
          </cell>
        </row>
        <row r="17">
          <cell r="B17">
            <v>93598.517619999999</v>
          </cell>
          <cell r="C17">
            <v>94644.607510000002</v>
          </cell>
          <cell r="D17">
            <v>95661.991150000002</v>
          </cell>
          <cell r="E17">
            <v>96675.699129999994</v>
          </cell>
          <cell r="F17">
            <v>97703.689970000007</v>
          </cell>
          <cell r="G17">
            <v>98757.143649999998</v>
          </cell>
          <cell r="H17">
            <v>99835.117530000003</v>
          </cell>
          <cell r="I17">
            <v>100940.0243</v>
          </cell>
          <cell r="J17">
            <v>102075.35679999999</v>
          </cell>
          <cell r="K17">
            <v>103244.5224</v>
          </cell>
          <cell r="L17">
            <v>104462.967</v>
          </cell>
          <cell r="M17">
            <v>105724.0426</v>
          </cell>
          <cell r="N17">
            <v>107024.084</v>
          </cell>
          <cell r="O17">
            <v>108360.5616</v>
          </cell>
          <cell r="P17">
            <v>109730.9737</v>
          </cell>
          <cell r="Q17">
            <v>111133.35950000001</v>
          </cell>
          <cell r="R17">
            <v>112566.9145</v>
          </cell>
          <cell r="S17">
            <v>114032.143</v>
          </cell>
          <cell r="T17">
            <v>115530.5727</v>
          </cell>
          <cell r="U17">
            <v>117064.2663</v>
          </cell>
          <cell r="V17">
            <v>118625.74490000001</v>
          </cell>
          <cell r="W17">
            <v>120223.3673</v>
          </cell>
          <cell r="X17">
            <v>121862.10739999999</v>
          </cell>
          <cell r="Y17">
            <v>123544.43429999999</v>
          </cell>
          <cell r="Z17">
            <v>125271.7794</v>
          </cell>
          <cell r="AA17">
            <v>127016.3152</v>
          </cell>
          <cell r="AB17">
            <v>128786.2159</v>
          </cell>
          <cell r="AC17">
            <v>130587.0763</v>
          </cell>
          <cell r="AD17">
            <v>132421.7458</v>
          </cell>
          <cell r="AE17">
            <v>134292.08249999999</v>
          </cell>
          <cell r="AF17">
            <v>136199.23499999999</v>
          </cell>
          <cell r="AG17">
            <v>138143.50779999999</v>
          </cell>
          <cell r="AH17">
            <v>140124.413</v>
          </cell>
          <cell r="AI17">
            <v>142140.97940000001</v>
          </cell>
          <cell r="AJ17">
            <v>144192.15700000001</v>
          </cell>
          <cell r="AK17">
            <v>146277.12849999999</v>
          </cell>
        </row>
        <row r="18">
          <cell r="B18">
            <v>23295.977920000001</v>
          </cell>
          <cell r="C18">
            <v>23564.884239999999</v>
          </cell>
          <cell r="D18">
            <v>23836.72726</v>
          </cell>
          <cell r="E18">
            <v>24115.119119999999</v>
          </cell>
          <cell r="F18">
            <v>24401.321609999999</v>
          </cell>
          <cell r="G18">
            <v>24695.702969999998</v>
          </cell>
          <cell r="H18">
            <v>24996.42769</v>
          </cell>
          <cell r="I18">
            <v>25301.29119</v>
          </cell>
          <cell r="J18">
            <v>25609.070599999999</v>
          </cell>
          <cell r="K18">
            <v>25919.78788</v>
          </cell>
          <cell r="L18">
            <v>26239.476549999999</v>
          </cell>
          <cell r="M18">
            <v>26565.86982</v>
          </cell>
          <cell r="N18">
            <v>26899.590929999998</v>
          </cell>
          <cell r="O18">
            <v>27241.950130000001</v>
          </cell>
          <cell r="P18">
            <v>27593.75261</v>
          </cell>
          <cell r="Q18">
            <v>27955.25675</v>
          </cell>
          <cell r="R18">
            <v>28326.48271</v>
          </cell>
          <cell r="S18">
            <v>28707.497039999998</v>
          </cell>
          <cell r="T18">
            <v>29098.546890000001</v>
          </cell>
          <cell r="U18">
            <v>29500.04335</v>
          </cell>
          <cell r="V18">
            <v>29908.899880000001</v>
          </cell>
          <cell r="W18">
            <v>30328.511170000002</v>
          </cell>
          <cell r="X18">
            <v>30760.252179999999</v>
          </cell>
          <cell r="Y18">
            <v>31204.322560000001</v>
          </cell>
          <cell r="Z18">
            <v>31660.53296</v>
          </cell>
          <cell r="AA18">
            <v>32117.912779999999</v>
          </cell>
          <cell r="AB18">
            <v>32580.851330000001</v>
          </cell>
          <cell r="AC18">
            <v>33051.525569999998</v>
          </cell>
          <cell r="AD18">
            <v>33530.575770000003</v>
          </cell>
          <cell r="AE18">
            <v>34018.240160000001</v>
          </cell>
          <cell r="AF18">
            <v>34514.635000000002</v>
          </cell>
          <cell r="AG18">
            <v>35019.743490000001</v>
          </cell>
          <cell r="AH18">
            <v>35533.411549999997</v>
          </cell>
          <cell r="AI18">
            <v>36055.409610000002</v>
          </cell>
          <cell r="AJ18">
            <v>36585.52435</v>
          </cell>
          <cell r="AK18">
            <v>37123.628839999998</v>
          </cell>
        </row>
        <row r="19">
          <cell r="B19">
            <v>23295.977920000001</v>
          </cell>
          <cell r="C19">
            <v>23564.884239999999</v>
          </cell>
          <cell r="D19">
            <v>23836.72726</v>
          </cell>
          <cell r="E19">
            <v>24115.119119999999</v>
          </cell>
          <cell r="F19">
            <v>24401.321609999999</v>
          </cell>
          <cell r="G19">
            <v>24695.702969999998</v>
          </cell>
          <cell r="H19">
            <v>24995.38363</v>
          </cell>
          <cell r="I19">
            <v>25300.526750000001</v>
          </cell>
          <cell r="J19">
            <v>25612.197530000001</v>
          </cell>
          <cell r="K19">
            <v>25931.482220000002</v>
          </cell>
          <cell r="L19">
            <v>26264.036700000001</v>
          </cell>
          <cell r="M19">
            <v>26606.234659999998</v>
          </cell>
          <cell r="N19">
            <v>26956.895820000002</v>
          </cell>
          <cell r="O19">
            <v>27315.673210000001</v>
          </cell>
          <cell r="P19">
            <v>27682.233550000001</v>
          </cell>
          <cell r="Q19">
            <v>28056.304479999999</v>
          </cell>
          <cell r="R19">
            <v>28437.84663</v>
          </cell>
          <cell r="S19">
            <v>28827.10442</v>
          </cell>
          <cell r="T19">
            <v>29224.534960000001</v>
          </cell>
          <cell r="U19">
            <v>29630.684649999999</v>
          </cell>
          <cell r="V19">
            <v>30042.500660000002</v>
          </cell>
          <cell r="W19">
            <v>30463.44138</v>
          </cell>
          <cell r="X19">
            <v>30894.98935</v>
          </cell>
          <cell r="Y19">
            <v>31337.545020000001</v>
          </cell>
          <cell r="Z19">
            <v>31791.217420000001</v>
          </cell>
          <cell r="AA19">
            <v>32245.374690000001</v>
          </cell>
          <cell r="AB19">
            <v>32704.77792</v>
          </cell>
          <cell r="AC19">
            <v>33171.902269999999</v>
          </cell>
          <cell r="AD19">
            <v>33647.581290000002</v>
          </cell>
          <cell r="AE19">
            <v>34132.141499999998</v>
          </cell>
          <cell r="AF19">
            <v>34625.704380000003</v>
          </cell>
          <cell r="AG19">
            <v>35128.205529999999</v>
          </cell>
          <cell r="AH19">
            <v>35639.417099999999</v>
          </cell>
          <cell r="AI19">
            <v>36159.027439999998</v>
          </cell>
          <cell r="AJ19">
            <v>36686.740839999999</v>
          </cell>
          <cell r="AK19">
            <v>37222.348330000001</v>
          </cell>
        </row>
        <row r="20">
          <cell r="B20">
            <v>25791.73834</v>
          </cell>
          <cell r="C20">
            <v>26105.77478</v>
          </cell>
          <cell r="D20">
            <v>26440.06999</v>
          </cell>
          <cell r="E20">
            <v>26795.881270000002</v>
          </cell>
          <cell r="F20">
            <v>27172.038700000001</v>
          </cell>
          <cell r="G20">
            <v>27566.721829999999</v>
          </cell>
          <cell r="H20">
            <v>27975.296289999998</v>
          </cell>
          <cell r="I20">
            <v>28394.34402</v>
          </cell>
          <cell r="J20">
            <v>28820.97898</v>
          </cell>
          <cell r="K20">
            <v>29253.279320000001</v>
          </cell>
          <cell r="L20">
            <v>29695.485649999999</v>
          </cell>
          <cell r="M20">
            <v>30143.582490000001</v>
          </cell>
          <cell r="N20">
            <v>30596.945830000001</v>
          </cell>
          <cell r="O20">
            <v>31056.05416</v>
          </cell>
          <cell r="P20">
            <v>31521.299879999999</v>
          </cell>
          <cell r="Q20">
            <v>31992.85757</v>
          </cell>
          <cell r="R20">
            <v>32470.886269999999</v>
          </cell>
          <cell r="S20">
            <v>32955.724629999997</v>
          </cell>
          <cell r="T20">
            <v>33447.959970000004</v>
          </cell>
          <cell r="U20">
            <v>33948.367530000003</v>
          </cell>
          <cell r="V20">
            <v>34454.208359999997</v>
          </cell>
          <cell r="W20">
            <v>34969.268349999998</v>
          </cell>
          <cell r="X20">
            <v>35495.134230000003</v>
          </cell>
          <cell r="Y20">
            <v>36032.223290000002</v>
          </cell>
          <cell r="Z20">
            <v>36580.513890000002</v>
          </cell>
          <cell r="AA20">
            <v>37129.352760000002</v>
          </cell>
          <cell r="AB20">
            <v>37682.941350000001</v>
          </cell>
          <cell r="AC20">
            <v>38243.27216</v>
          </cell>
          <cell r="AD20">
            <v>38810.966269999997</v>
          </cell>
          <cell r="AE20">
            <v>39386.274100000002</v>
          </cell>
          <cell r="AF20">
            <v>39969.327980000002</v>
          </cell>
          <cell r="AG20">
            <v>40560.140070000001</v>
          </cell>
          <cell r="AH20">
            <v>41158.60411</v>
          </cell>
          <cell r="AI20">
            <v>41764.555630000003</v>
          </cell>
          <cell r="AJ20">
            <v>42377.859640000002</v>
          </cell>
          <cell r="AK20">
            <v>42998.47883</v>
          </cell>
        </row>
        <row r="21">
          <cell r="B21">
            <v>25791.73834</v>
          </cell>
          <cell r="C21">
            <v>26105.77478</v>
          </cell>
          <cell r="D21">
            <v>26440.06999</v>
          </cell>
          <cell r="E21">
            <v>26795.881270000002</v>
          </cell>
          <cell r="F21">
            <v>27172.038700000001</v>
          </cell>
          <cell r="G21">
            <v>27566.721829999999</v>
          </cell>
          <cell r="H21">
            <v>27975.17496</v>
          </cell>
          <cell r="I21">
            <v>28395.64831</v>
          </cell>
          <cell r="J21">
            <v>28827.441030000002</v>
          </cell>
          <cell r="K21">
            <v>29270.086640000001</v>
          </cell>
          <cell r="L21">
            <v>29728.018980000001</v>
          </cell>
          <cell r="M21">
            <v>30196.3387</v>
          </cell>
          <cell r="N21">
            <v>30672.86203</v>
          </cell>
          <cell r="O21">
            <v>31156.374179999999</v>
          </cell>
          <cell r="P21">
            <v>31645.831460000001</v>
          </cell>
          <cell r="Q21">
            <v>32140.385719999998</v>
          </cell>
          <cell r="R21">
            <v>32639.542850000002</v>
          </cell>
          <cell r="S21">
            <v>33143.216500000002</v>
          </cell>
          <cell r="T21">
            <v>33651.66388</v>
          </cell>
          <cell r="U21">
            <v>34165.362410000002</v>
          </cell>
          <cell r="V21">
            <v>34681.290730000001</v>
          </cell>
          <cell r="W21">
            <v>35203.126320000003</v>
          </cell>
          <cell r="X21">
            <v>35732.50071</v>
          </cell>
          <cell r="Y21">
            <v>36270.071329999999</v>
          </cell>
          <cell r="Z21">
            <v>36816.242400000003</v>
          </cell>
          <cell r="AA21">
            <v>37360.892449999999</v>
          </cell>
          <cell r="AB21">
            <v>37908.846969999999</v>
          </cell>
          <cell r="AC21">
            <v>38462.666899999997</v>
          </cell>
          <cell r="AD21">
            <v>39023.435749999997</v>
          </cell>
          <cell r="AE21">
            <v>39591.740709999998</v>
          </cell>
          <cell r="AF21">
            <v>40167.930139999997</v>
          </cell>
          <cell r="AG21">
            <v>40752.129939999999</v>
          </cell>
          <cell r="AH21">
            <v>41344.266230000001</v>
          </cell>
          <cell r="AI21">
            <v>41944.143400000001</v>
          </cell>
          <cell r="AJ21">
            <v>42551.545100000003</v>
          </cell>
          <cell r="AK21">
            <v>43166.312389999999</v>
          </cell>
        </row>
        <row r="22">
          <cell r="B22">
            <v>202302.50150000001</v>
          </cell>
          <cell r="C22">
            <v>204610.2746</v>
          </cell>
          <cell r="D22">
            <v>206903.15539999999</v>
          </cell>
          <cell r="E22">
            <v>209227.71479999999</v>
          </cell>
          <cell r="F22">
            <v>211608.28899999999</v>
          </cell>
          <cell r="G22">
            <v>214055.3702</v>
          </cell>
          <cell r="H22">
            <v>216559.9656</v>
          </cell>
          <cell r="I22">
            <v>219102.36060000001</v>
          </cell>
          <cell r="J22">
            <v>221668.47</v>
          </cell>
          <cell r="K22">
            <v>224257.08249999999</v>
          </cell>
          <cell r="L22">
            <v>226917.1894</v>
          </cell>
          <cell r="M22">
            <v>229639.8824</v>
          </cell>
          <cell r="N22">
            <v>232432.68109999999</v>
          </cell>
          <cell r="O22">
            <v>235305.69560000001</v>
          </cell>
          <cell r="P22">
            <v>238263.43460000001</v>
          </cell>
          <cell r="Q22">
            <v>241305.26790000001</v>
          </cell>
          <cell r="R22">
            <v>244428.73860000001</v>
          </cell>
          <cell r="S22">
            <v>247632.5061</v>
          </cell>
          <cell r="T22">
            <v>250917.6918</v>
          </cell>
          <cell r="U22">
            <v>254287.6213</v>
          </cell>
          <cell r="V22">
            <v>257718.99220000001</v>
          </cell>
          <cell r="W22">
            <v>261236.33290000001</v>
          </cell>
          <cell r="X22">
            <v>264851.90110000002</v>
          </cell>
          <cell r="Y22">
            <v>268568.97259999998</v>
          </cell>
          <cell r="Z22">
            <v>272386.99479999999</v>
          </cell>
          <cell r="AA22">
            <v>276220.75630000001</v>
          </cell>
          <cell r="AB22">
            <v>280096.5699</v>
          </cell>
          <cell r="AC22">
            <v>284030.44319999998</v>
          </cell>
          <cell r="AD22">
            <v>288029.09759999998</v>
          </cell>
          <cell r="AE22">
            <v>292096.61670000001</v>
          </cell>
          <cell r="AF22">
            <v>296235.663</v>
          </cell>
          <cell r="AG22">
            <v>300447.04820000002</v>
          </cell>
          <cell r="AH22">
            <v>304729.77620000002</v>
          </cell>
          <cell r="AI22">
            <v>309081.84129999997</v>
          </cell>
          <cell r="AJ22">
            <v>313501.31290000002</v>
          </cell>
          <cell r="AK22">
            <v>317987.14539999998</v>
          </cell>
        </row>
        <row r="23">
          <cell r="B23">
            <v>202302.50150000001</v>
          </cell>
          <cell r="C23">
            <v>204610.2746</v>
          </cell>
          <cell r="D23">
            <v>206903.15539999999</v>
          </cell>
          <cell r="E23">
            <v>209227.71479999999</v>
          </cell>
          <cell r="F23">
            <v>211608.28899999999</v>
          </cell>
          <cell r="G23">
            <v>214055.3702</v>
          </cell>
          <cell r="H23">
            <v>216550.30179999999</v>
          </cell>
          <cell r="I23">
            <v>219092.45079999999</v>
          </cell>
          <cell r="J23">
            <v>221688.28320000001</v>
          </cell>
          <cell r="K23">
            <v>224345.7959</v>
          </cell>
          <cell r="L23">
            <v>227108.9136</v>
          </cell>
          <cell r="M23">
            <v>229954.38440000001</v>
          </cell>
          <cell r="N23">
            <v>232871.59039999999</v>
          </cell>
          <cell r="O23">
            <v>235854.8469</v>
          </cell>
          <cell r="P23">
            <v>238898.94959999999</v>
          </cell>
          <cell r="Q23">
            <v>242000.29449999999</v>
          </cell>
          <cell r="R23">
            <v>245158.4227</v>
          </cell>
          <cell r="S23">
            <v>248376.21650000001</v>
          </cell>
          <cell r="T23">
            <v>251658.8996</v>
          </cell>
          <cell r="U23">
            <v>255012.584</v>
          </cell>
          <cell r="V23">
            <v>258415.2972</v>
          </cell>
          <cell r="W23">
            <v>261892.52239999999</v>
          </cell>
          <cell r="X23">
            <v>265457.62270000001</v>
          </cell>
          <cell r="Y23">
            <v>269115.72009999998</v>
          </cell>
          <cell r="Z23">
            <v>272868.95240000001</v>
          </cell>
          <cell r="AA23">
            <v>276635.4265</v>
          </cell>
          <cell r="AB23">
            <v>280444.62040000001</v>
          </cell>
          <cell r="AC23">
            <v>284314.9852</v>
          </cell>
          <cell r="AD23">
            <v>288254.67830000003</v>
          </cell>
          <cell r="AE23">
            <v>292268.23719999997</v>
          </cell>
          <cell r="AF23">
            <v>296358.05660000001</v>
          </cell>
          <cell r="AG23">
            <v>300524.29200000002</v>
          </cell>
          <cell r="AH23">
            <v>304765.17310000001</v>
          </cell>
          <cell r="AI23">
            <v>309077.96159999998</v>
          </cell>
          <cell r="AJ23">
            <v>313460.0822</v>
          </cell>
          <cell r="AK23">
            <v>317909.89559999999</v>
          </cell>
        </row>
        <row r="24">
          <cell r="B24">
            <v>9373.7781639999994</v>
          </cell>
          <cell r="C24">
            <v>9468.0979790000001</v>
          </cell>
          <cell r="D24">
            <v>9547.5356580000007</v>
          </cell>
          <cell r="E24">
            <v>9616.9264170000006</v>
          </cell>
          <cell r="F24">
            <v>9680.4916150000008</v>
          </cell>
          <cell r="G24">
            <v>9741.1097979999995</v>
          </cell>
          <cell r="H24">
            <v>9801.7400249999992</v>
          </cell>
          <cell r="I24">
            <v>9862.7232320000003</v>
          </cell>
          <cell r="J24">
            <v>9924.257748</v>
          </cell>
          <cell r="K24">
            <v>9987.0918669999992</v>
          </cell>
          <cell r="L24">
            <v>10050.97551</v>
          </cell>
          <cell r="M24">
            <v>10119.759340000001</v>
          </cell>
          <cell r="N24">
            <v>10194.677659999999</v>
          </cell>
          <cell r="O24">
            <v>10276.144969999999</v>
          </cell>
          <cell r="P24">
            <v>10364.276040000001</v>
          </cell>
          <cell r="Q24">
            <v>10459.061009999999</v>
          </cell>
          <cell r="R24">
            <v>10560.46615</v>
          </cell>
          <cell r="S24">
            <v>10668.495989999999</v>
          </cell>
          <cell r="T24">
            <v>10783.21038</v>
          </cell>
          <cell r="U24">
            <v>10904.70253</v>
          </cell>
          <cell r="V24">
            <v>11033.97307</v>
          </cell>
          <cell r="W24">
            <v>11169.48064</v>
          </cell>
          <cell r="X24">
            <v>11311.23891</v>
          </cell>
          <cell r="Y24">
            <v>11459.488649999999</v>
          </cell>
          <cell r="Z24">
            <v>11614.356299999999</v>
          </cell>
          <cell r="AA24">
            <v>11778.209129999999</v>
          </cell>
          <cell r="AB24">
            <v>11947.89042</v>
          </cell>
          <cell r="AC24">
            <v>12122.57267</v>
          </cell>
          <cell r="AD24">
            <v>12302.224340000001</v>
          </cell>
          <cell r="AE24">
            <v>12486.99719</v>
          </cell>
          <cell r="AF24">
            <v>12677.00657</v>
          </cell>
          <cell r="AG24">
            <v>12872.26692</v>
          </cell>
          <cell r="AH24">
            <v>13072.70384</v>
          </cell>
          <cell r="AI24">
            <v>13278.200709999999</v>
          </cell>
          <cell r="AJ24">
            <v>13488.64703</v>
          </cell>
          <cell r="AK24">
            <v>13703.967720000001</v>
          </cell>
        </row>
        <row r="25">
          <cell r="B25">
            <v>9373.7781639999994</v>
          </cell>
          <cell r="C25">
            <v>9468.0979790000001</v>
          </cell>
          <cell r="D25">
            <v>9547.5356580000007</v>
          </cell>
          <cell r="E25">
            <v>9616.9264170000006</v>
          </cell>
          <cell r="F25">
            <v>9680.4916150000008</v>
          </cell>
          <cell r="G25">
            <v>9741.1097979999995</v>
          </cell>
          <cell r="H25">
            <v>9801.6786140000004</v>
          </cell>
          <cell r="I25">
            <v>9863.092224</v>
          </cell>
          <cell r="J25">
            <v>9926.0275750000001</v>
          </cell>
          <cell r="K25">
            <v>9991.3044160000009</v>
          </cell>
          <cell r="L25">
            <v>10058.30121</v>
          </cell>
          <cell r="M25">
            <v>10130.2803</v>
          </cell>
          <cell r="N25">
            <v>10207.86285</v>
          </cell>
          <cell r="O25">
            <v>10291.029839999999</v>
          </cell>
          <cell r="P25">
            <v>10379.735420000001</v>
          </cell>
          <cell r="Q25">
            <v>10474.055759999999</v>
          </cell>
          <cell r="R25">
            <v>10574.19514</v>
          </cell>
          <cell r="S25">
            <v>10680.43773</v>
          </cell>
          <cell r="T25">
            <v>10793.08238</v>
          </cell>
          <cell r="U25">
            <v>10912.385850000001</v>
          </cell>
          <cell r="V25">
            <v>11039.43439</v>
          </cell>
          <cell r="W25">
            <v>11172.75812</v>
          </cell>
          <cell r="X25">
            <v>11312.42211</v>
          </cell>
          <cell r="Y25">
            <v>11458.72438</v>
          </cell>
          <cell r="Z25">
            <v>11611.857819999999</v>
          </cell>
          <cell r="AA25">
            <v>11774.24178</v>
          </cell>
          <cell r="AB25">
            <v>11942.780430000001</v>
          </cell>
          <cell r="AC25">
            <v>12116.66043</v>
          </cell>
          <cell r="AD25">
            <v>12295.82452</v>
          </cell>
          <cell r="AE25">
            <v>12480.37125</v>
          </cell>
          <cell r="AF25">
            <v>12670.35138</v>
          </cell>
          <cell r="AG25">
            <v>12865.71812</v>
          </cell>
          <cell r="AH25">
            <v>13066.34923</v>
          </cell>
          <cell r="AI25">
            <v>13272.097019999999</v>
          </cell>
          <cell r="AJ25">
            <v>13482.83532</v>
          </cell>
          <cell r="AK25">
            <v>13698.484979999999</v>
          </cell>
        </row>
        <row r="26">
          <cell r="B26">
            <v>84761.609540000005</v>
          </cell>
          <cell r="C26">
            <v>86077.72696</v>
          </cell>
          <cell r="D26">
            <v>87807.399430000005</v>
          </cell>
          <cell r="E26">
            <v>89828.476509999993</v>
          </cell>
          <cell r="F26">
            <v>91997.267559999993</v>
          </cell>
          <cell r="G26">
            <v>94216.563259999995</v>
          </cell>
          <cell r="H26">
            <v>96327.671300000002</v>
          </cell>
          <cell r="I26">
            <v>98331.550770000002</v>
          </cell>
          <cell r="J26">
            <v>100251.43060000001</v>
          </cell>
          <cell r="K26">
            <v>102110.1154</v>
          </cell>
          <cell r="L26">
            <v>104096.8846</v>
          </cell>
          <cell r="M26">
            <v>106021.2475</v>
          </cell>
          <cell r="N26">
            <v>107889.14780000001</v>
          </cell>
          <cell r="O26">
            <v>109735.91220000001</v>
          </cell>
          <cell r="P26">
            <v>111586.07709999999</v>
          </cell>
          <cell r="Q26">
            <v>113452.068</v>
          </cell>
          <cell r="R26">
            <v>115339.5288</v>
          </cell>
          <cell r="S26">
            <v>117251.7795</v>
          </cell>
          <cell r="T26">
            <v>119192.11840000001</v>
          </cell>
          <cell r="U26">
            <v>121164.3352</v>
          </cell>
          <cell r="V26">
            <v>123052.5471</v>
          </cell>
          <cell r="W26">
            <v>125007.88250000001</v>
          </cell>
          <cell r="X26">
            <v>127046.8502</v>
          </cell>
          <cell r="Y26">
            <v>129155.522</v>
          </cell>
          <cell r="Z26">
            <v>131320.03289999999</v>
          </cell>
          <cell r="AA26">
            <v>133178.65150000001</v>
          </cell>
          <cell r="AB26">
            <v>135019.7795</v>
          </cell>
          <cell r="AC26">
            <v>136914.56200000001</v>
          </cell>
          <cell r="AD26">
            <v>138869.58249999999</v>
          </cell>
          <cell r="AE26">
            <v>140879.53510000001</v>
          </cell>
          <cell r="AF26">
            <v>142939.0336</v>
          </cell>
          <cell r="AG26">
            <v>145043.76790000001</v>
          </cell>
          <cell r="AH26">
            <v>147190.01730000001</v>
          </cell>
          <cell r="AI26">
            <v>149374.55600000001</v>
          </cell>
          <cell r="AJ26">
            <v>151594.93900000001</v>
          </cell>
          <cell r="AK26">
            <v>153849.76120000001</v>
          </cell>
        </row>
        <row r="27">
          <cell r="B27">
            <v>84761.609540000005</v>
          </cell>
          <cell r="C27">
            <v>86077.72696</v>
          </cell>
          <cell r="D27">
            <v>87807.399430000005</v>
          </cell>
          <cell r="E27">
            <v>89828.476509999993</v>
          </cell>
          <cell r="F27">
            <v>91997.267559999993</v>
          </cell>
          <cell r="G27">
            <v>94216.563259999995</v>
          </cell>
          <cell r="H27">
            <v>96321.754870000004</v>
          </cell>
          <cell r="I27">
            <v>98326.021949999995</v>
          </cell>
          <cell r="J27">
            <v>100264.6439</v>
          </cell>
          <cell r="K27">
            <v>102164.32769999999</v>
          </cell>
          <cell r="L27">
            <v>104208.9596</v>
          </cell>
          <cell r="M27">
            <v>106196.98360000001</v>
          </cell>
          <cell r="N27">
            <v>108122.0577</v>
          </cell>
          <cell r="O27">
            <v>110009.84510000001</v>
          </cell>
          <cell r="P27">
            <v>111880.0073</v>
          </cell>
          <cell r="Q27">
            <v>113744.9795</v>
          </cell>
          <cell r="R27">
            <v>115613.8006</v>
          </cell>
          <cell r="S27">
            <v>117494.48510000001</v>
          </cell>
          <cell r="T27">
            <v>119394.6311</v>
          </cell>
          <cell r="U27">
            <v>121321.1177</v>
          </cell>
          <cell r="V27">
            <v>123160.08960000001</v>
          </cell>
          <cell r="W27">
            <v>125063.7665</v>
          </cell>
          <cell r="X27">
            <v>127049.8612</v>
          </cell>
          <cell r="Y27">
            <v>129105.9602</v>
          </cell>
          <cell r="Z27">
            <v>131220.03419999999</v>
          </cell>
          <cell r="AA27">
            <v>133033.09220000001</v>
          </cell>
          <cell r="AB27">
            <v>134834.46960000001</v>
          </cell>
          <cell r="AC27">
            <v>136696.13740000001</v>
          </cell>
          <cell r="AD27">
            <v>138624.85140000001</v>
          </cell>
          <cell r="AE27">
            <v>140614.77669999999</v>
          </cell>
          <cell r="AF27">
            <v>142659.5197</v>
          </cell>
          <cell r="AG27">
            <v>144753.57190000001</v>
          </cell>
          <cell r="AH27">
            <v>146892.05929999999</v>
          </cell>
          <cell r="AI27">
            <v>149070.78750000001</v>
          </cell>
          <cell r="AJ27">
            <v>151286.571</v>
          </cell>
          <cell r="AK27">
            <v>153537.46739999999</v>
          </cell>
        </row>
        <row r="28">
          <cell r="B28">
            <v>10028.65452</v>
          </cell>
          <cell r="C28">
            <v>10140.238289999999</v>
          </cell>
          <cell r="D28">
            <v>10246.788490000001</v>
          </cell>
          <cell r="E28">
            <v>10350.42872</v>
          </cell>
          <cell r="F28">
            <v>10452.80402</v>
          </cell>
          <cell r="G28">
            <v>10554.86491</v>
          </cell>
          <cell r="H28">
            <v>10657.493340000001</v>
          </cell>
          <cell r="I28">
            <v>10759.800810000001</v>
          </cell>
          <cell r="J28">
            <v>10861.212030000001</v>
          </cell>
          <cell r="K28">
            <v>10961.99064</v>
          </cell>
          <cell r="L28">
            <v>11063.32</v>
          </cell>
          <cell r="M28">
            <v>11166.78515</v>
          </cell>
          <cell r="N28">
            <v>11273.32135</v>
          </cell>
          <cell r="O28">
            <v>11383.39955</v>
          </cell>
          <cell r="P28">
            <v>11497.17613</v>
          </cell>
          <cell r="Q28">
            <v>11614.645469999999</v>
          </cell>
          <cell r="R28">
            <v>11735.781269999999</v>
          </cell>
          <cell r="S28">
            <v>11860.62638</v>
          </cell>
          <cell r="T28">
            <v>11989.31349</v>
          </cell>
          <cell r="U28">
            <v>12122.03011</v>
          </cell>
          <cell r="V28">
            <v>12258.7348</v>
          </cell>
          <cell r="W28">
            <v>12399.35547</v>
          </cell>
          <cell r="X28">
            <v>12544.096250000001</v>
          </cell>
          <cell r="Y28">
            <v>12693.121499999999</v>
          </cell>
          <cell r="Z28">
            <v>12846.467049999999</v>
          </cell>
          <cell r="AA28">
            <v>13003.277889999999</v>
          </cell>
          <cell r="AB28">
            <v>13162.748460000001</v>
          </cell>
          <cell r="AC28">
            <v>13324.710859999999</v>
          </cell>
          <cell r="AD28">
            <v>13489.27959</v>
          </cell>
          <cell r="AE28">
            <v>13656.633980000001</v>
          </cell>
          <cell r="AF28">
            <v>13826.89734</v>
          </cell>
          <cell r="AG28">
            <v>14000.093000000001</v>
          </cell>
          <cell r="AH28">
            <v>14176.161679999999</v>
          </cell>
          <cell r="AI28">
            <v>14355.01144</v>
          </cell>
          <cell r="AJ28">
            <v>14536.568950000001</v>
          </cell>
          <cell r="AK28">
            <v>14720.808999999999</v>
          </cell>
        </row>
        <row r="29">
          <cell r="B29">
            <v>10028.65452</v>
          </cell>
          <cell r="C29">
            <v>10140.238289999999</v>
          </cell>
          <cell r="D29">
            <v>10246.788490000001</v>
          </cell>
          <cell r="E29">
            <v>10350.42872</v>
          </cell>
          <cell r="F29">
            <v>10452.80402</v>
          </cell>
          <cell r="G29">
            <v>10554.86491</v>
          </cell>
          <cell r="H29">
            <v>10657.09261</v>
          </cell>
          <cell r="I29">
            <v>10759.660110000001</v>
          </cell>
          <cell r="J29">
            <v>10862.8802</v>
          </cell>
          <cell r="K29">
            <v>10967.25279</v>
          </cell>
          <cell r="L29">
            <v>11073.54473</v>
          </cell>
          <cell r="M29">
            <v>11182.594499999999</v>
          </cell>
          <cell r="N29">
            <v>11294.519</v>
          </cell>
          <cell r="O29">
            <v>11409.15884</v>
          </cell>
          <cell r="P29">
            <v>11526.352559999999</v>
          </cell>
          <cell r="Q29">
            <v>11646.07092</v>
          </cell>
          <cell r="R29">
            <v>11768.449909999999</v>
          </cell>
          <cell r="S29">
            <v>11893.75315</v>
          </cell>
          <cell r="T29">
            <v>12022.30085</v>
          </cell>
          <cell r="U29">
            <v>12154.40027</v>
          </cell>
          <cell r="V29">
            <v>12290.06914</v>
          </cell>
          <cell r="W29">
            <v>12429.291649999999</v>
          </cell>
          <cell r="X29">
            <v>12572.340389999999</v>
          </cell>
          <cell r="Y29">
            <v>12719.478719999999</v>
          </cell>
          <cell r="Z29">
            <v>12870.86815</v>
          </cell>
          <cell r="AA29">
            <v>13025.78469</v>
          </cell>
          <cell r="AB29">
            <v>13183.538920000001</v>
          </cell>
          <cell r="AC29">
            <v>13344.0332</v>
          </cell>
          <cell r="AD29">
            <v>13507.40178</v>
          </cell>
          <cell r="AE29">
            <v>13673.80186</v>
          </cell>
          <cell r="AF29">
            <v>13843.308720000001</v>
          </cell>
          <cell r="AG29">
            <v>14015.887909999999</v>
          </cell>
          <cell r="AH29">
            <v>14191.424279999999</v>
          </cell>
          <cell r="AI29">
            <v>14369.77794</v>
          </cell>
          <cell r="AJ29">
            <v>14550.836380000001</v>
          </cell>
          <cell r="AK29">
            <v>14734.542090000001</v>
          </cell>
        </row>
        <row r="30">
          <cell r="B30">
            <v>105593.89380000001</v>
          </cell>
          <cell r="C30">
            <v>106756.88039999999</v>
          </cell>
          <cell r="D30">
            <v>107854.41590000001</v>
          </cell>
          <cell r="E30">
            <v>108910.3694</v>
          </cell>
          <cell r="F30">
            <v>109944.83</v>
          </cell>
          <cell r="G30">
            <v>110970.2764</v>
          </cell>
          <cell r="H30">
            <v>111997.83620000001</v>
          </cell>
          <cell r="I30">
            <v>113020.0548</v>
          </cell>
          <cell r="J30">
            <v>114031.33749999999</v>
          </cell>
          <cell r="K30">
            <v>115034.03660000001</v>
          </cell>
          <cell r="L30">
            <v>116039.6303</v>
          </cell>
          <cell r="M30">
            <v>117064.726</v>
          </cell>
          <cell r="N30">
            <v>118119.6014</v>
          </cell>
          <cell r="O30">
            <v>119209.8557</v>
          </cell>
          <cell r="P30">
            <v>120337.73239999999</v>
          </cell>
          <cell r="Q30">
            <v>121503.5753</v>
          </cell>
          <cell r="R30">
            <v>122707.2837</v>
          </cell>
          <cell r="S30">
            <v>123949.3138</v>
          </cell>
          <cell r="T30">
            <v>125230.9906</v>
          </cell>
          <cell r="U30">
            <v>126554.2209</v>
          </cell>
          <cell r="V30">
            <v>127918.8339</v>
          </cell>
          <cell r="W30">
            <v>129324.0193</v>
          </cell>
          <cell r="X30">
            <v>130771.829</v>
          </cell>
          <cell r="Y30">
            <v>132263.94839999999</v>
          </cell>
          <cell r="Z30">
            <v>133800.75159999999</v>
          </cell>
          <cell r="AA30">
            <v>135374.06450000001</v>
          </cell>
          <cell r="AB30">
            <v>136975.4993</v>
          </cell>
          <cell r="AC30">
            <v>138603.04250000001</v>
          </cell>
          <cell r="AD30">
            <v>140257.65340000001</v>
          </cell>
          <cell r="AE30">
            <v>141941.11189999999</v>
          </cell>
          <cell r="AF30">
            <v>143654.74619999999</v>
          </cell>
          <cell r="AG30">
            <v>145398.89989999999</v>
          </cell>
          <cell r="AH30">
            <v>147173.0362</v>
          </cell>
          <cell r="AI30">
            <v>148976.215</v>
          </cell>
          <cell r="AJ30">
            <v>150807.62469999999</v>
          </cell>
          <cell r="AK30">
            <v>152666.9186</v>
          </cell>
        </row>
        <row r="31">
          <cell r="B31">
            <v>105593.89380000001</v>
          </cell>
          <cell r="C31">
            <v>106756.88039999999</v>
          </cell>
          <cell r="D31">
            <v>107854.41590000001</v>
          </cell>
          <cell r="E31">
            <v>108910.3694</v>
          </cell>
          <cell r="F31">
            <v>109944.83</v>
          </cell>
          <cell r="G31">
            <v>110970.2764</v>
          </cell>
          <cell r="H31">
            <v>111993.56909999999</v>
          </cell>
          <cell r="I31">
            <v>113017.5576</v>
          </cell>
          <cell r="J31">
            <v>114045.9031</v>
          </cell>
          <cell r="K31">
            <v>115083.9464</v>
          </cell>
          <cell r="L31">
            <v>116139.4611</v>
          </cell>
          <cell r="M31">
            <v>117221.62549999999</v>
          </cell>
          <cell r="N31">
            <v>118332.2525</v>
          </cell>
          <cell r="O31">
            <v>119470.18369999999</v>
          </cell>
          <cell r="P31">
            <v>120634.05349999999</v>
          </cell>
          <cell r="Q31">
            <v>121823.7144</v>
          </cell>
          <cell r="R31">
            <v>123040.6605</v>
          </cell>
          <cell r="S31">
            <v>124287.7102</v>
          </cell>
          <cell r="T31">
            <v>125568.3026</v>
          </cell>
          <cell r="U31">
            <v>126885.76730000001</v>
          </cell>
          <cell r="V31">
            <v>128240.67909999999</v>
          </cell>
          <cell r="W31">
            <v>129632.8469</v>
          </cell>
          <cell r="X31">
            <v>131065.007</v>
          </cell>
          <cell r="Y31">
            <v>132539.80790000001</v>
          </cell>
          <cell r="Z31">
            <v>134058.8561</v>
          </cell>
          <cell r="AA31">
            <v>135615.2825</v>
          </cell>
          <cell r="AB31">
            <v>137201.8756</v>
          </cell>
          <cell r="AC31">
            <v>138817.35159999999</v>
          </cell>
          <cell r="AD31">
            <v>140462.88649999999</v>
          </cell>
          <cell r="AE31">
            <v>142140.038</v>
          </cell>
          <cell r="AF31">
            <v>143849.63029999999</v>
          </cell>
          <cell r="AG31">
            <v>145591.3915</v>
          </cell>
          <cell r="AH31">
            <v>147364.1845</v>
          </cell>
          <cell r="AI31">
            <v>149166.55489999999</v>
          </cell>
          <cell r="AJ31">
            <v>150997.277</v>
          </cell>
          <cell r="AK31">
            <v>152855.67290000001</v>
          </cell>
        </row>
        <row r="32">
          <cell r="B32">
            <v>21040.459719999999</v>
          </cell>
          <cell r="C32">
            <v>21299.144749999999</v>
          </cell>
          <cell r="D32">
            <v>21577.04566</v>
          </cell>
          <cell r="E32">
            <v>21876.82519</v>
          </cell>
          <cell r="F32">
            <v>22199.13582</v>
          </cell>
          <cell r="G32">
            <v>22543.03457</v>
          </cell>
          <cell r="H32">
            <v>22904.958750000002</v>
          </cell>
          <cell r="I32">
            <v>23280.728009999999</v>
          </cell>
          <cell r="J32">
            <v>23666.194630000002</v>
          </cell>
          <cell r="K32">
            <v>24058.077440000001</v>
          </cell>
          <cell r="L32">
            <v>24457.10644</v>
          </cell>
          <cell r="M32">
            <v>24861.07375</v>
          </cell>
          <cell r="N32">
            <v>25269.542359999999</v>
          </cell>
          <cell r="O32">
            <v>25682.66346</v>
          </cell>
          <cell r="P32">
            <v>26100.58455</v>
          </cell>
          <cell r="Q32">
            <v>26523.281709999999</v>
          </cell>
          <cell r="R32">
            <v>26950.626619999999</v>
          </cell>
          <cell r="S32">
            <v>27382.536479999999</v>
          </cell>
          <cell r="T32">
            <v>27819.09432</v>
          </cell>
          <cell r="U32">
            <v>28260.583279999999</v>
          </cell>
          <cell r="V32">
            <v>28705.49324</v>
          </cell>
          <cell r="W32">
            <v>29155.55559</v>
          </cell>
          <cell r="X32">
            <v>29611.73965</v>
          </cell>
          <cell r="Y32">
            <v>30074.644560000001</v>
          </cell>
          <cell r="Z32">
            <v>30544.61247</v>
          </cell>
          <cell r="AA32">
            <v>31016.161110000001</v>
          </cell>
          <cell r="AB32">
            <v>31490.251789999998</v>
          </cell>
          <cell r="AC32">
            <v>31967.366870000002</v>
          </cell>
          <cell r="AD32">
            <v>32447.967639999999</v>
          </cell>
          <cell r="AE32">
            <v>32932.606330000002</v>
          </cell>
          <cell r="AF32">
            <v>33421.836080000001</v>
          </cell>
          <cell r="AG32">
            <v>33916.09461</v>
          </cell>
          <cell r="AH32">
            <v>34415.646130000001</v>
          </cell>
          <cell r="AI32">
            <v>34920.600189999997</v>
          </cell>
          <cell r="AJ32">
            <v>35430.98302</v>
          </cell>
          <cell r="AK32">
            <v>35946.819680000001</v>
          </cell>
        </row>
        <row r="33">
          <cell r="B33">
            <v>21040.459719999999</v>
          </cell>
          <cell r="C33">
            <v>21299.144749999999</v>
          </cell>
          <cell r="D33">
            <v>21577.04566</v>
          </cell>
          <cell r="E33">
            <v>21876.82519</v>
          </cell>
          <cell r="F33">
            <v>22199.13582</v>
          </cell>
          <cell r="G33">
            <v>22543.03457</v>
          </cell>
          <cell r="H33">
            <v>22905.100299999998</v>
          </cell>
          <cell r="I33">
            <v>23282.28067</v>
          </cell>
          <cell r="J33">
            <v>23671.88653</v>
          </cell>
          <cell r="K33">
            <v>24071.726859999999</v>
          </cell>
          <cell r="L33">
            <v>24482.75704</v>
          </cell>
          <cell r="M33">
            <v>24902.070350000002</v>
          </cell>
          <cell r="N33">
            <v>25327.871009999999</v>
          </cell>
          <cell r="O33">
            <v>25758.734990000001</v>
          </cell>
          <cell r="P33">
            <v>26193.4362</v>
          </cell>
          <cell r="Q33">
            <v>26631.031060000001</v>
          </cell>
          <cell r="R33">
            <v>27070.97048</v>
          </cell>
          <cell r="S33">
            <v>27513.13624</v>
          </cell>
          <cell r="T33">
            <v>27957.78284</v>
          </cell>
          <cell r="U33">
            <v>28405.416010000001</v>
          </cell>
          <cell r="V33">
            <v>28854.697919999999</v>
          </cell>
          <cell r="W33">
            <v>29307.518370000002</v>
          </cell>
          <cell r="X33">
            <v>29764.992320000001</v>
          </cell>
          <cell r="Y33">
            <v>30227.899270000002</v>
          </cell>
          <cell r="Z33">
            <v>30696.822690000001</v>
          </cell>
          <cell r="AA33">
            <v>31166.557239999998</v>
          </cell>
          <cell r="AB33">
            <v>31638.39287</v>
          </cell>
          <cell r="AC33">
            <v>32113.108629999999</v>
          </cell>
          <cell r="AD33">
            <v>32591.390589999999</v>
          </cell>
          <cell r="AE33">
            <v>33073.924180000002</v>
          </cell>
          <cell r="AF33">
            <v>33561.307090000002</v>
          </cell>
          <cell r="AG33">
            <v>34053.951970000002</v>
          </cell>
          <cell r="AH33">
            <v>34552.053189999999</v>
          </cell>
          <cell r="AI33">
            <v>35055.628290000001</v>
          </cell>
          <cell r="AJ33">
            <v>35564.605000000003</v>
          </cell>
          <cell r="AK33">
            <v>36078.911370000002</v>
          </cell>
        </row>
        <row r="34">
          <cell r="B34">
            <v>28144.495429999999</v>
          </cell>
          <cell r="C34">
            <v>28485.776900000001</v>
          </cell>
          <cell r="D34">
            <v>28847.935170000001</v>
          </cell>
          <cell r="E34">
            <v>29234.456870000002</v>
          </cell>
          <cell r="F34">
            <v>29645.839370000002</v>
          </cell>
          <cell r="G34">
            <v>30080.72133</v>
          </cell>
          <cell r="H34">
            <v>30536.373329999999</v>
          </cell>
          <cell r="I34">
            <v>31007.372619999998</v>
          </cell>
          <cell r="J34">
            <v>31489.705580000002</v>
          </cell>
          <cell r="K34">
            <v>31982.151109999999</v>
          </cell>
          <cell r="L34">
            <v>32488.516619999999</v>
          </cell>
          <cell r="M34">
            <v>33010.659149999999</v>
          </cell>
          <cell r="N34">
            <v>33550.298510000001</v>
          </cell>
          <cell r="O34">
            <v>34108.30687</v>
          </cell>
          <cell r="P34">
            <v>34684.653359999997</v>
          </cell>
          <cell r="Q34">
            <v>35278.748169999999</v>
          </cell>
          <cell r="R34">
            <v>35889.902730000002</v>
          </cell>
          <cell r="S34">
            <v>36517.672530000003</v>
          </cell>
          <cell r="T34">
            <v>37161.974829999999</v>
          </cell>
          <cell r="U34">
            <v>37823.002269999997</v>
          </cell>
          <cell r="V34">
            <v>38499.024640000003</v>
          </cell>
          <cell r="W34">
            <v>39190.823649999998</v>
          </cell>
          <cell r="X34">
            <v>39899.083039999998</v>
          </cell>
          <cell r="Y34">
            <v>40624.176299999999</v>
          </cell>
          <cell r="Z34">
            <v>41366.10469</v>
          </cell>
          <cell r="AA34">
            <v>42118.441899999998</v>
          </cell>
          <cell r="AB34">
            <v>42880.096899999997</v>
          </cell>
          <cell r="AC34">
            <v>43651.062790000004</v>
          </cell>
          <cell r="AD34">
            <v>44431.981469999999</v>
          </cell>
          <cell r="AE34">
            <v>45223.662349999999</v>
          </cell>
          <cell r="AF34">
            <v>46026.716030000003</v>
          </cell>
          <cell r="AG34">
            <v>46841.401149999998</v>
          </cell>
          <cell r="AH34">
            <v>47667.67942</v>
          </cell>
          <cell r="AI34">
            <v>48505.39329</v>
          </cell>
          <cell r="AJ34">
            <v>49354.455589999998</v>
          </cell>
          <cell r="AK34">
            <v>50214.964780000002</v>
          </cell>
        </row>
        <row r="35">
          <cell r="B35">
            <v>28144.495429999999</v>
          </cell>
          <cell r="C35">
            <v>28485.776900000001</v>
          </cell>
          <cell r="D35">
            <v>28847.935170000001</v>
          </cell>
          <cell r="E35">
            <v>29234.456870000002</v>
          </cell>
          <cell r="F35">
            <v>29645.839370000002</v>
          </cell>
          <cell r="G35">
            <v>30080.72133</v>
          </cell>
          <cell r="H35">
            <v>30535.84549</v>
          </cell>
          <cell r="I35">
            <v>31008.59159</v>
          </cell>
          <cell r="J35">
            <v>31497.497950000001</v>
          </cell>
          <cell r="K35">
            <v>32002.17008</v>
          </cell>
          <cell r="L35">
            <v>32525.280350000001</v>
          </cell>
          <cell r="M35">
            <v>33066.394410000001</v>
          </cell>
          <cell r="N35">
            <v>33624.627090000002</v>
          </cell>
          <cell r="O35">
            <v>34198.782749999998</v>
          </cell>
          <cell r="P35">
            <v>34787.761960000003</v>
          </cell>
          <cell r="Q35">
            <v>35390.903380000003</v>
          </cell>
          <cell r="R35">
            <v>36008.110670000002</v>
          </cell>
          <cell r="S35">
            <v>36639.759539999999</v>
          </cell>
          <cell r="T35">
            <v>37286.475180000001</v>
          </cell>
          <cell r="U35">
            <v>37948.895929999999</v>
          </cell>
          <cell r="V35">
            <v>38625.479140000003</v>
          </cell>
          <cell r="W35">
            <v>39317.130089999999</v>
          </cell>
          <cell r="X35">
            <v>40024.665099999998</v>
          </cell>
          <cell r="Y35">
            <v>40748.676420000003</v>
          </cell>
          <cell r="Z35">
            <v>41489.473360000004</v>
          </cell>
          <cell r="AA35">
            <v>42240.954429999998</v>
          </cell>
          <cell r="AB35">
            <v>43002.323880000004</v>
          </cell>
          <cell r="AC35">
            <v>43773.733240000001</v>
          </cell>
          <cell r="AD35">
            <v>44555.823620000003</v>
          </cell>
          <cell r="AE35">
            <v>45349.272060000003</v>
          </cell>
          <cell r="AF35">
            <v>46154.481469999999</v>
          </cell>
          <cell r="AG35">
            <v>46971.486279999997</v>
          </cell>
          <cell r="AH35">
            <v>47800.050300000003</v>
          </cell>
          <cell r="AI35">
            <v>48639.865030000001</v>
          </cell>
          <cell r="AJ35">
            <v>49490.739979999998</v>
          </cell>
          <cell r="AK35">
            <v>50352.706259999999</v>
          </cell>
        </row>
        <row r="36">
          <cell r="B36">
            <v>6035186.5970000001</v>
          </cell>
          <cell r="C36">
            <v>6105889.5080000004</v>
          </cell>
          <cell r="D36">
            <v>6177994.2029999997</v>
          </cell>
          <cell r="E36">
            <v>6252356.5970000001</v>
          </cell>
          <cell r="F36">
            <v>6329307.2659999998</v>
          </cell>
          <cell r="G36">
            <v>6408756.1239999998</v>
          </cell>
          <cell r="H36">
            <v>6491075.5539999995</v>
          </cell>
          <cell r="I36">
            <v>6575249.608</v>
          </cell>
          <cell r="J36">
            <v>6660508.0219999999</v>
          </cell>
          <cell r="K36">
            <v>6746653.443</v>
          </cell>
          <cell r="L36">
            <v>6833569.375</v>
          </cell>
          <cell r="M36">
            <v>6922522.1730000004</v>
          </cell>
          <cell r="N36">
            <v>7014023.79</v>
          </cell>
          <cell r="O36">
            <v>7108284.4280000003</v>
          </cell>
          <cell r="P36">
            <v>7205363.1210000003</v>
          </cell>
          <cell r="Q36">
            <v>7305249.4110000003</v>
          </cell>
          <cell r="R36">
            <v>7407931.4579999996</v>
          </cell>
          <cell r="S36">
            <v>7513440.4929999998</v>
          </cell>
          <cell r="T36">
            <v>7621861.2819999997</v>
          </cell>
          <cell r="U36">
            <v>7733313.2369999997</v>
          </cell>
          <cell r="V36">
            <v>7848151.8949999996</v>
          </cell>
          <cell r="W36">
            <v>7965984.4720000001</v>
          </cell>
          <cell r="X36">
            <v>8086889.6550000003</v>
          </cell>
          <cell r="Y36">
            <v>8210993.3020000001</v>
          </cell>
          <cell r="Z36">
            <v>8338355.4840000002</v>
          </cell>
          <cell r="AA36">
            <v>8469540.6989999991</v>
          </cell>
          <cell r="AB36">
            <v>8603544.6009999998</v>
          </cell>
          <cell r="AC36">
            <v>8740115.852</v>
          </cell>
          <cell r="AD36">
            <v>8879284.5659999996</v>
          </cell>
          <cell r="AE36">
            <v>9021149.8900000006</v>
          </cell>
          <cell r="AF36">
            <v>9165785.3149999995</v>
          </cell>
          <cell r="AG36">
            <v>9313204.9700000007</v>
          </cell>
          <cell r="AH36">
            <v>9463370.9140000008</v>
          </cell>
          <cell r="AI36">
            <v>9616222.2050000001</v>
          </cell>
          <cell r="AJ36">
            <v>9771706.2630000003</v>
          </cell>
          <cell r="AK36">
            <v>9929798.1699999999</v>
          </cell>
        </row>
        <row r="37">
          <cell r="B37">
            <v>6035186.5970000001</v>
          </cell>
          <cell r="C37">
            <v>6105889.5080000004</v>
          </cell>
          <cell r="D37">
            <v>6177994.2029999997</v>
          </cell>
          <cell r="E37">
            <v>6252356.5970000001</v>
          </cell>
          <cell r="F37">
            <v>6329307.2659999998</v>
          </cell>
          <cell r="G37">
            <v>6408756.1239999998</v>
          </cell>
          <cell r="H37">
            <v>6490720.9529999997</v>
          </cell>
          <cell r="I37">
            <v>6574802.8250000002</v>
          </cell>
          <cell r="J37">
            <v>6660728.426</v>
          </cell>
          <cell r="K37">
            <v>6748436.915</v>
          </cell>
          <cell r="L37">
            <v>6837594.3229999999</v>
          </cell>
          <cell r="M37">
            <v>6929070.3669999996</v>
          </cell>
          <cell r="N37">
            <v>7022933.0880000005</v>
          </cell>
          <cell r="O37">
            <v>7119047.9539999999</v>
          </cell>
          <cell r="P37">
            <v>7217302.8439999996</v>
          </cell>
          <cell r="Q37">
            <v>7317684.0719999997</v>
          </cell>
          <cell r="R37">
            <v>7420286.4720000001</v>
          </cell>
          <cell r="S37">
            <v>7525286.04</v>
          </cell>
          <cell r="T37">
            <v>7632895.9610000001</v>
          </cell>
          <cell r="U37">
            <v>7743324.2690000003</v>
          </cell>
          <cell r="V37">
            <v>7856975.3959999997</v>
          </cell>
          <cell r="W37">
            <v>7973499.5080000004</v>
          </cell>
          <cell r="X37">
            <v>8093017.3799999999</v>
          </cell>
          <cell r="Y37">
            <v>8215709.3119999999</v>
          </cell>
          <cell r="Z37">
            <v>8341702.0669999998</v>
          </cell>
          <cell r="AA37">
            <v>8471626.0490000006</v>
          </cell>
          <cell r="AB37">
            <v>8604539.1989999991</v>
          </cell>
          <cell r="AC37">
            <v>8740223.307</v>
          </cell>
          <cell r="AD37">
            <v>8878711.6870000008</v>
          </cell>
          <cell r="AE37">
            <v>9020082.5209999997</v>
          </cell>
          <cell r="AF37">
            <v>9164373.8900000006</v>
          </cell>
          <cell r="AG37">
            <v>9311560.1370000001</v>
          </cell>
          <cell r="AH37">
            <v>9461566.6280000005</v>
          </cell>
          <cell r="AI37">
            <v>9614302.7109999992</v>
          </cell>
          <cell r="AJ37">
            <v>9769693.7190000005</v>
          </cell>
          <cell r="AK37">
            <v>9927698.8910000008</v>
          </cell>
        </row>
        <row r="38">
          <cell r="B38">
            <v>1607871.6810000001</v>
          </cell>
          <cell r="C38">
            <v>1627109.28</v>
          </cell>
          <cell r="D38">
            <v>1647073.6950000001</v>
          </cell>
          <cell r="E38">
            <v>1667853.155</v>
          </cell>
          <cell r="F38">
            <v>1689416.6170000001</v>
          </cell>
          <cell r="G38">
            <v>1711662.398</v>
          </cell>
          <cell r="H38">
            <v>1734498.077</v>
          </cell>
          <cell r="I38">
            <v>1757678.496</v>
          </cell>
          <cell r="J38">
            <v>1781063.398</v>
          </cell>
          <cell r="K38">
            <v>1804653.2209999999</v>
          </cell>
          <cell r="L38">
            <v>1828547.7379999999</v>
          </cell>
          <cell r="M38">
            <v>1852958.3330000001</v>
          </cell>
          <cell r="N38">
            <v>1877985.362</v>
          </cell>
          <cell r="O38">
            <v>1903673.031</v>
          </cell>
          <cell r="P38">
            <v>1930032.892</v>
          </cell>
          <cell r="Q38">
            <v>1957063.3540000001</v>
          </cell>
          <cell r="R38">
            <v>1984766.2180000001</v>
          </cell>
          <cell r="S38">
            <v>2013155.6950000001</v>
          </cell>
          <cell r="T38">
            <v>2042258.4639999999</v>
          </cell>
          <cell r="U38">
            <v>2072107.25</v>
          </cell>
          <cell r="V38">
            <v>2102726.7519999999</v>
          </cell>
          <cell r="W38">
            <v>2134094.6690000002</v>
          </cell>
          <cell r="X38">
            <v>2166238.838</v>
          </cell>
          <cell r="Y38">
            <v>2199182.0550000002</v>
          </cell>
          <cell r="Z38">
            <v>2232930.602</v>
          </cell>
          <cell r="AA38">
            <v>2267450.0410000002</v>
          </cell>
          <cell r="AB38">
            <v>2302609.9759999998</v>
          </cell>
          <cell r="AC38">
            <v>2338393.1510000001</v>
          </cell>
          <cell r="AD38">
            <v>2374823.1159999999</v>
          </cell>
          <cell r="AE38">
            <v>2411928.3160000001</v>
          </cell>
          <cell r="AF38">
            <v>2449725.213</v>
          </cell>
          <cell r="AG38">
            <v>2488213.952</v>
          </cell>
          <cell r="AH38">
            <v>2527382.7209999999</v>
          </cell>
          <cell r="AI38">
            <v>2567215.9810000001</v>
          </cell>
          <cell r="AJ38">
            <v>2607701.9470000002</v>
          </cell>
          <cell r="AK38">
            <v>2648836.3429999999</v>
          </cell>
        </row>
        <row r="39">
          <cell r="B39">
            <v>1607871.6810000001</v>
          </cell>
          <cell r="C39">
            <v>1627109.28</v>
          </cell>
          <cell r="D39">
            <v>1647073.6950000001</v>
          </cell>
          <cell r="E39">
            <v>1667853.155</v>
          </cell>
          <cell r="F39">
            <v>1689416.6170000001</v>
          </cell>
          <cell r="G39">
            <v>1711662.398</v>
          </cell>
          <cell r="H39">
            <v>1734492.325</v>
          </cell>
          <cell r="I39">
            <v>1757781.03</v>
          </cell>
          <cell r="J39">
            <v>1781455.7</v>
          </cell>
          <cell r="K39">
            <v>1805498.5149999999</v>
          </cell>
          <cell r="L39">
            <v>1829918.7879999999</v>
          </cell>
          <cell r="M39">
            <v>1854813.72</v>
          </cell>
          <cell r="N39">
            <v>1880176.746</v>
          </cell>
          <cell r="O39">
            <v>1905984.2960000001</v>
          </cell>
          <cell r="P39">
            <v>1932230.1070000001</v>
          </cell>
          <cell r="Q39">
            <v>1958935.9790000001</v>
          </cell>
          <cell r="R39">
            <v>1986149.5260000001</v>
          </cell>
          <cell r="S39">
            <v>2013934.4790000001</v>
          </cell>
          <cell r="T39">
            <v>2042358.65</v>
          </cell>
          <cell r="U39">
            <v>2071483.7560000001</v>
          </cell>
          <cell r="V39">
            <v>2101353.2859999998</v>
          </cell>
          <cell r="W39">
            <v>2131961.3330000001</v>
          </cell>
          <cell r="X39">
            <v>2163350.9240000001</v>
          </cell>
          <cell r="Y39">
            <v>2195561.4750000001</v>
          </cell>
          <cell r="Z39">
            <v>2228616.6140000001</v>
          </cell>
          <cell r="AA39">
            <v>2262497.5210000002</v>
          </cell>
          <cell r="AB39">
            <v>2297085.0619999999</v>
          </cell>
          <cell r="AC39">
            <v>2332364.4360000002</v>
          </cell>
          <cell r="AD39">
            <v>2368353.9369999999</v>
          </cell>
          <cell r="AE39">
            <v>2405071.497</v>
          </cell>
          <cell r="AF39">
            <v>2442520.7940000002</v>
          </cell>
          <cell r="AG39">
            <v>2480689.5789999999</v>
          </cell>
          <cell r="AH39">
            <v>2519555.7519999999</v>
          </cell>
          <cell r="AI39">
            <v>2559096.287</v>
          </cell>
          <cell r="AJ39">
            <v>2599294.5860000001</v>
          </cell>
          <cell r="AK39">
            <v>2640143.6919999998</v>
          </cell>
        </row>
        <row r="40">
          <cell r="B40">
            <v>27855.000080000002</v>
          </cell>
          <cell r="C40">
            <v>28252.559740000001</v>
          </cell>
          <cell r="D40">
            <v>28743.61637</v>
          </cell>
          <cell r="E40">
            <v>29324.37932</v>
          </cell>
          <cell r="F40">
            <v>29985.154920000001</v>
          </cell>
          <cell r="G40">
            <v>30716.215410000001</v>
          </cell>
          <cell r="H40">
            <v>31515.030599999998</v>
          </cell>
          <cell r="I40">
            <v>32368.080290000002</v>
          </cell>
          <cell r="J40">
            <v>33265.621140000003</v>
          </cell>
          <cell r="K40">
            <v>34201.522109999998</v>
          </cell>
          <cell r="L40">
            <v>35178.151489999997</v>
          </cell>
          <cell r="M40">
            <v>36188.119259999999</v>
          </cell>
          <cell r="N40">
            <v>37228.846619999997</v>
          </cell>
          <cell r="O40">
            <v>38299.576639999999</v>
          </cell>
          <cell r="P40">
            <v>39399.657310000002</v>
          </cell>
          <cell r="Q40">
            <v>40528.213860000003</v>
          </cell>
          <cell r="R40">
            <v>41684.336309999999</v>
          </cell>
          <cell r="S40">
            <v>42867.301679999997</v>
          </cell>
          <cell r="T40">
            <v>44076.66476</v>
          </cell>
          <cell r="U40">
            <v>45312.202980000002</v>
          </cell>
          <cell r="V40">
            <v>46569.032140000003</v>
          </cell>
          <cell r="W40">
            <v>47851.21082</v>
          </cell>
          <cell r="X40">
            <v>49159.692790000001</v>
          </cell>
          <cell r="Y40">
            <v>50493.781660000001</v>
          </cell>
          <cell r="Z40">
            <v>51852.26384</v>
          </cell>
          <cell r="AA40">
            <v>53219.374839999997</v>
          </cell>
          <cell r="AB40">
            <v>54600.854070000001</v>
          </cell>
          <cell r="AC40">
            <v>55998.777280000002</v>
          </cell>
          <cell r="AD40">
            <v>57412.826309999997</v>
          </cell>
          <cell r="AE40">
            <v>58842.024449999997</v>
          </cell>
          <cell r="AF40">
            <v>60285.254180000004</v>
          </cell>
          <cell r="AG40">
            <v>61741.319510000001</v>
          </cell>
          <cell r="AH40">
            <v>63208.963340000002</v>
          </cell>
          <cell r="AI40">
            <v>64686.932249999998</v>
          </cell>
          <cell r="AJ40">
            <v>66174.068880000006</v>
          </cell>
          <cell r="AK40">
            <v>67669.379799999995</v>
          </cell>
        </row>
        <row r="41">
          <cell r="B41">
            <v>27855.000080000002</v>
          </cell>
          <cell r="C41">
            <v>28252.559740000001</v>
          </cell>
          <cell r="D41">
            <v>28743.61637</v>
          </cell>
          <cell r="E41">
            <v>29324.37932</v>
          </cell>
          <cell r="F41">
            <v>29985.154920000001</v>
          </cell>
          <cell r="G41">
            <v>30716.215410000001</v>
          </cell>
          <cell r="H41">
            <v>31505.823400000001</v>
          </cell>
          <cell r="I41">
            <v>32347.407289999999</v>
          </cell>
          <cell r="J41">
            <v>33236.713009999999</v>
          </cell>
          <cell r="K41">
            <v>34170.42798</v>
          </cell>
          <cell r="L41">
            <v>35151.598980000002</v>
          </cell>
          <cell r="M41">
            <v>36172.092219999999</v>
          </cell>
          <cell r="N41">
            <v>37227.720699999998</v>
          </cell>
          <cell r="O41">
            <v>38315.893060000002</v>
          </cell>
          <cell r="P41">
            <v>39434.346400000002</v>
          </cell>
          <cell r="Q41">
            <v>40581.038690000001</v>
          </cell>
          <cell r="R41">
            <v>41754.299809999997</v>
          </cell>
          <cell r="S41">
            <v>42952.90122</v>
          </cell>
          <cell r="T41">
            <v>44176.002919999999</v>
          </cell>
          <cell r="U41">
            <v>45423.030489999997</v>
          </cell>
          <cell r="V41">
            <v>46688.78557</v>
          </cell>
          <cell r="W41">
            <v>47977.162830000001</v>
          </cell>
          <cell r="X41">
            <v>49289.125119999997</v>
          </cell>
          <cell r="Y41">
            <v>50624.205300000001</v>
          </cell>
          <cell r="Z41">
            <v>51981.628750000003</v>
          </cell>
          <cell r="AA41">
            <v>53346.218809999998</v>
          </cell>
          <cell r="AB41">
            <v>54724.36318</v>
          </cell>
          <cell r="AC41">
            <v>56118.73072</v>
          </cell>
          <cell r="AD41">
            <v>57529.481720000003</v>
          </cell>
          <cell r="AE41">
            <v>58955.972459999997</v>
          </cell>
          <cell r="AF41">
            <v>60397.27349</v>
          </cell>
          <cell r="AG41">
            <v>61852.249940000002</v>
          </cell>
          <cell r="AH41">
            <v>63319.601499999997</v>
          </cell>
          <cell r="AI41">
            <v>64797.953849999998</v>
          </cell>
          <cell r="AJ41">
            <v>66285.971609999993</v>
          </cell>
          <cell r="AK41">
            <v>67782.437569999995</v>
          </cell>
        </row>
        <row r="42">
          <cell r="B42">
            <v>9832.1388310000002</v>
          </cell>
          <cell r="C42">
            <v>9946.962614</v>
          </cell>
          <cell r="D42">
            <v>10063.47142</v>
          </cell>
          <cell r="E42">
            <v>10181.342290000001</v>
          </cell>
          <cell r="F42">
            <v>10300.73605</v>
          </cell>
          <cell r="G42">
            <v>10422.03296</v>
          </cell>
          <cell r="H42">
            <v>10546.04718</v>
          </cell>
          <cell r="I42">
            <v>10672.68244</v>
          </cell>
          <cell r="J42">
            <v>10801.898289999999</v>
          </cell>
          <cell r="K42">
            <v>10933.60519</v>
          </cell>
          <cell r="L42">
            <v>11068.26535</v>
          </cell>
          <cell r="M42">
            <v>11205.25513</v>
          </cell>
          <cell r="N42">
            <v>11344.26355</v>
          </cell>
          <cell r="O42">
            <v>11485.171179999999</v>
          </cell>
          <cell r="P42">
            <v>11627.949000000001</v>
          </cell>
          <cell r="Q42">
            <v>11772.59656</v>
          </cell>
          <cell r="R42">
            <v>11919.106019999999</v>
          </cell>
          <cell r="S42">
            <v>12067.445320000001</v>
          </cell>
          <cell r="T42">
            <v>12217.55661</v>
          </cell>
          <cell r="U42">
            <v>12369.364869999999</v>
          </cell>
          <cell r="V42">
            <v>12522.298570000001</v>
          </cell>
          <cell r="W42">
            <v>12676.580239999999</v>
          </cell>
          <cell r="X42">
            <v>12832.25412</v>
          </cell>
          <cell r="Y42">
            <v>12989.28782</v>
          </cell>
          <cell r="Z42">
            <v>13147.63645</v>
          </cell>
          <cell r="AA42">
            <v>13305.79941</v>
          </cell>
          <cell r="AB42">
            <v>13463.98151</v>
          </cell>
          <cell r="AC42">
            <v>13622.202300000001</v>
          </cell>
          <cell r="AD42">
            <v>13780.36081</v>
          </cell>
          <cell r="AE42">
            <v>13938.33639</v>
          </cell>
          <cell r="AF42">
            <v>14096.03513</v>
          </cell>
          <cell r="AG42">
            <v>14253.40093</v>
          </cell>
          <cell r="AH42">
            <v>14410.407929999999</v>
          </cell>
          <cell r="AI42">
            <v>14567.045550000001</v>
          </cell>
          <cell r="AJ42">
            <v>14723.30465</v>
          </cell>
          <cell r="AK42">
            <v>14879.16912</v>
          </cell>
        </row>
        <row r="43">
          <cell r="B43">
            <v>9832.1388310000002</v>
          </cell>
          <cell r="C43">
            <v>9946.962614</v>
          </cell>
          <cell r="D43">
            <v>10063.47142</v>
          </cell>
          <cell r="E43">
            <v>10181.342290000001</v>
          </cell>
          <cell r="F43">
            <v>10300.73605</v>
          </cell>
          <cell r="G43">
            <v>10422.03296</v>
          </cell>
          <cell r="H43">
            <v>10545.217650000001</v>
          </cell>
          <cell r="I43">
            <v>10670.465260000001</v>
          </cell>
          <cell r="J43">
            <v>10797.924650000001</v>
          </cell>
          <cell r="K43">
            <v>10927.648520000001</v>
          </cell>
          <cell r="L43">
            <v>11060.245349999999</v>
          </cell>
          <cell r="M43">
            <v>11195.232910000001</v>
          </cell>
          <cell r="N43">
            <v>11332.37975</v>
          </cell>
          <cell r="O43">
            <v>11471.54946</v>
          </cell>
          <cell r="P43">
            <v>11612.599270000001</v>
          </cell>
          <cell r="Q43">
            <v>11755.346530000001</v>
          </cell>
          <cell r="R43">
            <v>11899.570900000001</v>
          </cell>
          <cell r="S43">
            <v>12045.033240000001</v>
          </cell>
          <cell r="T43">
            <v>12191.498740000001</v>
          </cell>
          <cell r="U43">
            <v>12338.755450000001</v>
          </cell>
          <cell r="V43">
            <v>12486.138720000001</v>
          </cell>
          <cell r="W43">
            <v>12633.79434</v>
          </cell>
          <cell r="X43">
            <v>12781.71089</v>
          </cell>
          <cell r="Y43">
            <v>12929.813630000001</v>
          </cell>
          <cell r="Z43">
            <v>13078.02463</v>
          </cell>
          <cell r="AA43">
            <v>13224.83416</v>
          </cell>
          <cell r="AB43">
            <v>13370.43268</v>
          </cell>
          <cell r="AC43">
            <v>13514.834999999999</v>
          </cell>
          <cell r="AD43">
            <v>13657.94233</v>
          </cell>
          <cell r="AE43">
            <v>13799.638150000001</v>
          </cell>
          <cell r="AF43">
            <v>13939.83014</v>
          </cell>
          <cell r="AG43">
            <v>14078.458060000001</v>
          </cell>
          <cell r="AH43">
            <v>14215.485060000001</v>
          </cell>
          <cell r="AI43">
            <v>14350.88373</v>
          </cell>
          <cell r="AJ43">
            <v>14484.62465</v>
          </cell>
          <cell r="AK43">
            <v>14616.671130000001</v>
          </cell>
        </row>
        <row r="44">
          <cell r="B44">
            <v>3233.0883199999998</v>
          </cell>
          <cell r="C44">
            <v>3273.5677989999999</v>
          </cell>
          <cell r="D44">
            <v>3317.3234889999999</v>
          </cell>
          <cell r="E44">
            <v>3363.7891629999999</v>
          </cell>
          <cell r="F44">
            <v>3412.5065399999999</v>
          </cell>
          <cell r="G44">
            <v>3463.1453849999998</v>
          </cell>
          <cell r="H44">
            <v>3515.6762589999998</v>
          </cell>
          <cell r="I44">
            <v>3569.6511460000002</v>
          </cell>
          <cell r="J44">
            <v>3624.7643269999999</v>
          </cell>
          <cell r="K44">
            <v>3680.7964360000001</v>
          </cell>
          <cell r="L44">
            <v>3737.8655560000002</v>
          </cell>
          <cell r="M44">
            <v>3795.626186</v>
          </cell>
          <cell r="N44">
            <v>3853.8985090000001</v>
          </cell>
          <cell r="O44">
            <v>3912.5862710000001</v>
          </cell>
          <cell r="P44">
            <v>3971.6256880000001</v>
          </cell>
          <cell r="Q44">
            <v>4030.962986</v>
          </cell>
          <cell r="R44">
            <v>4090.5462320000001</v>
          </cell>
          <cell r="S44">
            <v>4150.323214</v>
          </cell>
          <cell r="T44">
            <v>4210.2421400000003</v>
          </cell>
          <cell r="U44">
            <v>4270.2535360000002</v>
          </cell>
          <cell r="V44">
            <v>4330.0847439999998</v>
          </cell>
          <cell r="W44">
            <v>4389.8436510000001</v>
          </cell>
          <cell r="X44">
            <v>4449.5517250000003</v>
          </cell>
          <cell r="Y44">
            <v>4509.1951740000004</v>
          </cell>
          <cell r="Z44">
            <v>4568.7551890000004</v>
          </cell>
          <cell r="AA44">
            <v>4627.5445460000001</v>
          </cell>
          <cell r="AB44">
            <v>4685.6898970000002</v>
          </cell>
          <cell r="AC44">
            <v>4743.235756</v>
          </cell>
          <cell r="AD44">
            <v>4800.1779299999998</v>
          </cell>
          <cell r="AE44">
            <v>4856.5044959999996</v>
          </cell>
          <cell r="AF44">
            <v>4912.2111949999999</v>
          </cell>
          <cell r="AG44">
            <v>4967.3038329999999</v>
          </cell>
          <cell r="AH44">
            <v>5021.7957020000003</v>
          </cell>
          <cell r="AI44">
            <v>5075.7035530000003</v>
          </cell>
          <cell r="AJ44">
            <v>5129.0441760000003</v>
          </cell>
          <cell r="AK44">
            <v>5181.8323049999999</v>
          </cell>
        </row>
        <row r="45">
          <cell r="B45">
            <v>3233.0883199999998</v>
          </cell>
          <cell r="C45">
            <v>3273.5677989999999</v>
          </cell>
          <cell r="D45">
            <v>3317.3234889999999</v>
          </cell>
          <cell r="E45">
            <v>3363.7891629999999</v>
          </cell>
          <cell r="F45">
            <v>3412.5065399999999</v>
          </cell>
          <cell r="G45">
            <v>3463.1453849999998</v>
          </cell>
          <cell r="H45">
            <v>3515.2654980000002</v>
          </cell>
          <cell r="I45">
            <v>3568.5930090000002</v>
          </cell>
          <cell r="J45">
            <v>3622.919547</v>
          </cell>
          <cell r="K45">
            <v>3678.0618930000001</v>
          </cell>
          <cell r="L45">
            <v>3734.1504570000002</v>
          </cell>
          <cell r="M45">
            <v>3790.838006</v>
          </cell>
          <cell r="N45">
            <v>3847.926524</v>
          </cell>
          <cell r="O45">
            <v>3905.285104</v>
          </cell>
          <cell r="P45">
            <v>3962.802604</v>
          </cell>
          <cell r="Q45">
            <v>4020.372601</v>
          </cell>
          <cell r="R45">
            <v>4077.8917609999999</v>
          </cell>
          <cell r="S45">
            <v>4135.2626879999998</v>
          </cell>
          <cell r="T45">
            <v>4192.3973509999996</v>
          </cell>
          <cell r="U45">
            <v>4249.2192999999997</v>
          </cell>
          <cell r="V45">
            <v>4305.4391349999996</v>
          </cell>
          <cell r="W45">
            <v>4361.1489350000002</v>
          </cell>
          <cell r="X45">
            <v>4416.3577539999997</v>
          </cell>
          <cell r="Y45">
            <v>4471.0412249999999</v>
          </cell>
          <cell r="Z45">
            <v>4525.1707669999996</v>
          </cell>
          <cell r="AA45">
            <v>4578.0576440000004</v>
          </cell>
          <cell r="AB45">
            <v>4629.8213669999996</v>
          </cell>
          <cell r="AC45">
            <v>4680.4993940000004</v>
          </cell>
          <cell r="AD45">
            <v>4730.0805559999999</v>
          </cell>
          <cell r="AE45">
            <v>4778.5456219999996</v>
          </cell>
          <cell r="AF45">
            <v>4825.8826280000003</v>
          </cell>
          <cell r="AG45">
            <v>4872.0895060000003</v>
          </cell>
          <cell r="AH45">
            <v>4917.1718879999999</v>
          </cell>
          <cell r="AI45">
            <v>4961.1398490000001</v>
          </cell>
          <cell r="AJ45">
            <v>5004.005314</v>
          </cell>
          <cell r="AK45">
            <v>5045.780726</v>
          </cell>
        </row>
        <row r="46">
          <cell r="B46">
            <v>34434.995260000003</v>
          </cell>
          <cell r="C46">
            <v>34901.540580000001</v>
          </cell>
          <cell r="D46">
            <v>35449.302250000001</v>
          </cell>
          <cell r="E46">
            <v>36067.916290000001</v>
          </cell>
          <cell r="F46">
            <v>36746.188479999997</v>
          </cell>
          <cell r="G46">
            <v>37475.166319999997</v>
          </cell>
          <cell r="H46">
            <v>38286.875399999997</v>
          </cell>
          <cell r="I46">
            <v>39153.04492</v>
          </cell>
          <cell r="J46">
            <v>40054.507839999998</v>
          </cell>
          <cell r="K46">
            <v>40978.83382</v>
          </cell>
          <cell r="L46">
            <v>41918.116959999999</v>
          </cell>
          <cell r="M46">
            <v>42863.029690000003</v>
          </cell>
          <cell r="N46">
            <v>43806.34676</v>
          </cell>
          <cell r="O46">
            <v>44743.637239999996</v>
          </cell>
          <cell r="P46">
            <v>45672.558250000002</v>
          </cell>
          <cell r="Q46">
            <v>46591.807240000002</v>
          </cell>
          <cell r="R46">
            <v>47500.458720000002</v>
          </cell>
          <cell r="S46">
            <v>48397.639109999996</v>
          </cell>
          <cell r="T46">
            <v>49282.474289999998</v>
          </cell>
          <cell r="U46">
            <v>50154.209459999998</v>
          </cell>
          <cell r="V46">
            <v>51010.621919999998</v>
          </cell>
          <cell r="W46">
            <v>51852.144849999997</v>
          </cell>
          <cell r="X46">
            <v>52679.578260000002</v>
          </cell>
          <cell r="Y46">
            <v>53493.65107</v>
          </cell>
          <cell r="Z46">
            <v>54295.168899999997</v>
          </cell>
          <cell r="AA46">
            <v>55079.531289999999</v>
          </cell>
          <cell r="AB46">
            <v>55847.286460000003</v>
          </cell>
          <cell r="AC46">
            <v>56599.016620000002</v>
          </cell>
          <cell r="AD46">
            <v>57334.548009999999</v>
          </cell>
          <cell r="AE46">
            <v>58053.60454</v>
          </cell>
          <cell r="AF46">
            <v>58756.324439999997</v>
          </cell>
          <cell r="AG46">
            <v>59443.418949999999</v>
          </cell>
          <cell r="AH46">
            <v>60116.067929999997</v>
          </cell>
          <cell r="AI46">
            <v>60775.673929999997</v>
          </cell>
          <cell r="AJ46">
            <v>61423.637759999998</v>
          </cell>
          <cell r="AK46">
            <v>62061.232909999999</v>
          </cell>
        </row>
        <row r="47">
          <cell r="B47">
            <v>34434.995260000003</v>
          </cell>
          <cell r="C47">
            <v>34901.540580000001</v>
          </cell>
          <cell r="D47">
            <v>35449.302250000001</v>
          </cell>
          <cell r="E47">
            <v>36067.916290000001</v>
          </cell>
          <cell r="F47">
            <v>36746.188479999997</v>
          </cell>
          <cell r="G47">
            <v>37475.166319999997</v>
          </cell>
          <cell r="H47">
            <v>38246.257400000002</v>
          </cell>
          <cell r="I47">
            <v>39052.835830000004</v>
          </cell>
          <cell r="J47">
            <v>39889.250820000001</v>
          </cell>
          <cell r="K47">
            <v>40750.129610000004</v>
          </cell>
          <cell r="L47">
            <v>41632.41358</v>
          </cell>
          <cell r="M47">
            <v>42530.705699999999</v>
          </cell>
          <cell r="N47">
            <v>43440.358260000001</v>
          </cell>
          <cell r="O47">
            <v>44357.611470000003</v>
          </cell>
          <cell r="P47">
            <v>45278.88682</v>
          </cell>
          <cell r="Q47">
            <v>46200.405890000002</v>
          </cell>
          <cell r="R47">
            <v>47118.244409999999</v>
          </cell>
          <cell r="S47">
            <v>48028.638709999999</v>
          </cell>
          <cell r="T47">
            <v>48928.353190000002</v>
          </cell>
          <cell r="U47">
            <v>49814.956359999996</v>
          </cell>
          <cell r="V47">
            <v>50685.216330000003</v>
          </cell>
          <cell r="W47">
            <v>51538.860789999999</v>
          </cell>
          <cell r="X47">
            <v>52376.281499999997</v>
          </cell>
          <cell r="Y47">
            <v>53198.026709999998</v>
          </cell>
          <cell r="Z47">
            <v>54004.923649999997</v>
          </cell>
          <cell r="AA47">
            <v>54792.702680000002</v>
          </cell>
          <cell r="AB47">
            <v>55562.34534</v>
          </cell>
          <cell r="AC47">
            <v>56315.105629999998</v>
          </cell>
          <cell r="AD47">
            <v>57051.654439999998</v>
          </cell>
          <cell r="AE47">
            <v>57772.599479999997</v>
          </cell>
          <cell r="AF47">
            <v>58478.873460000003</v>
          </cell>
          <cell r="AG47">
            <v>59171.793839999998</v>
          </cell>
          <cell r="AH47">
            <v>59852.901559999998</v>
          </cell>
          <cell r="AI47">
            <v>60523.72608</v>
          </cell>
          <cell r="AJ47">
            <v>61185.59676</v>
          </cell>
          <cell r="AK47">
            <v>61839.548269999999</v>
          </cell>
        </row>
        <row r="48">
          <cell r="B48">
            <v>589.58979060000001</v>
          </cell>
          <cell r="C48">
            <v>597.59155220000002</v>
          </cell>
          <cell r="D48">
            <v>606.99475910000001</v>
          </cell>
          <cell r="E48">
            <v>617.61979699999995</v>
          </cell>
          <cell r="F48">
            <v>629.27134950000004</v>
          </cell>
          <cell r="G48">
            <v>641.79207780000002</v>
          </cell>
          <cell r="H48">
            <v>655.72856960000001</v>
          </cell>
          <cell r="I48">
            <v>670.58986240000002</v>
          </cell>
          <cell r="J48">
            <v>686.04383159999998</v>
          </cell>
          <cell r="K48">
            <v>701.87689020000005</v>
          </cell>
          <cell r="L48">
            <v>717.95543009999994</v>
          </cell>
          <cell r="M48">
            <v>734.12179939999999</v>
          </cell>
          <cell r="N48">
            <v>750.25402710000003</v>
          </cell>
          <cell r="O48">
            <v>766.27740840000001</v>
          </cell>
          <cell r="P48">
            <v>782.15251699999999</v>
          </cell>
          <cell r="Q48">
            <v>797.85754899999995</v>
          </cell>
          <cell r="R48">
            <v>813.37724209999999</v>
          </cell>
          <cell r="S48">
            <v>828.69743819999997</v>
          </cell>
          <cell r="T48">
            <v>843.80414919999998</v>
          </cell>
          <cell r="U48">
            <v>858.68546449999997</v>
          </cell>
          <cell r="V48">
            <v>873.30401749999999</v>
          </cell>
          <cell r="W48">
            <v>887.66798110000002</v>
          </cell>
          <cell r="X48">
            <v>901.79164230000003</v>
          </cell>
          <cell r="Y48">
            <v>915.68777020000005</v>
          </cell>
          <cell r="Z48">
            <v>929.37016679999999</v>
          </cell>
          <cell r="AA48">
            <v>942.75941690000002</v>
          </cell>
          <cell r="AB48">
            <v>955.86481379999998</v>
          </cell>
          <cell r="AC48">
            <v>968.69673420000004</v>
          </cell>
          <cell r="AD48">
            <v>981.2528059</v>
          </cell>
          <cell r="AE48">
            <v>993.52881869999999</v>
          </cell>
          <cell r="AF48">
            <v>1005.527405</v>
          </cell>
          <cell r="AG48">
            <v>1017.2607379999999</v>
          </cell>
          <cell r="AH48">
            <v>1028.7488470000001</v>
          </cell>
          <cell r="AI48">
            <v>1040.0155400000001</v>
          </cell>
          <cell r="AJ48">
            <v>1051.0846750000001</v>
          </cell>
          <cell r="AK48">
            <v>1061.9780499999999</v>
          </cell>
        </row>
        <row r="49">
          <cell r="B49">
            <v>589.58979060000001</v>
          </cell>
          <cell r="C49">
            <v>597.59155220000002</v>
          </cell>
          <cell r="D49">
            <v>606.99475910000001</v>
          </cell>
          <cell r="E49">
            <v>617.61979699999995</v>
          </cell>
          <cell r="F49">
            <v>629.27134950000004</v>
          </cell>
          <cell r="G49">
            <v>641.79207780000002</v>
          </cell>
          <cell r="H49">
            <v>655.03121039999996</v>
          </cell>
          <cell r="I49">
            <v>668.87241830000005</v>
          </cell>
          <cell r="J49">
            <v>683.21721930000001</v>
          </cell>
          <cell r="K49">
            <v>697.97286780000002</v>
          </cell>
          <cell r="L49">
            <v>713.08714640000005</v>
          </cell>
          <cell r="M49">
            <v>728.46754620000002</v>
          </cell>
          <cell r="N49">
            <v>744.03416449999997</v>
          </cell>
          <cell r="O49">
            <v>759.72239549999995</v>
          </cell>
          <cell r="P49">
            <v>775.47112609999999</v>
          </cell>
          <cell r="Q49">
            <v>791.2163491</v>
          </cell>
          <cell r="R49">
            <v>806.89204029999996</v>
          </cell>
          <cell r="S49">
            <v>822.43522259999997</v>
          </cell>
          <cell r="T49">
            <v>837.79202780000003</v>
          </cell>
          <cell r="U49">
            <v>852.92223039999999</v>
          </cell>
          <cell r="V49">
            <v>867.77145949999999</v>
          </cell>
          <cell r="W49">
            <v>882.33608719999995</v>
          </cell>
          <cell r="X49">
            <v>896.6237132</v>
          </cell>
          <cell r="Y49">
            <v>910.64436460000002</v>
          </cell>
          <cell r="Z49">
            <v>924.41257940000003</v>
          </cell>
          <cell r="AA49">
            <v>937.85494070000004</v>
          </cell>
          <cell r="AB49">
            <v>950.98838079999996</v>
          </cell>
          <cell r="AC49">
            <v>963.83484639999995</v>
          </cell>
          <cell r="AD49">
            <v>976.40635569999995</v>
          </cell>
          <cell r="AE49">
            <v>988.71365969999999</v>
          </cell>
          <cell r="AF49">
            <v>1000.772772</v>
          </cell>
          <cell r="AG49">
            <v>1012.606017</v>
          </cell>
          <cell r="AH49">
            <v>1024.2393939999999</v>
          </cell>
          <cell r="AI49">
            <v>1035.6987079999999</v>
          </cell>
          <cell r="AJ49">
            <v>1047.006451</v>
          </cell>
          <cell r="AK49">
            <v>1058.180218</v>
          </cell>
        </row>
        <row r="50">
          <cell r="B50">
            <v>61001.689109999999</v>
          </cell>
          <cell r="C50">
            <v>61688.719409999998</v>
          </cell>
          <cell r="D50">
            <v>62362.376120000001</v>
          </cell>
          <cell r="E50">
            <v>63031.806080000002</v>
          </cell>
          <cell r="F50">
            <v>63713.636180000001</v>
          </cell>
          <cell r="G50">
            <v>64427.049050000001</v>
          </cell>
          <cell r="H50">
            <v>65206.440020000002</v>
          </cell>
          <cell r="I50">
            <v>66046.950870000001</v>
          </cell>
          <cell r="J50">
            <v>66911.023300000001</v>
          </cell>
          <cell r="K50">
            <v>67767.709640000001</v>
          </cell>
          <cell r="L50">
            <v>68596.430229999998</v>
          </cell>
          <cell r="M50">
            <v>69383.502479999996</v>
          </cell>
          <cell r="N50">
            <v>70125.743430000002</v>
          </cell>
          <cell r="O50">
            <v>70830.06753</v>
          </cell>
          <cell r="P50">
            <v>71510.707349999997</v>
          </cell>
          <cell r="Q50">
            <v>72184.774350000007</v>
          </cell>
          <cell r="R50">
            <v>72870.142000000007</v>
          </cell>
          <cell r="S50">
            <v>73584.012390000004</v>
          </cell>
          <cell r="T50">
            <v>74341.898430000001</v>
          </cell>
          <cell r="U50">
            <v>75156.997470000002</v>
          </cell>
          <cell r="V50">
            <v>76038.012530000007</v>
          </cell>
          <cell r="W50">
            <v>76992.850250000003</v>
          </cell>
          <cell r="X50">
            <v>78026.491309999998</v>
          </cell>
          <cell r="Y50">
            <v>79140.769579999993</v>
          </cell>
          <cell r="Z50">
            <v>80334.760519999996</v>
          </cell>
          <cell r="AA50">
            <v>81598.672260000007</v>
          </cell>
          <cell r="AB50">
            <v>82925.552849999993</v>
          </cell>
          <cell r="AC50">
            <v>84306.393849999993</v>
          </cell>
          <cell r="AD50">
            <v>85730.429600000003</v>
          </cell>
          <cell r="AE50">
            <v>87186.985860000001</v>
          </cell>
          <cell r="AF50">
            <v>88667.080549999999</v>
          </cell>
          <cell r="AG50">
            <v>90164.335359999997</v>
          </cell>
          <cell r="AH50">
            <v>91675.17499</v>
          </cell>
          <cell r="AI50">
            <v>93198.282399999996</v>
          </cell>
          <cell r="AJ50">
            <v>94733.914319999996</v>
          </cell>
          <cell r="AK50">
            <v>96283.291070000007</v>
          </cell>
        </row>
        <row r="51">
          <cell r="B51">
            <v>61001.689109999999</v>
          </cell>
          <cell r="C51">
            <v>61688.719409999998</v>
          </cell>
          <cell r="D51">
            <v>62362.376120000001</v>
          </cell>
          <cell r="E51">
            <v>63031.806080000002</v>
          </cell>
          <cell r="F51">
            <v>63713.636180000001</v>
          </cell>
          <cell r="G51">
            <v>64427.049050000001</v>
          </cell>
          <cell r="H51">
            <v>65188.353210000001</v>
          </cell>
          <cell r="I51">
            <v>66011.243619999994</v>
          </cell>
          <cell r="J51">
            <v>66905.106509999998</v>
          </cell>
          <cell r="K51">
            <v>67874.085699999996</v>
          </cell>
          <cell r="L51">
            <v>68919.386280000006</v>
          </cell>
          <cell r="M51">
            <v>70035.204379999996</v>
          </cell>
          <cell r="N51">
            <v>71212.570860000007</v>
          </cell>
          <cell r="O51">
            <v>72440.424249999996</v>
          </cell>
          <cell r="P51">
            <v>73705.777530000007</v>
          </cell>
          <cell r="Q51">
            <v>74994.345000000001</v>
          </cell>
          <cell r="R51">
            <v>76292.142460000003</v>
          </cell>
          <cell r="S51">
            <v>77587.279209999993</v>
          </cell>
          <cell r="T51">
            <v>78871.448680000001</v>
          </cell>
          <cell r="U51">
            <v>80140.772819999998</v>
          </cell>
          <cell r="V51">
            <v>81393.724860000002</v>
          </cell>
          <cell r="W51">
            <v>82634.294590000005</v>
          </cell>
          <cell r="X51">
            <v>83868.992790000004</v>
          </cell>
          <cell r="Y51">
            <v>85105.704379999996</v>
          </cell>
          <cell r="Z51">
            <v>86353.070470000006</v>
          </cell>
          <cell r="AA51">
            <v>87613.07746</v>
          </cell>
          <cell r="AB51">
            <v>88892.145579999997</v>
          </cell>
          <cell r="AC51">
            <v>90195.008809999999</v>
          </cell>
          <cell r="AD51">
            <v>91523.986709999997</v>
          </cell>
          <cell r="AE51">
            <v>92879.881599999993</v>
          </cell>
          <cell r="AF51">
            <v>94262.841029999996</v>
          </cell>
          <cell r="AG51">
            <v>95672.748229999997</v>
          </cell>
          <cell r="AH51">
            <v>97109.177089999997</v>
          </cell>
          <cell r="AI51">
            <v>98571.134000000005</v>
          </cell>
          <cell r="AJ51">
            <v>100056.8416</v>
          </cell>
          <cell r="AK51">
            <v>101563.5825</v>
          </cell>
        </row>
        <row r="52">
          <cell r="B52">
            <v>815.06430769999997</v>
          </cell>
          <cell r="C52">
            <v>824.2439531</v>
          </cell>
          <cell r="D52">
            <v>833.24490939999998</v>
          </cell>
          <cell r="E52">
            <v>842.18939069999999</v>
          </cell>
          <cell r="F52">
            <v>851.2995545</v>
          </cell>
          <cell r="G52">
            <v>860.83170640000003</v>
          </cell>
          <cell r="H52">
            <v>871.24541409999995</v>
          </cell>
          <cell r="I52">
            <v>882.4757654</v>
          </cell>
          <cell r="J52">
            <v>894.02093090000005</v>
          </cell>
          <cell r="K52">
            <v>905.46740839999995</v>
          </cell>
          <cell r="L52">
            <v>916.5402259</v>
          </cell>
          <cell r="M52">
            <v>927.05656569999996</v>
          </cell>
          <cell r="N52">
            <v>936.97389950000002</v>
          </cell>
          <cell r="O52">
            <v>946.38461319999999</v>
          </cell>
          <cell r="P52">
            <v>955.47887330000003</v>
          </cell>
          <cell r="Q52">
            <v>964.48531160000005</v>
          </cell>
          <cell r="R52">
            <v>973.64274179999995</v>
          </cell>
          <cell r="S52">
            <v>983.18100679999998</v>
          </cell>
          <cell r="T52">
            <v>993.3073799</v>
          </cell>
          <cell r="U52">
            <v>1004.1981950000001</v>
          </cell>
          <cell r="V52">
            <v>1015.969737</v>
          </cell>
          <cell r="W52">
            <v>1028.727648</v>
          </cell>
          <cell r="X52">
            <v>1042.5384779999999</v>
          </cell>
          <cell r="Y52">
            <v>1057.426729</v>
          </cell>
          <cell r="Z52">
            <v>1073.380048</v>
          </cell>
          <cell r="AA52">
            <v>1090.2676019999999</v>
          </cell>
          <cell r="AB52">
            <v>1107.9965050000001</v>
          </cell>
          <cell r="AC52">
            <v>1126.4463909999999</v>
          </cell>
          <cell r="AD52">
            <v>1145.4734169999999</v>
          </cell>
          <cell r="AE52">
            <v>1164.93496</v>
          </cell>
          <cell r="AF52">
            <v>1184.711008</v>
          </cell>
          <cell r="AG52">
            <v>1204.7163390000001</v>
          </cell>
          <cell r="AH52">
            <v>1224.9031809999999</v>
          </cell>
          <cell r="AI52">
            <v>1245.253937</v>
          </cell>
          <cell r="AJ52">
            <v>1265.772037</v>
          </cell>
          <cell r="AK52">
            <v>1286.4737869999999</v>
          </cell>
        </row>
        <row r="53">
          <cell r="B53">
            <v>815.06430769999997</v>
          </cell>
          <cell r="C53">
            <v>824.2439531</v>
          </cell>
          <cell r="D53">
            <v>833.24490939999998</v>
          </cell>
          <cell r="E53">
            <v>842.18939069999999</v>
          </cell>
          <cell r="F53">
            <v>851.2995545</v>
          </cell>
          <cell r="G53">
            <v>860.83170640000003</v>
          </cell>
          <cell r="H53">
            <v>871.00375020000001</v>
          </cell>
          <cell r="I53">
            <v>881.99866870000005</v>
          </cell>
          <cell r="J53">
            <v>893.94187469999997</v>
          </cell>
          <cell r="K53">
            <v>906.888735</v>
          </cell>
          <cell r="L53">
            <v>920.85535140000002</v>
          </cell>
          <cell r="M53">
            <v>935.76417649999996</v>
          </cell>
          <cell r="N53">
            <v>951.49537029999999</v>
          </cell>
          <cell r="O53">
            <v>967.90113680000002</v>
          </cell>
          <cell r="P53">
            <v>984.80795220000005</v>
          </cell>
          <cell r="Q53">
            <v>1002.02494</v>
          </cell>
          <cell r="R53">
            <v>1019.3652530000001</v>
          </cell>
          <cell r="S53">
            <v>1036.670016</v>
          </cell>
          <cell r="T53">
            <v>1053.8282409999999</v>
          </cell>
          <cell r="U53">
            <v>1070.788112</v>
          </cell>
          <cell r="V53">
            <v>1087.5292300000001</v>
          </cell>
          <cell r="W53">
            <v>1104.104904</v>
          </cell>
          <cell r="X53">
            <v>1120.6021270000001</v>
          </cell>
          <cell r="Y53">
            <v>1137.1262509999999</v>
          </cell>
          <cell r="Z53">
            <v>1153.792733</v>
          </cell>
          <cell r="AA53">
            <v>1170.628115</v>
          </cell>
          <cell r="AB53">
            <v>1187.718179</v>
          </cell>
          <cell r="AC53">
            <v>1205.1261770000001</v>
          </cell>
          <cell r="AD53">
            <v>1222.8831029999999</v>
          </cell>
          <cell r="AE53">
            <v>1240.9996759999999</v>
          </cell>
          <cell r="AF53">
            <v>1259.4778670000001</v>
          </cell>
          <cell r="AG53">
            <v>1278.316116</v>
          </cell>
          <cell r="AH53">
            <v>1297.5087309999999</v>
          </cell>
          <cell r="AI53">
            <v>1317.042434</v>
          </cell>
          <cell r="AJ53">
            <v>1336.893478</v>
          </cell>
          <cell r="AK53">
            <v>1357.0255560000001</v>
          </cell>
        </row>
        <row r="54">
          <cell r="B54">
            <v>3114.1773079999998</v>
          </cell>
          <cell r="C54">
            <v>3149.2506669999998</v>
          </cell>
          <cell r="D54">
            <v>3183.6412959999998</v>
          </cell>
          <cell r="E54">
            <v>3217.8161460000001</v>
          </cell>
          <cell r="F54">
            <v>3252.6240320000002</v>
          </cell>
          <cell r="G54">
            <v>3289.0442389999998</v>
          </cell>
          <cell r="H54">
            <v>3328.8326729999999</v>
          </cell>
          <cell r="I54">
            <v>3371.7413179999999</v>
          </cell>
          <cell r="J54">
            <v>3415.852797</v>
          </cell>
          <cell r="K54">
            <v>3459.5872119999999</v>
          </cell>
          <cell r="L54">
            <v>3501.8939559999999</v>
          </cell>
          <cell r="M54">
            <v>3542.0745240000001</v>
          </cell>
          <cell r="N54">
            <v>3579.9664250000001</v>
          </cell>
          <cell r="O54">
            <v>3615.9226440000002</v>
          </cell>
          <cell r="P54">
            <v>3650.669766</v>
          </cell>
          <cell r="Q54">
            <v>3685.0813400000002</v>
          </cell>
          <cell r="R54">
            <v>3720.0698200000002</v>
          </cell>
          <cell r="S54">
            <v>3756.5133839999999</v>
          </cell>
          <cell r="T54">
            <v>3795.2039770000001</v>
          </cell>
          <cell r="U54">
            <v>3836.8153309999998</v>
          </cell>
          <cell r="V54">
            <v>3881.7917440000001</v>
          </cell>
          <cell r="W54">
            <v>3930.5368520000002</v>
          </cell>
          <cell r="X54">
            <v>3983.3049249999999</v>
          </cell>
          <cell r="Y54">
            <v>4040.1895810000001</v>
          </cell>
          <cell r="Z54">
            <v>4101.1436219999996</v>
          </cell>
          <cell r="AA54">
            <v>4165.6671669999996</v>
          </cell>
          <cell r="AB54">
            <v>4233.405315</v>
          </cell>
          <cell r="AC54">
            <v>4303.8981780000004</v>
          </cell>
          <cell r="AD54">
            <v>4376.5961619999998</v>
          </cell>
          <cell r="AE54">
            <v>4450.9543400000002</v>
          </cell>
          <cell r="AF54">
            <v>4526.5141700000004</v>
          </cell>
          <cell r="AG54">
            <v>4602.9500369999996</v>
          </cell>
          <cell r="AH54">
            <v>4680.0794180000003</v>
          </cell>
          <cell r="AI54">
            <v>4757.8350769999997</v>
          </cell>
          <cell r="AJ54">
            <v>4836.2301200000002</v>
          </cell>
          <cell r="AK54">
            <v>4915.3268459999999</v>
          </cell>
        </row>
        <row r="55">
          <cell r="B55">
            <v>3114.1773079999998</v>
          </cell>
          <cell r="C55">
            <v>3149.2506669999998</v>
          </cell>
          <cell r="D55">
            <v>3183.6412959999998</v>
          </cell>
          <cell r="E55">
            <v>3217.8161460000001</v>
          </cell>
          <cell r="F55">
            <v>3252.6240320000002</v>
          </cell>
          <cell r="G55">
            <v>3289.0442389999998</v>
          </cell>
          <cell r="H55">
            <v>3327.9093290000001</v>
          </cell>
          <cell r="I55">
            <v>3369.918439</v>
          </cell>
          <cell r="J55">
            <v>3415.550741</v>
          </cell>
          <cell r="K55">
            <v>3465.017781</v>
          </cell>
          <cell r="L55">
            <v>3518.3810800000001</v>
          </cell>
          <cell r="M55">
            <v>3575.344345</v>
          </cell>
          <cell r="N55">
            <v>3635.449697</v>
          </cell>
          <cell r="O55">
            <v>3698.132439</v>
          </cell>
          <cell r="P55">
            <v>3762.7295760000002</v>
          </cell>
          <cell r="Q55">
            <v>3828.511814</v>
          </cell>
          <cell r="R55">
            <v>3894.7652480000002</v>
          </cell>
          <cell r="S55">
            <v>3960.8828509999998</v>
          </cell>
          <cell r="T55">
            <v>4026.4405670000001</v>
          </cell>
          <cell r="U55">
            <v>4091.2404190000002</v>
          </cell>
          <cell r="V55">
            <v>4155.2044640000004</v>
          </cell>
          <cell r="W55">
            <v>4218.5363850000003</v>
          </cell>
          <cell r="X55">
            <v>4281.5685599999997</v>
          </cell>
          <cell r="Y55">
            <v>4344.7035189999997</v>
          </cell>
          <cell r="Z55">
            <v>4408.3823979999997</v>
          </cell>
          <cell r="AA55">
            <v>4472.7066029999996</v>
          </cell>
          <cell r="AB55">
            <v>4538.0038919999997</v>
          </cell>
          <cell r="AC55">
            <v>4604.5159370000001</v>
          </cell>
          <cell r="AD55">
            <v>4672.3611540000002</v>
          </cell>
          <cell r="AE55">
            <v>4741.5805010000004</v>
          </cell>
          <cell r="AF55">
            <v>4812.1815109999998</v>
          </cell>
          <cell r="AG55">
            <v>4884.1582230000004</v>
          </cell>
          <cell r="AH55">
            <v>4957.4888840000003</v>
          </cell>
          <cell r="AI55">
            <v>5032.1227689999996</v>
          </cell>
          <cell r="AJ55">
            <v>5107.9691409999996</v>
          </cell>
          <cell r="AK55">
            <v>5184.8892800000003</v>
          </cell>
        </row>
        <row r="56">
          <cell r="B56">
            <v>1480.9898519999999</v>
          </cell>
          <cell r="C56">
            <v>1497.66947</v>
          </cell>
          <cell r="D56">
            <v>1514.024406</v>
          </cell>
          <cell r="E56">
            <v>1530.2767260000001</v>
          </cell>
          <cell r="F56">
            <v>1546.830095</v>
          </cell>
          <cell r="G56">
            <v>1564.150226</v>
          </cell>
          <cell r="H56">
            <v>1583.072163</v>
          </cell>
          <cell r="I56">
            <v>1603.4779590000001</v>
          </cell>
          <cell r="J56">
            <v>1624.45578</v>
          </cell>
          <cell r="K56">
            <v>1645.2542820000001</v>
          </cell>
          <cell r="L56">
            <v>1665.373836</v>
          </cell>
          <cell r="M56">
            <v>1684.482258</v>
          </cell>
          <cell r="N56">
            <v>1702.5022730000001</v>
          </cell>
          <cell r="O56">
            <v>1719.6017469999999</v>
          </cell>
          <cell r="P56">
            <v>1736.126219</v>
          </cell>
          <cell r="Q56">
            <v>1752.4911159999999</v>
          </cell>
          <cell r="R56">
            <v>1769.130369</v>
          </cell>
          <cell r="S56">
            <v>1786.461607</v>
          </cell>
          <cell r="T56">
            <v>1804.861451</v>
          </cell>
          <cell r="U56">
            <v>1824.6503029999999</v>
          </cell>
          <cell r="V56">
            <v>1846.039454</v>
          </cell>
          <cell r="W56">
            <v>1869.220861</v>
          </cell>
          <cell r="X56">
            <v>1894.3154440000001</v>
          </cell>
          <cell r="Y56">
            <v>1921.367724</v>
          </cell>
          <cell r="Z56">
            <v>1950.3552569999999</v>
          </cell>
          <cell r="AA56">
            <v>1981.040317</v>
          </cell>
          <cell r="AB56">
            <v>2013.254124</v>
          </cell>
          <cell r="AC56">
            <v>2046.777975</v>
          </cell>
          <cell r="AD56">
            <v>2081.3505009999999</v>
          </cell>
          <cell r="AE56">
            <v>2116.7125550000001</v>
          </cell>
          <cell r="AF56">
            <v>2152.646072</v>
          </cell>
          <cell r="AG56">
            <v>2188.9962</v>
          </cell>
          <cell r="AH56">
            <v>2225.6761369999999</v>
          </cell>
          <cell r="AI56">
            <v>2262.65391</v>
          </cell>
          <cell r="AJ56">
            <v>2299.9357519999999</v>
          </cell>
          <cell r="AK56">
            <v>2337.5512880000001</v>
          </cell>
        </row>
        <row r="57">
          <cell r="B57">
            <v>1480.9898519999999</v>
          </cell>
          <cell r="C57">
            <v>1497.66947</v>
          </cell>
          <cell r="D57">
            <v>1514.024406</v>
          </cell>
          <cell r="E57">
            <v>1530.2767260000001</v>
          </cell>
          <cell r="F57">
            <v>1546.830095</v>
          </cell>
          <cell r="G57">
            <v>1564.150226</v>
          </cell>
          <cell r="H57">
            <v>1582.6330539999999</v>
          </cell>
          <cell r="I57">
            <v>1602.6110639999999</v>
          </cell>
          <cell r="J57">
            <v>1624.3121329999999</v>
          </cell>
          <cell r="K57">
            <v>1647.8368640000001</v>
          </cell>
          <cell r="L57">
            <v>1673.2145149999999</v>
          </cell>
          <cell r="M57">
            <v>1700.304179</v>
          </cell>
          <cell r="N57">
            <v>1728.8881060000001</v>
          </cell>
          <cell r="O57">
            <v>1758.6977460000001</v>
          </cell>
          <cell r="P57">
            <v>1789.417803</v>
          </cell>
          <cell r="Q57">
            <v>1820.7014509999999</v>
          </cell>
          <cell r="R57">
            <v>1852.2091829999999</v>
          </cell>
          <cell r="S57">
            <v>1883.6523179999999</v>
          </cell>
          <cell r="T57">
            <v>1914.8291919999999</v>
          </cell>
          <cell r="U57">
            <v>1945.645653</v>
          </cell>
          <cell r="V57">
            <v>1976.0646340000001</v>
          </cell>
          <cell r="W57">
            <v>2006.183</v>
          </cell>
          <cell r="X57">
            <v>2036.1588180000001</v>
          </cell>
          <cell r="Y57">
            <v>2066.1835160000001</v>
          </cell>
          <cell r="Z57">
            <v>2096.4668830000001</v>
          </cell>
          <cell r="AA57">
            <v>2127.057143</v>
          </cell>
          <cell r="AB57">
            <v>2158.1101669999998</v>
          </cell>
          <cell r="AC57">
            <v>2189.7408850000002</v>
          </cell>
          <cell r="AD57">
            <v>2222.005611</v>
          </cell>
          <cell r="AE57">
            <v>2254.923824</v>
          </cell>
          <cell r="AF57">
            <v>2288.4991049999999</v>
          </cell>
          <cell r="AG57">
            <v>2322.7286199999999</v>
          </cell>
          <cell r="AH57">
            <v>2357.6020250000001</v>
          </cell>
          <cell r="AI57">
            <v>2393.0951949999999</v>
          </cell>
          <cell r="AJ57">
            <v>2429.16498</v>
          </cell>
          <cell r="AK57">
            <v>2465.7454109999999</v>
          </cell>
        </row>
        <row r="58">
          <cell r="B58">
            <v>2902.6550579999998</v>
          </cell>
          <cell r="C58">
            <v>2935.3461520000001</v>
          </cell>
          <cell r="D58">
            <v>2967.400889</v>
          </cell>
          <cell r="E58">
            <v>2999.2545030000001</v>
          </cell>
          <cell r="F58">
            <v>3031.698155</v>
          </cell>
          <cell r="G58">
            <v>3065.644616</v>
          </cell>
          <cell r="H58">
            <v>3102.7305259999998</v>
          </cell>
          <cell r="I58">
            <v>3142.7247149999998</v>
          </cell>
          <cell r="J58">
            <v>3183.8400390000002</v>
          </cell>
          <cell r="K58">
            <v>3224.6039089999999</v>
          </cell>
          <cell r="L58">
            <v>3264.0370800000001</v>
          </cell>
          <cell r="M58">
            <v>3301.4884889999998</v>
          </cell>
          <cell r="N58">
            <v>3336.8066829999998</v>
          </cell>
          <cell r="O58">
            <v>3370.3206709999999</v>
          </cell>
          <cell r="P58">
            <v>3402.7076860000002</v>
          </cell>
          <cell r="Q58">
            <v>3434.7819450000002</v>
          </cell>
          <cell r="R58">
            <v>3467.3939249999999</v>
          </cell>
          <cell r="S58">
            <v>3501.362157</v>
          </cell>
          <cell r="T58">
            <v>3537.424794</v>
          </cell>
          <cell r="U58">
            <v>3576.2098070000002</v>
          </cell>
          <cell r="V58">
            <v>3618.131316</v>
          </cell>
          <cell r="W58">
            <v>3663.5655419999998</v>
          </cell>
          <cell r="X58">
            <v>3712.7494830000001</v>
          </cell>
          <cell r="Y58">
            <v>3765.770399</v>
          </cell>
          <cell r="Z58">
            <v>3822.5842990000001</v>
          </cell>
          <cell r="AA58">
            <v>3882.7252530000001</v>
          </cell>
          <cell r="AB58">
            <v>3945.862466</v>
          </cell>
          <cell r="AC58">
            <v>4011.5672880000002</v>
          </cell>
          <cell r="AD58">
            <v>4079.3274540000002</v>
          </cell>
          <cell r="AE58">
            <v>4148.6350490000004</v>
          </cell>
          <cell r="AF58">
            <v>4219.0626789999997</v>
          </cell>
          <cell r="AG58">
            <v>4290.3068409999996</v>
          </cell>
          <cell r="AH58">
            <v>4362.1974129999999</v>
          </cell>
          <cell r="AI58">
            <v>4434.6717250000002</v>
          </cell>
          <cell r="AJ58">
            <v>4507.7419920000002</v>
          </cell>
          <cell r="AK58">
            <v>4581.4662829999997</v>
          </cell>
        </row>
        <row r="59">
          <cell r="B59">
            <v>2902.6550579999998</v>
          </cell>
          <cell r="C59">
            <v>2935.3461520000001</v>
          </cell>
          <cell r="D59">
            <v>2967.400889</v>
          </cell>
          <cell r="E59">
            <v>2999.2545030000001</v>
          </cell>
          <cell r="F59">
            <v>3031.698155</v>
          </cell>
          <cell r="G59">
            <v>3065.644616</v>
          </cell>
          <cell r="H59">
            <v>3101.8698979999999</v>
          </cell>
          <cell r="I59">
            <v>3141.02565</v>
          </cell>
          <cell r="J59">
            <v>3183.5584990000002</v>
          </cell>
          <cell r="K59">
            <v>3229.665622</v>
          </cell>
          <cell r="L59">
            <v>3279.4043590000001</v>
          </cell>
          <cell r="M59">
            <v>3332.4985459999998</v>
          </cell>
          <cell r="N59">
            <v>3388.521401</v>
          </cell>
          <cell r="O59">
            <v>3446.9465839999998</v>
          </cell>
          <cell r="P59">
            <v>3507.1561310000002</v>
          </cell>
          <cell r="Q59">
            <v>3568.470284</v>
          </cell>
          <cell r="R59">
            <v>3630.2236290000001</v>
          </cell>
          <cell r="S59">
            <v>3691.8503689999998</v>
          </cell>
          <cell r="T59">
            <v>3752.9552509999999</v>
          </cell>
          <cell r="U59">
            <v>3813.3537449999999</v>
          </cell>
          <cell r="V59">
            <v>3872.9732009999998</v>
          </cell>
          <cell r="W59">
            <v>3932.0034690000002</v>
          </cell>
          <cell r="X59">
            <v>3990.7543500000002</v>
          </cell>
          <cell r="Y59">
            <v>4049.6010339999998</v>
          </cell>
          <cell r="Z59">
            <v>4108.954694</v>
          </cell>
          <cell r="AA59">
            <v>4168.9098480000002</v>
          </cell>
          <cell r="AB59">
            <v>4229.7719909999996</v>
          </cell>
          <cell r="AC59">
            <v>4291.7663819999998</v>
          </cell>
          <cell r="AD59">
            <v>4355.0033919999996</v>
          </cell>
          <cell r="AE59">
            <v>4419.5211980000004</v>
          </cell>
          <cell r="AF59">
            <v>4485.326822</v>
          </cell>
          <cell r="AG59">
            <v>4552.4147059999996</v>
          </cell>
          <cell r="AH59">
            <v>4620.7645759999996</v>
          </cell>
          <cell r="AI59">
            <v>4690.3291509999999</v>
          </cell>
          <cell r="AJ59">
            <v>4761.0238589999999</v>
          </cell>
          <cell r="AK59">
            <v>4832.7194019999997</v>
          </cell>
        </row>
        <row r="60">
          <cell r="B60">
            <v>825.71997280000005</v>
          </cell>
          <cell r="C60">
            <v>835.01962730000002</v>
          </cell>
          <cell r="D60">
            <v>844.13825680000002</v>
          </cell>
          <cell r="E60">
            <v>853.1996729</v>
          </cell>
          <cell r="F60">
            <v>862.42893760000004</v>
          </cell>
          <cell r="G60">
            <v>872.0857072</v>
          </cell>
          <cell r="H60">
            <v>882.6355575</v>
          </cell>
          <cell r="I60">
            <v>894.01272770000003</v>
          </cell>
          <cell r="J60">
            <v>905.70882770000003</v>
          </cell>
          <cell r="K60">
            <v>917.30494969999995</v>
          </cell>
          <cell r="L60">
            <v>928.52252659999999</v>
          </cell>
          <cell r="M60">
            <v>939.17635080000002</v>
          </cell>
          <cell r="N60">
            <v>949.22333790000005</v>
          </cell>
          <cell r="O60">
            <v>958.75708169999996</v>
          </cell>
          <cell r="P60">
            <v>967.97023469999999</v>
          </cell>
          <cell r="Q60">
            <v>977.09441779999997</v>
          </cell>
          <cell r="R60">
            <v>986.37156679999998</v>
          </cell>
          <cell r="S60">
            <v>996.0345294</v>
          </cell>
          <cell r="T60">
            <v>1006.293289</v>
          </cell>
          <cell r="U60">
            <v>1017.3264840000001</v>
          </cell>
          <cell r="V60">
            <v>1029.2519199999999</v>
          </cell>
          <cell r="W60">
            <v>1042.1766210000001</v>
          </cell>
          <cell r="X60">
            <v>1056.168005</v>
          </cell>
          <cell r="Y60">
            <v>1071.250896</v>
          </cell>
          <cell r="Z60">
            <v>1087.412779</v>
          </cell>
          <cell r="AA60">
            <v>1104.521111</v>
          </cell>
          <cell r="AB60">
            <v>1122.4817909999999</v>
          </cell>
          <cell r="AC60">
            <v>1141.1728800000001</v>
          </cell>
          <cell r="AD60">
            <v>1160.448654</v>
          </cell>
          <cell r="AE60">
            <v>1180.1646249999999</v>
          </cell>
          <cell r="AF60">
            <v>1200.199214</v>
          </cell>
          <cell r="AG60">
            <v>1220.466083</v>
          </cell>
          <cell r="AH60">
            <v>1240.916835</v>
          </cell>
          <cell r="AI60">
            <v>1261.533645</v>
          </cell>
          <cell r="AJ60">
            <v>1282.319986</v>
          </cell>
          <cell r="AK60">
            <v>1303.2923780000001</v>
          </cell>
        </row>
        <row r="61">
          <cell r="B61">
            <v>825.71997280000005</v>
          </cell>
          <cell r="C61">
            <v>835.01962730000002</v>
          </cell>
          <cell r="D61">
            <v>844.13825680000002</v>
          </cell>
          <cell r="E61">
            <v>853.1996729</v>
          </cell>
          <cell r="F61">
            <v>862.42893760000004</v>
          </cell>
          <cell r="G61">
            <v>872.0857072</v>
          </cell>
          <cell r="H61">
            <v>882.3907342</v>
          </cell>
          <cell r="I61">
            <v>893.52939370000001</v>
          </cell>
          <cell r="J61">
            <v>905.628738</v>
          </cell>
          <cell r="K61">
            <v>918.74485790000006</v>
          </cell>
          <cell r="L61">
            <v>932.89406550000001</v>
          </cell>
          <cell r="M61">
            <v>947.99779969999997</v>
          </cell>
          <cell r="N61">
            <v>963.93465370000001</v>
          </cell>
          <cell r="O61">
            <v>980.55489950000003</v>
          </cell>
          <cell r="P61">
            <v>997.68274450000001</v>
          </cell>
          <cell r="Q61">
            <v>1015.124817</v>
          </cell>
          <cell r="R61">
            <v>1032.6918270000001</v>
          </cell>
          <cell r="S61">
            <v>1050.222822</v>
          </cell>
          <cell r="T61">
            <v>1067.6053629999999</v>
          </cell>
          <cell r="U61">
            <v>1084.7869579999999</v>
          </cell>
          <cell r="V61">
            <v>1101.7469390000001</v>
          </cell>
          <cell r="W61">
            <v>1118.5393140000001</v>
          </cell>
          <cell r="X61">
            <v>1135.252211</v>
          </cell>
          <cell r="Y61">
            <v>1151.992362</v>
          </cell>
          <cell r="Z61">
            <v>1168.8767319999999</v>
          </cell>
          <cell r="AA61">
            <v>1185.9322090000001</v>
          </cell>
          <cell r="AB61">
            <v>1203.2456979999999</v>
          </cell>
          <cell r="AC61">
            <v>1220.8812789999999</v>
          </cell>
          <cell r="AD61">
            <v>1238.8703479999999</v>
          </cell>
          <cell r="AE61">
            <v>1257.2237660000001</v>
          </cell>
          <cell r="AF61">
            <v>1275.94353</v>
          </cell>
          <cell r="AG61">
            <v>1295.028059</v>
          </cell>
          <cell r="AH61">
            <v>1314.4715859999999</v>
          </cell>
          <cell r="AI61">
            <v>1334.2606619999999</v>
          </cell>
          <cell r="AJ61">
            <v>1354.371226</v>
          </cell>
          <cell r="AK61">
            <v>1374.7664990000001</v>
          </cell>
        </row>
        <row r="62">
          <cell r="B62">
            <v>8364.0564240000003</v>
          </cell>
          <cell r="C62">
            <v>8458.2564409999995</v>
          </cell>
          <cell r="D62">
            <v>8550.6227799999997</v>
          </cell>
          <cell r="E62">
            <v>8642.4095820000002</v>
          </cell>
          <cell r="F62">
            <v>8735.8965910000006</v>
          </cell>
          <cell r="G62">
            <v>8833.7139719999996</v>
          </cell>
          <cell r="H62">
            <v>8940.5777350000008</v>
          </cell>
          <cell r="I62">
            <v>9055.8217609999992</v>
          </cell>
          <cell r="J62">
            <v>9174.2963579999996</v>
          </cell>
          <cell r="K62">
            <v>9291.7582349999993</v>
          </cell>
          <cell r="L62">
            <v>9405.3856749999995</v>
          </cell>
          <cell r="M62">
            <v>9513.3026320000008</v>
          </cell>
          <cell r="N62">
            <v>9615.0726859999995</v>
          </cell>
          <cell r="O62">
            <v>9711.6438890000009</v>
          </cell>
          <cell r="P62">
            <v>9804.9676959999997</v>
          </cell>
          <cell r="Q62">
            <v>9897.3902909999997</v>
          </cell>
          <cell r="R62">
            <v>9991.3623399999997</v>
          </cell>
          <cell r="S62">
            <v>10089.24245</v>
          </cell>
          <cell r="T62">
            <v>10193.157639999999</v>
          </cell>
          <cell r="U62">
            <v>10304.9174</v>
          </cell>
          <cell r="V62">
            <v>10425.715029999999</v>
          </cell>
          <cell r="W62">
            <v>10556.63463</v>
          </cell>
          <cell r="X62">
            <v>10698.3591</v>
          </cell>
          <cell r="Y62">
            <v>10851.13989</v>
          </cell>
          <cell r="Z62">
            <v>11014.85024</v>
          </cell>
          <cell r="AA62">
            <v>11188.14755</v>
          </cell>
          <cell r="AB62">
            <v>11370.078649999999</v>
          </cell>
          <cell r="AC62">
            <v>11559.408359999999</v>
          </cell>
          <cell r="AD62">
            <v>11754.66058</v>
          </cell>
          <cell r="AE62">
            <v>11954.37175</v>
          </cell>
          <cell r="AF62">
            <v>12157.310320000001</v>
          </cell>
          <cell r="AG62">
            <v>12362.60175</v>
          </cell>
          <cell r="AH62">
            <v>12569.755810000001</v>
          </cell>
          <cell r="AI62">
            <v>12778.59194</v>
          </cell>
          <cell r="AJ62">
            <v>12989.14532</v>
          </cell>
          <cell r="AK62">
            <v>13201.583280000001</v>
          </cell>
        </row>
        <row r="63">
          <cell r="B63">
            <v>8364.0564240000003</v>
          </cell>
          <cell r="C63">
            <v>8458.2564409999995</v>
          </cell>
          <cell r="D63">
            <v>8550.6227799999997</v>
          </cell>
          <cell r="E63">
            <v>8642.4095820000002</v>
          </cell>
          <cell r="F63">
            <v>8735.8965910000006</v>
          </cell>
          <cell r="G63">
            <v>8833.7139719999996</v>
          </cell>
          <cell r="H63">
            <v>8938.0978190000005</v>
          </cell>
          <cell r="I63">
            <v>9050.9258730000001</v>
          </cell>
          <cell r="J63">
            <v>9173.4850960000003</v>
          </cell>
          <cell r="K63">
            <v>9306.3436559999991</v>
          </cell>
          <cell r="L63">
            <v>9449.6667859999998</v>
          </cell>
          <cell r="M63">
            <v>9602.6587070000005</v>
          </cell>
          <cell r="N63">
            <v>9764.0896410000005</v>
          </cell>
          <cell r="O63">
            <v>9932.4429299999993</v>
          </cell>
          <cell r="P63">
            <v>10105.937900000001</v>
          </cell>
          <cell r="Q63">
            <v>10282.615809999999</v>
          </cell>
          <cell r="R63">
            <v>10460.55926</v>
          </cell>
          <cell r="S63">
            <v>10638.1379</v>
          </cell>
          <cell r="T63">
            <v>10814.212799999999</v>
          </cell>
          <cell r="U63">
            <v>10988.25222</v>
          </cell>
          <cell r="V63">
            <v>11160.046829999999</v>
          </cell>
          <cell r="W63">
            <v>11330.143679999999</v>
          </cell>
          <cell r="X63">
            <v>11499.43548</v>
          </cell>
          <cell r="Y63">
            <v>11669.00333</v>
          </cell>
          <cell r="Z63">
            <v>11840.03204</v>
          </cell>
          <cell r="AA63">
            <v>12012.793970000001</v>
          </cell>
          <cell r="AB63">
            <v>12188.16941</v>
          </cell>
          <cell r="AC63">
            <v>12366.80744</v>
          </cell>
          <cell r="AD63">
            <v>12549.026099999999</v>
          </cell>
          <cell r="AE63">
            <v>12734.9354</v>
          </cell>
          <cell r="AF63">
            <v>12924.55557</v>
          </cell>
          <cell r="AG63">
            <v>13117.8706</v>
          </cell>
          <cell r="AH63">
            <v>13314.82207</v>
          </cell>
          <cell r="AI63">
            <v>13515.273730000001</v>
          </cell>
          <cell r="AJ63">
            <v>13718.981889999999</v>
          </cell>
          <cell r="AK63">
            <v>13925.573979999999</v>
          </cell>
        </row>
        <row r="64">
          <cell r="B64">
            <v>5288.158257</v>
          </cell>
          <cell r="C64">
            <v>5348.3658489999998</v>
          </cell>
          <cell r="D64">
            <v>5408.4726170000004</v>
          </cell>
          <cell r="E64">
            <v>5469.0662609999999</v>
          </cell>
          <cell r="F64">
            <v>5531.0995000000003</v>
          </cell>
          <cell r="G64">
            <v>5595.6521970000003</v>
          </cell>
          <cell r="H64">
            <v>5664.4327270000003</v>
          </cell>
          <cell r="I64">
            <v>5737.7886790000002</v>
          </cell>
          <cell r="J64">
            <v>5813.3756139999996</v>
          </cell>
          <cell r="K64">
            <v>5889.3095599999997</v>
          </cell>
          <cell r="L64">
            <v>5964.5140689999998</v>
          </cell>
          <cell r="M64">
            <v>6038.1453039999997</v>
          </cell>
          <cell r="N64">
            <v>6109.9694019999997</v>
          </cell>
          <cell r="O64">
            <v>6180.41482</v>
          </cell>
          <cell r="P64">
            <v>6250.3772600000002</v>
          </cell>
          <cell r="Q64">
            <v>6320.8514580000001</v>
          </cell>
          <cell r="R64">
            <v>6392.8071419999997</v>
          </cell>
          <cell r="S64">
            <v>6467.1252670000003</v>
          </cell>
          <cell r="T64">
            <v>6544.5593280000003</v>
          </cell>
          <cell r="U64">
            <v>6625.7173659999999</v>
          </cell>
          <cell r="V64">
            <v>6710.840244</v>
          </cell>
          <cell r="W64">
            <v>6800.2612360000003</v>
          </cell>
          <cell r="X64">
            <v>6894.195264</v>
          </cell>
          <cell r="Y64">
            <v>6992.6865930000004</v>
          </cell>
          <cell r="Z64">
            <v>7095.6331550000004</v>
          </cell>
          <cell r="AA64">
            <v>7202.1142959999997</v>
          </cell>
          <cell r="AB64">
            <v>7311.6152419999999</v>
          </cell>
          <cell r="AC64">
            <v>7423.6061540000001</v>
          </cell>
          <cell r="AD64">
            <v>7537.4761269999999</v>
          </cell>
          <cell r="AE64">
            <v>7652.6286149999996</v>
          </cell>
          <cell r="AF64">
            <v>7768.5713009999999</v>
          </cell>
          <cell r="AG64">
            <v>7884.9670370000003</v>
          </cell>
          <cell r="AH64">
            <v>8001.6448929999997</v>
          </cell>
          <cell r="AI64">
            <v>8118.5560960000003</v>
          </cell>
          <cell r="AJ64">
            <v>8235.72912</v>
          </cell>
          <cell r="AK64">
            <v>8353.2338199999995</v>
          </cell>
        </row>
        <row r="65">
          <cell r="B65">
            <v>5288.158257</v>
          </cell>
          <cell r="C65">
            <v>5348.3658489999998</v>
          </cell>
          <cell r="D65">
            <v>5408.4726170000004</v>
          </cell>
          <cell r="E65">
            <v>5469.0662609999999</v>
          </cell>
          <cell r="F65">
            <v>5531.0995000000003</v>
          </cell>
          <cell r="G65">
            <v>5595.6521970000003</v>
          </cell>
          <cell r="H65">
            <v>5663.5277269999997</v>
          </cell>
          <cell r="I65">
            <v>5735.3815139999997</v>
          </cell>
          <cell r="J65">
            <v>5811.6345529999999</v>
          </cell>
          <cell r="K65">
            <v>5892.4107029999996</v>
          </cell>
          <cell r="L65">
            <v>5977.8270380000004</v>
          </cell>
          <cell r="M65">
            <v>6067.4585589999997</v>
          </cell>
          <cell r="N65">
            <v>6160.6985109999996</v>
          </cell>
          <cell r="O65">
            <v>6256.8751709999997</v>
          </cell>
          <cell r="P65">
            <v>6355.2340679999998</v>
          </cell>
          <cell r="Q65">
            <v>6454.9438849999997</v>
          </cell>
          <cell r="R65">
            <v>6555.1896120000001</v>
          </cell>
          <cell r="S65">
            <v>6655.2820389999997</v>
          </cell>
          <cell r="T65">
            <v>6754.7476690000003</v>
          </cell>
          <cell r="U65">
            <v>6853.3772040000003</v>
          </cell>
          <cell r="V65">
            <v>6950.9894100000001</v>
          </cell>
          <cell r="W65">
            <v>7047.8100670000003</v>
          </cell>
          <cell r="X65">
            <v>7144.2174489999998</v>
          </cell>
          <cell r="Y65">
            <v>7240.6409240000003</v>
          </cell>
          <cell r="Z65">
            <v>7337.5337200000004</v>
          </cell>
          <cell r="AA65">
            <v>7434.6539409999996</v>
          </cell>
          <cell r="AB65">
            <v>7532.225985</v>
          </cell>
          <cell r="AC65">
            <v>7630.4738740000003</v>
          </cell>
          <cell r="AD65">
            <v>7729.5037320000001</v>
          </cell>
          <cell r="AE65">
            <v>7829.3474669999996</v>
          </cell>
          <cell r="AF65">
            <v>7930.0153129999999</v>
          </cell>
          <cell r="AG65">
            <v>8031.517699</v>
          </cell>
          <cell r="AH65">
            <v>8133.8583669999998</v>
          </cell>
          <cell r="AI65">
            <v>8237.0141079999994</v>
          </cell>
          <cell r="AJ65">
            <v>8340.9180099999994</v>
          </cell>
          <cell r="AK65">
            <v>8445.4383930000004</v>
          </cell>
        </row>
        <row r="66">
          <cell r="B66">
            <v>102.42089009999999</v>
          </cell>
          <cell r="C66">
            <v>103.5744033</v>
          </cell>
          <cell r="D66">
            <v>104.7054624</v>
          </cell>
          <cell r="E66">
            <v>105.829425</v>
          </cell>
          <cell r="F66">
            <v>106.9742071</v>
          </cell>
          <cell r="G66">
            <v>108.1720163</v>
          </cell>
          <cell r="H66">
            <v>109.4806016</v>
          </cell>
          <cell r="I66">
            <v>110.8918063</v>
          </cell>
          <cell r="J66">
            <v>112.34257049999999</v>
          </cell>
          <cell r="K66">
            <v>113.7809336</v>
          </cell>
          <cell r="L66">
            <v>115.17234259999999</v>
          </cell>
          <cell r="M66">
            <v>116.4938247</v>
          </cell>
          <cell r="N66">
            <v>117.7400358</v>
          </cell>
          <cell r="O66">
            <v>118.922585</v>
          </cell>
          <cell r="P66">
            <v>120.06536869999999</v>
          </cell>
          <cell r="Q66">
            <v>121.1971167</v>
          </cell>
          <cell r="R66">
            <v>122.3478384</v>
          </cell>
          <cell r="S66">
            <v>123.5464157</v>
          </cell>
          <cell r="T66">
            <v>124.81889459999999</v>
          </cell>
          <cell r="U66">
            <v>126.1874333</v>
          </cell>
          <cell r="V66">
            <v>127.6666439</v>
          </cell>
          <cell r="W66">
            <v>129.26980159999999</v>
          </cell>
          <cell r="X66">
            <v>131.0052689</v>
          </cell>
          <cell r="Y66">
            <v>132.87612490000001</v>
          </cell>
          <cell r="Z66">
            <v>134.8808171</v>
          </cell>
          <cell r="AA66">
            <v>137.00290530000001</v>
          </cell>
          <cell r="AB66">
            <v>139.23071730000001</v>
          </cell>
          <cell r="AC66">
            <v>141.5491279</v>
          </cell>
          <cell r="AD66">
            <v>143.9400618</v>
          </cell>
          <cell r="AE66">
            <v>146.38559720000001</v>
          </cell>
          <cell r="AF66">
            <v>148.87065329999999</v>
          </cell>
          <cell r="AG66">
            <v>151.38452090000001</v>
          </cell>
          <cell r="AH66">
            <v>153.92119719999999</v>
          </cell>
          <cell r="AI66">
            <v>156.47847089999999</v>
          </cell>
          <cell r="AJ66">
            <v>159.05677309999999</v>
          </cell>
          <cell r="AK66">
            <v>161.65815259999999</v>
          </cell>
        </row>
        <row r="67">
          <cell r="B67">
            <v>102.42089009999999</v>
          </cell>
          <cell r="C67">
            <v>103.5744033</v>
          </cell>
          <cell r="D67">
            <v>104.7054624</v>
          </cell>
          <cell r="E67">
            <v>105.829425</v>
          </cell>
          <cell r="F67">
            <v>106.9742071</v>
          </cell>
          <cell r="G67">
            <v>108.1720163</v>
          </cell>
          <cell r="H67">
            <v>109.4502342</v>
          </cell>
          <cell r="I67">
            <v>110.8318544</v>
          </cell>
          <cell r="J67">
            <v>112.3326363</v>
          </cell>
          <cell r="K67">
            <v>113.95953729999999</v>
          </cell>
          <cell r="L67">
            <v>115.71458079999999</v>
          </cell>
          <cell r="M67">
            <v>117.5880221</v>
          </cell>
          <cell r="N67">
            <v>119.5648022</v>
          </cell>
          <cell r="O67">
            <v>121.626349</v>
          </cell>
          <cell r="P67">
            <v>123.7508575</v>
          </cell>
          <cell r="Q67">
            <v>125.9143423</v>
          </cell>
          <cell r="R67">
            <v>128.09332409999999</v>
          </cell>
          <cell r="S67">
            <v>130.2678386</v>
          </cell>
          <cell r="T67">
            <v>132.4239393</v>
          </cell>
          <cell r="U67">
            <v>134.55511480000001</v>
          </cell>
          <cell r="V67">
            <v>136.65880179999999</v>
          </cell>
          <cell r="W67">
            <v>138.7416992</v>
          </cell>
          <cell r="X67">
            <v>140.81473829999999</v>
          </cell>
          <cell r="Y67">
            <v>142.8911579</v>
          </cell>
          <cell r="Z67">
            <v>144.98546619999999</v>
          </cell>
          <cell r="AA67">
            <v>147.10099840000001</v>
          </cell>
          <cell r="AB67">
            <v>149.24853390000001</v>
          </cell>
          <cell r="AC67">
            <v>151.4360211</v>
          </cell>
          <cell r="AD67">
            <v>153.66735439999999</v>
          </cell>
          <cell r="AE67">
            <v>155.94388090000001</v>
          </cell>
          <cell r="AF67">
            <v>158.26584829999999</v>
          </cell>
          <cell r="AG67">
            <v>160.63306069999999</v>
          </cell>
          <cell r="AH67">
            <v>163.04480240000001</v>
          </cell>
          <cell r="AI67">
            <v>165.4994054</v>
          </cell>
          <cell r="AJ67">
            <v>167.99388540000001</v>
          </cell>
          <cell r="AK67">
            <v>170.52368010000001</v>
          </cell>
        </row>
      </sheetData>
      <sheetData sheetId="6">
        <row r="3">
          <cell r="F3">
            <v>32317.940999999999</v>
          </cell>
          <cell r="G3">
            <v>31970.653630000001</v>
          </cell>
          <cell r="H3">
            <v>31823.562750000001</v>
          </cell>
          <cell r="I3">
            <v>31797.020980000001</v>
          </cell>
          <cell r="J3">
            <v>31844.061470000001</v>
          </cell>
          <cell r="K3">
            <v>31939.090840000001</v>
          </cell>
          <cell r="L3">
            <v>32067.280129999999</v>
          </cell>
          <cell r="M3">
            <v>32221.381229999999</v>
          </cell>
          <cell r="N3">
            <v>32400.241979999999</v>
          </cell>
          <cell r="O3">
            <v>32607.235939999999</v>
          </cell>
          <cell r="P3">
            <v>32849.49596</v>
          </cell>
          <cell r="Q3">
            <v>33116.523359999999</v>
          </cell>
          <cell r="R3">
            <v>33402.56753</v>
          </cell>
          <cell r="S3">
            <v>33701.507830000002</v>
          </cell>
          <cell r="T3">
            <v>34008.430139999997</v>
          </cell>
          <cell r="U3">
            <v>34320.105539999997</v>
          </cell>
          <cell r="V3">
            <v>34634.672729999998</v>
          </cell>
          <cell r="W3">
            <v>34951.005469999996</v>
          </cell>
          <cell r="X3">
            <v>35268.14892</v>
          </cell>
          <cell r="Y3">
            <v>35585.042500000003</v>
          </cell>
          <cell r="Z3">
            <v>35895.566480000001</v>
          </cell>
          <cell r="AA3">
            <v>36204.534509999998</v>
          </cell>
          <cell r="AB3">
            <v>36511.62487</v>
          </cell>
          <cell r="AC3">
            <v>36816.544959999999</v>
          </cell>
          <cell r="AD3">
            <v>37119.203269999998</v>
          </cell>
          <cell r="AE3">
            <v>37404.828589999997</v>
          </cell>
          <cell r="AF3">
            <v>37685.962749999999</v>
          </cell>
          <cell r="AG3">
            <v>37965.33885</v>
          </cell>
          <cell r="AH3">
            <v>38244.441480000001</v>
          </cell>
          <cell r="AI3">
            <v>38523.601560000003</v>
          </cell>
          <cell r="AJ3">
            <v>38802.602440000002</v>
          </cell>
          <cell r="AK3">
            <v>39081.238539999998</v>
          </cell>
          <cell r="AL3">
            <v>39359.642079999998</v>
          </cell>
          <cell r="AM3">
            <v>39638.332549999999</v>
          </cell>
          <cell r="AN3">
            <v>39918.061600000001</v>
          </cell>
          <cell r="AO3">
            <v>40199.57991</v>
          </cell>
        </row>
        <row r="4">
          <cell r="F4">
            <v>32271.24</v>
          </cell>
          <cell r="G4">
            <v>31905.153689999999</v>
          </cell>
          <cell r="H4">
            <v>31737.259620000001</v>
          </cell>
          <cell r="I4">
            <v>31687.74438</v>
          </cell>
          <cell r="J4">
            <v>31708.942920000001</v>
          </cell>
          <cell r="K4">
            <v>31774.15511</v>
          </cell>
          <cell r="L4">
            <v>31867.201120000002</v>
          </cell>
          <cell r="M4">
            <v>31980.788209999999</v>
          </cell>
          <cell r="N4">
            <v>32115.548030000002</v>
          </cell>
          <cell r="O4">
            <v>32276.411800000002</v>
          </cell>
          <cell r="P4">
            <v>32471.722659999999</v>
          </cell>
          <cell r="Q4">
            <v>32692.215069999998</v>
          </cell>
          <cell r="R4">
            <v>32932.86537</v>
          </cell>
          <cell r="S4">
            <v>33187.862209999999</v>
          </cell>
          <cell r="T4">
            <v>33452.147400000002</v>
          </cell>
          <cell r="U4">
            <v>33721.913460000003</v>
          </cell>
          <cell r="V4">
            <v>33994.342170000004</v>
          </cell>
          <cell r="W4">
            <v>34267.048569999999</v>
          </cell>
          <cell r="X4">
            <v>34537.607629999999</v>
          </cell>
          <cell r="Y4">
            <v>34803.371639999998</v>
          </cell>
          <cell r="Z4">
            <v>35056.747530000001</v>
          </cell>
          <cell r="AA4">
            <v>35300.837099999997</v>
          </cell>
          <cell r="AB4">
            <v>35533.851840000003</v>
          </cell>
          <cell r="AC4">
            <v>35754.171649999997</v>
          </cell>
          <cell r="AD4">
            <v>35960.530059999997</v>
          </cell>
          <cell r="AE4">
            <v>36137.861109999998</v>
          </cell>
          <cell r="AF4">
            <v>36297.357029999999</v>
          </cell>
          <cell r="AG4">
            <v>36440.936000000002</v>
          </cell>
          <cell r="AH4">
            <v>36569.399140000001</v>
          </cell>
          <cell r="AI4">
            <v>36682.496590000002</v>
          </cell>
          <cell r="AJ4">
            <v>36779.45895</v>
          </cell>
          <cell r="AK4">
            <v>36859.474439999998</v>
          </cell>
          <cell r="AL4">
            <v>36921.952360000003</v>
          </cell>
          <cell r="AM4">
            <v>36966.542999999998</v>
          </cell>
          <cell r="AN4">
            <v>36992.987639999999</v>
          </cell>
          <cell r="AO4">
            <v>37000.915789999999</v>
          </cell>
        </row>
        <row r="12">
          <cell r="F12">
            <v>44.765000000000001</v>
          </cell>
          <cell r="G12">
            <v>63.504716629999997</v>
          </cell>
          <cell r="H12">
            <v>84.238120499999994</v>
          </cell>
          <cell r="I12">
            <v>107.1373129</v>
          </cell>
          <cell r="J12">
            <v>132.9040263</v>
          </cell>
          <cell r="K12">
            <v>162.64682970000001</v>
          </cell>
          <cell r="L12">
            <v>197.7176121</v>
          </cell>
          <cell r="M12">
            <v>238.16132379999999</v>
          </cell>
          <cell r="N12">
            <v>282.19382200000001</v>
          </cell>
          <cell r="O12">
            <v>328.2567975</v>
          </cell>
          <cell r="P12">
            <v>375.13899140000001</v>
          </cell>
          <cell r="Q12">
            <v>421.60780310000001</v>
          </cell>
          <cell r="R12">
            <v>466.9364933</v>
          </cell>
          <cell r="S12">
            <v>510.81607100000002</v>
          </cell>
          <cell r="T12">
            <v>553.39085160000002</v>
          </cell>
          <cell r="U12">
            <v>595.23956099999998</v>
          </cell>
          <cell r="V12">
            <v>637.31921809999994</v>
          </cell>
          <cell r="W12">
            <v>680.88860179999995</v>
          </cell>
          <cell r="X12">
            <v>727.41798940000001</v>
          </cell>
          <cell r="Y12">
            <v>778.49462679999999</v>
          </cell>
          <cell r="Z12">
            <v>835.59239460000003</v>
          </cell>
          <cell r="AA12">
            <v>900.42280960000005</v>
          </cell>
          <cell r="AB12">
            <v>974.45272339999997</v>
          </cell>
          <cell r="AC12">
            <v>1059.0096880000001</v>
          </cell>
          <cell r="AD12">
            <v>1155.2687069999999</v>
          </cell>
          <cell r="AE12">
            <v>1263.525752</v>
          </cell>
          <cell r="AF12">
            <v>1385.1294330000001</v>
          </cell>
          <cell r="AG12">
            <v>1520.894448</v>
          </cell>
          <cell r="AH12">
            <v>1671.504173</v>
          </cell>
          <cell r="AI12">
            <v>1837.539336</v>
          </cell>
          <cell r="AJ12">
            <v>2019.5527239999999</v>
          </cell>
          <cell r="AK12">
            <v>2218.1505790000001</v>
          </cell>
          <cell r="AL12">
            <v>2434.0557939999999</v>
          </cell>
          <cell r="AM12">
            <v>2668.1375979999998</v>
          </cell>
          <cell r="AN12">
            <v>2921.406336</v>
          </cell>
          <cell r="AO12">
            <v>3194.983193</v>
          </cell>
        </row>
        <row r="20">
          <cell r="F20">
            <v>1.9359999999999999</v>
          </cell>
          <cell r="G20">
            <v>1.9952283040000001</v>
          </cell>
          <cell r="H20">
            <v>2.0650117589999999</v>
          </cell>
          <cell r="I20">
            <v>2.1392812110000001</v>
          </cell>
          <cell r="J20">
            <v>2.2145258349999999</v>
          </cell>
          <cell r="K20">
            <v>2.2889038930000001</v>
          </cell>
          <cell r="L20">
            <v>2.3613980149999998</v>
          </cell>
          <cell r="M20">
            <v>2.4316952490000001</v>
          </cell>
          <cell r="N20">
            <v>2.5001202600000001</v>
          </cell>
          <cell r="O20">
            <v>2.5673427609999999</v>
          </cell>
          <cell r="P20">
            <v>2.6343094900000001</v>
          </cell>
          <cell r="Q20">
            <v>2.7004832319999998</v>
          </cell>
          <cell r="R20">
            <v>2.765656141</v>
          </cell>
          <cell r="S20">
            <v>2.8295343370000001</v>
          </cell>
          <cell r="T20">
            <v>2.8918675939999998</v>
          </cell>
          <cell r="U20">
            <v>2.9524933240000002</v>
          </cell>
          <cell r="V20">
            <v>3.0113173199999999</v>
          </cell>
          <cell r="W20">
            <v>3.0682692349999998</v>
          </cell>
          <cell r="X20">
            <v>3.1232641619999999</v>
          </cell>
          <cell r="Y20">
            <v>3.1761879350000002</v>
          </cell>
          <cell r="Z20">
            <v>3.2265007510000001</v>
          </cell>
          <cell r="AA20">
            <v>3.274545389</v>
          </cell>
          <cell r="AB20">
            <v>3.320252644</v>
          </cell>
          <cell r="AC20">
            <v>3.3635600910000001</v>
          </cell>
          <cell r="AD20">
            <v>3.4044283219999998</v>
          </cell>
          <cell r="AE20">
            <v>3.441652806</v>
          </cell>
          <cell r="AF20">
            <v>3.476211771</v>
          </cell>
          <cell r="AG20">
            <v>3.5083163580000001</v>
          </cell>
          <cell r="AH20">
            <v>3.538083205</v>
          </cell>
          <cell r="AI20">
            <v>3.5655386060000001</v>
          </cell>
          <cell r="AJ20">
            <v>3.5906619320000002</v>
          </cell>
          <cell r="AK20">
            <v>3.613425248</v>
          </cell>
          <cell r="AL20">
            <v>3.6338156349999999</v>
          </cell>
          <cell r="AM20">
            <v>3.6518373639999999</v>
          </cell>
          <cell r="AN20">
            <v>3.6674997980000001</v>
          </cell>
          <cell r="AO20">
            <v>3.6808006299999998</v>
          </cell>
        </row>
        <row r="28">
          <cell r="F28">
            <v>32317.940999999999</v>
          </cell>
          <cell r="G28">
            <v>31970.653630000001</v>
          </cell>
          <cell r="H28">
            <v>31823.562750000001</v>
          </cell>
          <cell r="I28">
            <v>31797.020980000001</v>
          </cell>
          <cell r="J28">
            <v>31844.061470000001</v>
          </cell>
          <cell r="K28">
            <v>31939.090840000001</v>
          </cell>
          <cell r="L28">
            <v>32065.360130000001</v>
          </cell>
          <cell r="M28">
            <v>32218.466609999999</v>
          </cell>
          <cell r="N28">
            <v>32396.730080000001</v>
          </cell>
          <cell r="O28">
            <v>32599.096870000001</v>
          </cell>
          <cell r="P28">
            <v>32829.946300000003</v>
          </cell>
          <cell r="Q28">
            <v>33079.141060000002</v>
          </cell>
          <cell r="R28">
            <v>33343.719530000002</v>
          </cell>
          <cell r="S28">
            <v>33621.194470000002</v>
          </cell>
          <cell r="T28">
            <v>33910.029260000003</v>
          </cell>
          <cell r="U28">
            <v>34209.172420000003</v>
          </cell>
          <cell r="V28">
            <v>34517.470829999998</v>
          </cell>
          <cell r="W28">
            <v>34833.342080000002</v>
          </cell>
          <cell r="X28">
            <v>35154.794390000003</v>
          </cell>
          <cell r="Y28">
            <v>35479.694000000003</v>
          </cell>
          <cell r="Z28">
            <v>35801.20794</v>
          </cell>
          <cell r="AA28">
            <v>36123.520450000004</v>
          </cell>
          <cell r="AB28">
            <v>36446.049440000003</v>
          </cell>
          <cell r="AC28">
            <v>36768.210039999998</v>
          </cell>
          <cell r="AD28">
            <v>37089.54825</v>
          </cell>
          <cell r="AE28">
            <v>37395.220520000003</v>
          </cell>
          <cell r="AF28">
            <v>37696.730170000003</v>
          </cell>
          <cell r="AG28">
            <v>37996.320229999998</v>
          </cell>
          <cell r="AH28">
            <v>38295.181700000001</v>
          </cell>
          <cell r="AI28">
            <v>38593.624689999997</v>
          </cell>
          <cell r="AJ28">
            <v>38891.644639999999</v>
          </cell>
          <cell r="AK28">
            <v>39189.393470000003</v>
          </cell>
          <cell r="AL28">
            <v>39487.412750000003</v>
          </cell>
          <cell r="AM28">
            <v>39786.616020000001</v>
          </cell>
          <cell r="AN28">
            <v>40088.100530000003</v>
          </cell>
          <cell r="AO28">
            <v>40392.908580000003</v>
          </cell>
        </row>
        <row r="29">
          <cell r="F29">
            <v>32271.24</v>
          </cell>
          <cell r="G29">
            <v>31905.153689999999</v>
          </cell>
          <cell r="H29">
            <v>31737.259620000001</v>
          </cell>
          <cell r="I29">
            <v>31687.74438</v>
          </cell>
          <cell r="J29">
            <v>31708.942920000001</v>
          </cell>
          <cell r="K29">
            <v>31774.15511</v>
          </cell>
          <cell r="L29">
            <v>31865.31911</v>
          </cell>
          <cell r="M29">
            <v>31976.52576</v>
          </cell>
          <cell r="N29">
            <v>32104.599320000001</v>
          </cell>
          <cell r="O29">
            <v>32247.10699</v>
          </cell>
          <cell r="P29">
            <v>32407.07057</v>
          </cell>
          <cell r="Q29">
            <v>32573.617399999999</v>
          </cell>
          <cell r="R29">
            <v>32743.078829999999</v>
          </cell>
          <cell r="S29">
            <v>32912.438049999997</v>
          </cell>
          <cell r="T29">
            <v>33079.725700000003</v>
          </cell>
          <cell r="U29">
            <v>33243.506739999997</v>
          </cell>
          <cell r="V29">
            <v>33402.25851</v>
          </cell>
          <cell r="W29">
            <v>33554.003830000001</v>
          </cell>
          <cell r="X29">
            <v>33696.281889999998</v>
          </cell>
          <cell r="Y29">
            <v>33826.361449999997</v>
          </cell>
          <cell r="Z29">
            <v>33937.082580000002</v>
          </cell>
          <cell r="AA29">
            <v>34031.193359999997</v>
          </cell>
          <cell r="AB29">
            <v>34106.906969999996</v>
          </cell>
          <cell r="AC29">
            <v>34162.29954</v>
          </cell>
          <cell r="AD29">
            <v>34195.474929999997</v>
          </cell>
          <cell r="AE29">
            <v>34192.087460000002</v>
          </cell>
          <cell r="AF29">
            <v>34160.816870000002</v>
          </cell>
          <cell r="AG29">
            <v>34102.243069999997</v>
          </cell>
          <cell r="AH29">
            <v>34016.10527</v>
          </cell>
          <cell r="AI29">
            <v>33901.514020000002</v>
          </cell>
          <cell r="AJ29">
            <v>33757.460460000002</v>
          </cell>
          <cell r="AK29">
            <v>33583.208989999999</v>
          </cell>
          <cell r="AL29">
            <v>33378.471559999998</v>
          </cell>
          <cell r="AM29">
            <v>33143.373979999997</v>
          </cell>
          <cell r="AN29">
            <v>32878.295660000003</v>
          </cell>
          <cell r="AO29">
            <v>32583.6855</v>
          </cell>
        </row>
        <row r="37">
          <cell r="F37">
            <v>44.765000000000001</v>
          </cell>
          <cell r="G37">
            <v>63.504716629999997</v>
          </cell>
          <cell r="H37">
            <v>84.238120499999994</v>
          </cell>
          <cell r="I37">
            <v>107.1373129</v>
          </cell>
          <cell r="J37">
            <v>132.9040263</v>
          </cell>
          <cell r="K37">
            <v>162.64682970000001</v>
          </cell>
          <cell r="L37">
            <v>197.6797837</v>
          </cell>
          <cell r="M37">
            <v>239.50950510000001</v>
          </cell>
          <cell r="N37">
            <v>289.63156240000001</v>
          </cell>
          <cell r="O37">
            <v>349.42501979999997</v>
          </cell>
          <cell r="P37">
            <v>420.24690429999998</v>
          </cell>
          <cell r="Q37">
            <v>502.83326570000003</v>
          </cell>
          <cell r="R37">
            <v>597.89125820000004</v>
          </cell>
          <cell r="S37">
            <v>705.95051890000002</v>
          </cell>
          <cell r="T37">
            <v>827.44379619999995</v>
          </cell>
          <cell r="U37">
            <v>962.75461510000002</v>
          </cell>
          <cell r="V37">
            <v>1112.2525189999999</v>
          </cell>
          <cell r="W37">
            <v>1276.332302</v>
          </cell>
          <cell r="X37">
            <v>1455.4630890000001</v>
          </cell>
          <cell r="Y37">
            <v>1650.242489</v>
          </cell>
          <cell r="Z37">
            <v>1860.9979699999999</v>
          </cell>
          <cell r="AA37">
            <v>2089.1653710000001</v>
          </cell>
          <cell r="AB37">
            <v>2335.9494880000002</v>
          </cell>
          <cell r="AC37">
            <v>2602.689433</v>
          </cell>
          <cell r="AD37">
            <v>2890.8274249999999</v>
          </cell>
          <cell r="AE37">
            <v>3199.866751</v>
          </cell>
          <cell r="AF37">
            <v>3532.6301990000002</v>
          </cell>
          <cell r="AG37">
            <v>3890.780831</v>
          </cell>
          <cell r="AH37">
            <v>4275.7703890000003</v>
          </cell>
          <cell r="AI37">
            <v>4688.7984820000001</v>
          </cell>
          <cell r="AJ37">
            <v>5130.8694539999997</v>
          </cell>
          <cell r="AK37">
            <v>5602.8708489999999</v>
          </cell>
          <cell r="AL37">
            <v>6105.6322890000001</v>
          </cell>
          <cell r="AM37">
            <v>6639.9414649999999</v>
          </cell>
          <cell r="AN37">
            <v>7206.5161550000003</v>
          </cell>
          <cell r="AO37">
            <v>7805.9496959999997</v>
          </cell>
        </row>
        <row r="45">
          <cell r="F45">
            <v>1.9359999999999999</v>
          </cell>
          <cell r="G45">
            <v>1.9952283040000001</v>
          </cell>
          <cell r="H45">
            <v>2.0650117589999999</v>
          </cell>
          <cell r="I45">
            <v>2.1392812110000001</v>
          </cell>
          <cell r="J45">
            <v>2.2145258349999999</v>
          </cell>
          <cell r="K45">
            <v>2.2889038930000001</v>
          </cell>
          <cell r="L45">
            <v>2.3612399050000001</v>
          </cell>
          <cell r="M45">
            <v>2.431334734</v>
          </cell>
          <cell r="N45">
            <v>2.4991926910000002</v>
          </cell>
          <cell r="O45">
            <v>2.56485947</v>
          </cell>
          <cell r="P45">
            <v>2.6288202549999999</v>
          </cell>
          <cell r="Q45">
            <v>2.6903823689999999</v>
          </cell>
          <cell r="R45">
            <v>2.7494305620000001</v>
          </cell>
          <cell r="S45">
            <v>2.805887566</v>
          </cell>
          <cell r="T45">
            <v>2.8597492120000001</v>
          </cell>
          <cell r="U45">
            <v>2.9110436079999999</v>
          </cell>
          <cell r="V45">
            <v>2.959780361</v>
          </cell>
          <cell r="W45">
            <v>3.0059203390000002</v>
          </cell>
          <cell r="X45">
            <v>3.0493732979999999</v>
          </cell>
          <cell r="Y45">
            <v>3.0900158279999999</v>
          </cell>
          <cell r="Z45">
            <v>3.1273423149999999</v>
          </cell>
          <cell r="AA45">
            <v>3.1616643199999999</v>
          </cell>
          <cell r="AB45">
            <v>3.192910914</v>
          </cell>
          <cell r="AC45">
            <v>3.2209924069999998</v>
          </cell>
          <cell r="AD45">
            <v>3.2458144670000002</v>
          </cell>
          <cell r="AE45">
            <v>3.2662303590000001</v>
          </cell>
          <cell r="AF45">
            <v>3.2830056239999998</v>
          </cell>
          <cell r="AG45">
            <v>3.2962342229999999</v>
          </cell>
          <cell r="AH45">
            <v>3.3059374109999999</v>
          </cell>
          <cell r="AI45">
            <v>3.3120805930000001</v>
          </cell>
          <cell r="AJ45">
            <v>3.3146154910000001</v>
          </cell>
          <cell r="AK45">
            <v>3.313513205</v>
          </cell>
          <cell r="AL45">
            <v>3.3087794320000001</v>
          </cell>
          <cell r="AM45">
            <v>3.3004523959999998</v>
          </cell>
          <cell r="AN45">
            <v>3.2885900619999999</v>
          </cell>
          <cell r="AO45">
            <v>3.2732550900000001</v>
          </cell>
        </row>
        <row r="104">
          <cell r="F104">
            <v>3.476542051</v>
          </cell>
          <cell r="G104">
            <v>6.7493338969999996</v>
          </cell>
          <cell r="H104">
            <v>11.52650792</v>
          </cell>
          <cell r="I104">
            <v>15.976075059999999</v>
          </cell>
          <cell r="J104">
            <v>20.355510389999999</v>
          </cell>
          <cell r="K104">
            <v>24.811958050000001</v>
          </cell>
          <cell r="L104">
            <v>29.35505942</v>
          </cell>
          <cell r="M104">
            <v>33.94605498</v>
          </cell>
          <cell r="N104">
            <v>38.388349730000002</v>
          </cell>
          <cell r="O104">
            <v>42.44040201</v>
          </cell>
          <cell r="P104">
            <v>45.660988089999996</v>
          </cell>
          <cell r="Q104">
            <v>51.848541009999998</v>
          </cell>
          <cell r="R104">
            <v>59.522182649999998</v>
          </cell>
          <cell r="S104">
            <v>67.918820499999995</v>
          </cell>
          <cell r="T104">
            <v>76.638600049999994</v>
          </cell>
          <cell r="U104">
            <v>85.465893019999996</v>
          </cell>
          <cell r="V104">
            <v>94.286972019999993</v>
          </cell>
          <cell r="W104">
            <v>103.04942149999999</v>
          </cell>
          <cell r="X104">
            <v>111.73616010000001</v>
          </cell>
          <cell r="Y104">
            <v>120.34606549999999</v>
          </cell>
          <cell r="Z104">
            <v>128.85808069999999</v>
          </cell>
          <cell r="AA104">
            <v>137.331119</v>
          </cell>
          <cell r="AB104">
            <v>145.7445209</v>
          </cell>
          <cell r="AC104">
            <v>154.10280299999999</v>
          </cell>
          <cell r="AD104">
            <v>162.40940710000001</v>
          </cell>
          <cell r="AE104">
            <v>170.5951158</v>
          </cell>
          <cell r="AF104">
            <v>178.77201030000001</v>
          </cell>
          <cell r="AG104">
            <v>186.90361669999999</v>
          </cell>
          <cell r="AH104">
            <v>194.99153749999999</v>
          </cell>
          <cell r="AI104">
            <v>203.03717259999999</v>
          </cell>
          <cell r="AJ104">
            <v>211.04157739999999</v>
          </cell>
          <cell r="AK104">
            <v>219.00534099999999</v>
          </cell>
          <cell r="AL104">
            <v>226.92858279999999</v>
          </cell>
          <cell r="AM104">
            <v>234.81105819999999</v>
          </cell>
          <cell r="AN104">
            <v>242.6522808</v>
          </cell>
          <cell r="AO104">
            <v>250.45169469999999</v>
          </cell>
        </row>
        <row r="105">
          <cell r="F105">
            <v>68.80476281</v>
          </cell>
          <cell r="G105">
            <v>76.167450889999998</v>
          </cell>
          <cell r="H105">
            <v>82.782693910000006</v>
          </cell>
          <cell r="I105">
            <v>88.094278410000001</v>
          </cell>
          <cell r="J105">
            <v>92.631675340000001</v>
          </cell>
          <cell r="K105">
            <v>96.718088940000001</v>
          </cell>
          <cell r="L105">
            <v>99.914339709999993</v>
          </cell>
          <cell r="M105">
            <v>102.9790369</v>
          </cell>
          <cell r="N105">
            <v>106.08246200000001</v>
          </cell>
          <cell r="O105">
            <v>109.3952621</v>
          </cell>
          <cell r="P105">
            <v>114.27456429999999</v>
          </cell>
          <cell r="Q105">
            <v>117.5494308</v>
          </cell>
          <cell r="R105">
            <v>120.5528362</v>
          </cell>
          <cell r="S105">
            <v>123.4260555</v>
          </cell>
          <cell r="T105">
            <v>126.23196830000001</v>
          </cell>
          <cell r="U105">
            <v>128.9965617</v>
          </cell>
          <cell r="V105">
            <v>131.72990050000001</v>
          </cell>
          <cell r="W105">
            <v>134.43751270000001</v>
          </cell>
          <cell r="X105">
            <v>137.12415619999999</v>
          </cell>
          <cell r="Y105">
            <v>139.79537289999999</v>
          </cell>
          <cell r="Z105">
            <v>141.7695866</v>
          </cell>
          <cell r="AA105">
            <v>144.42350189999999</v>
          </cell>
          <cell r="AB105">
            <v>147.0759449</v>
          </cell>
          <cell r="AC105">
            <v>149.7296819</v>
          </cell>
          <cell r="AD105">
            <v>152.38665560000001</v>
          </cell>
          <cell r="AE105">
            <v>153.1727286</v>
          </cell>
          <cell r="AF105">
            <v>154.95319720000001</v>
          </cell>
          <cell r="AG105">
            <v>156.73525459999999</v>
          </cell>
          <cell r="AH105">
            <v>158.5194927</v>
          </cell>
          <cell r="AI105">
            <v>160.30642</v>
          </cell>
          <cell r="AJ105">
            <v>162.09641310000001</v>
          </cell>
          <cell r="AK105">
            <v>163.88965039999999</v>
          </cell>
          <cell r="AL105">
            <v>165.6860925</v>
          </cell>
          <cell r="AM105">
            <v>167.48551850000001</v>
          </cell>
          <cell r="AN105">
            <v>169.28758099999999</v>
          </cell>
          <cell r="AO105">
            <v>171.09189280000001</v>
          </cell>
        </row>
        <row r="106">
          <cell r="F106">
            <v>408.28039699999999</v>
          </cell>
          <cell r="G106">
            <v>423.60722529999998</v>
          </cell>
          <cell r="H106">
            <v>438.27328180000001</v>
          </cell>
          <cell r="I106">
            <v>450.44654270000001</v>
          </cell>
          <cell r="J106">
            <v>461.3056618</v>
          </cell>
          <cell r="K106">
            <v>471.47086289999999</v>
          </cell>
          <cell r="L106">
            <v>479.50501780000002</v>
          </cell>
          <cell r="M106">
            <v>487.35355370000002</v>
          </cell>
          <cell r="N106">
            <v>495.2337794</v>
          </cell>
          <cell r="O106">
            <v>503.35240290000002</v>
          </cell>
          <cell r="P106">
            <v>514.98354459999996</v>
          </cell>
          <cell r="Q106">
            <v>523.15588349999996</v>
          </cell>
          <cell r="R106">
            <v>531.08457999999996</v>
          </cell>
          <cell r="S106">
            <v>538.90364820000002</v>
          </cell>
          <cell r="T106">
            <v>546.66012679999994</v>
          </cell>
          <cell r="U106">
            <v>554.36317240000005</v>
          </cell>
          <cell r="V106">
            <v>562.00968599999999</v>
          </cell>
          <cell r="W106">
            <v>569.59945919999996</v>
          </cell>
          <cell r="X106">
            <v>577.13864469999999</v>
          </cell>
          <cell r="Y106">
            <v>584.63882230000002</v>
          </cell>
          <cell r="Z106">
            <v>590.18431999999996</v>
          </cell>
          <cell r="AA106">
            <v>597.63931739999998</v>
          </cell>
          <cell r="AB106">
            <v>605.09106989999998</v>
          </cell>
          <cell r="AC106">
            <v>612.54704240000001</v>
          </cell>
          <cell r="AD106">
            <v>620.01240069999994</v>
          </cell>
          <cell r="AE106">
            <v>622.22472300000004</v>
          </cell>
          <cell r="AF106">
            <v>627.22788030000004</v>
          </cell>
          <cell r="AG106">
            <v>632.23440040000003</v>
          </cell>
          <cell r="AH106">
            <v>637.24564899999996</v>
          </cell>
          <cell r="AI106">
            <v>642.26287060000004</v>
          </cell>
          <cell r="AJ106">
            <v>647.28707459999998</v>
          </cell>
          <cell r="AK106">
            <v>652.31882280000002</v>
          </cell>
          <cell r="AL106">
            <v>657.35812710000005</v>
          </cell>
          <cell r="AM106">
            <v>662.40451189999999</v>
          </cell>
          <cell r="AN106">
            <v>667.4571459</v>
          </cell>
          <cell r="AO106">
            <v>672.51507030000005</v>
          </cell>
        </row>
        <row r="107">
          <cell r="F107">
            <v>954.38155940000001</v>
          </cell>
          <cell r="G107">
            <v>948.00346160000004</v>
          </cell>
          <cell r="H107">
            <v>942.13795349999998</v>
          </cell>
          <cell r="I107">
            <v>939.04726029999995</v>
          </cell>
          <cell r="J107">
            <v>937.25237819999995</v>
          </cell>
          <cell r="K107">
            <v>935.99759019999999</v>
          </cell>
          <cell r="L107">
            <v>934.9598866</v>
          </cell>
          <cell r="M107">
            <v>934.01264079999999</v>
          </cell>
          <cell r="N107">
            <v>933.13893719999999</v>
          </cell>
          <cell r="O107">
            <v>932.33597029999999</v>
          </cell>
          <cell r="P107">
            <v>931.5103239</v>
          </cell>
          <cell r="Q107">
            <v>929.0477664</v>
          </cell>
          <cell r="R107">
            <v>925.83033539999997</v>
          </cell>
          <cell r="S107">
            <v>922.25818070000003</v>
          </cell>
          <cell r="T107">
            <v>918.50374120000004</v>
          </cell>
          <cell r="U107">
            <v>914.63435340000001</v>
          </cell>
          <cell r="V107">
            <v>910.6727932</v>
          </cell>
          <cell r="W107">
            <v>906.63054279999994</v>
          </cell>
          <cell r="X107">
            <v>902.52064399999995</v>
          </cell>
          <cell r="Y107">
            <v>898.3595143</v>
          </cell>
          <cell r="Z107">
            <v>894.16459629999997</v>
          </cell>
          <cell r="AA107">
            <v>889.95107959999996</v>
          </cell>
          <cell r="AB107">
            <v>885.73188830000004</v>
          </cell>
          <cell r="AC107">
            <v>881.51644599999997</v>
          </cell>
          <cell r="AD107">
            <v>877.31155090000004</v>
          </cell>
          <cell r="AE107">
            <v>873.12224719999995</v>
          </cell>
          <cell r="AF107">
            <v>868.95134229999996</v>
          </cell>
          <cell r="AG107">
            <v>864.80222920000006</v>
          </cell>
          <cell r="AH107">
            <v>860.6773776</v>
          </cell>
          <cell r="AI107">
            <v>856.5787507</v>
          </cell>
          <cell r="AJ107">
            <v>852.50763459999996</v>
          </cell>
          <cell r="AK107">
            <v>848.46444269999995</v>
          </cell>
          <cell r="AL107">
            <v>844.44870609999998</v>
          </cell>
          <cell r="AM107">
            <v>840.45925509999995</v>
          </cell>
          <cell r="AN107">
            <v>836.49444749999998</v>
          </cell>
          <cell r="AO107">
            <v>832.55251280000004</v>
          </cell>
        </row>
        <row r="108">
          <cell r="F108">
            <v>878.79999729999997</v>
          </cell>
          <cell r="G108">
            <v>869.4310534</v>
          </cell>
          <cell r="H108">
            <v>861.858431</v>
          </cell>
          <cell r="I108">
            <v>855.53037819999997</v>
          </cell>
          <cell r="J108">
            <v>849.93818480000004</v>
          </cell>
          <cell r="K108">
            <v>844.74919220000004</v>
          </cell>
          <cell r="L108">
            <v>839.77586359999998</v>
          </cell>
          <cell r="M108">
            <v>834.92609489999995</v>
          </cell>
          <cell r="N108">
            <v>830.17551979999996</v>
          </cell>
          <cell r="O108">
            <v>825.52036169999997</v>
          </cell>
          <cell r="P108">
            <v>820.9478441</v>
          </cell>
          <cell r="Q108">
            <v>816.47642099999996</v>
          </cell>
          <cell r="R108">
            <v>812.08238029999995</v>
          </cell>
          <cell r="S108">
            <v>807.73844740000004</v>
          </cell>
          <cell r="T108">
            <v>803.42177830000003</v>
          </cell>
          <cell r="U108">
            <v>799.11441079999997</v>
          </cell>
          <cell r="V108">
            <v>794.80195370000001</v>
          </cell>
          <cell r="W108">
            <v>790.47556959999997</v>
          </cell>
          <cell r="X108">
            <v>786.13338699999997</v>
          </cell>
          <cell r="Y108">
            <v>781.77950480000004</v>
          </cell>
          <cell r="Z108">
            <v>777.42122810000001</v>
          </cell>
          <cell r="AA108">
            <v>773.06635930000004</v>
          </cell>
          <cell r="AB108">
            <v>768.72224510000001</v>
          </cell>
          <cell r="AC108">
            <v>764.39427699999999</v>
          </cell>
          <cell r="AD108">
            <v>760.08632350000005</v>
          </cell>
          <cell r="AE108">
            <v>755.80094059999999</v>
          </cell>
          <cell r="AF108">
            <v>751.53944969999998</v>
          </cell>
          <cell r="AG108">
            <v>747.30388430000005</v>
          </cell>
          <cell r="AH108">
            <v>743.09549570000001</v>
          </cell>
          <cell r="AI108">
            <v>738.9152583</v>
          </cell>
          <cell r="AJ108">
            <v>734.76382409999997</v>
          </cell>
          <cell r="AK108">
            <v>730.6414006</v>
          </cell>
          <cell r="AL108">
            <v>726.54770410000003</v>
          </cell>
          <cell r="AM108">
            <v>722.4820254</v>
          </cell>
          <cell r="AN108">
            <v>718.44334600000002</v>
          </cell>
          <cell r="AO108">
            <v>714.43053950000001</v>
          </cell>
        </row>
        <row r="109">
          <cell r="F109">
            <v>139.85209269999999</v>
          </cell>
          <cell r="G109">
            <v>138.03691000000001</v>
          </cell>
          <cell r="H109">
            <v>136.32928910000001</v>
          </cell>
          <cell r="I109">
            <v>134.75853810000001</v>
          </cell>
          <cell r="J109">
            <v>133.34486999999999</v>
          </cell>
          <cell r="K109">
            <v>132.08580910000001</v>
          </cell>
          <cell r="L109">
            <v>130.95852350000001</v>
          </cell>
          <cell r="M109">
            <v>129.90665150000001</v>
          </cell>
          <cell r="N109">
            <v>128.79741540000001</v>
          </cell>
          <cell r="O109">
            <v>127.51132990000001</v>
          </cell>
          <cell r="P109">
            <v>125.9598031</v>
          </cell>
          <cell r="Q109">
            <v>124.1091862</v>
          </cell>
          <cell r="R109">
            <v>122.0060616</v>
          </cell>
          <cell r="S109">
            <v>119.7575575</v>
          </cell>
          <cell r="T109">
            <v>117.49676030000001</v>
          </cell>
          <cell r="U109">
            <v>115.3489848</v>
          </cell>
          <cell r="V109">
            <v>113.40852169999999</v>
          </cell>
          <cell r="W109">
            <v>111.7179332</v>
          </cell>
          <cell r="X109">
            <v>110.2723821</v>
          </cell>
          <cell r="Y109">
            <v>109.037042</v>
          </cell>
          <cell r="Z109">
            <v>107.9654244</v>
          </cell>
          <cell r="AA109">
            <v>107.0136523</v>
          </cell>
          <cell r="AB109">
            <v>106.1450066</v>
          </cell>
          <cell r="AC109">
            <v>105.3321108</v>
          </cell>
          <cell r="AD109">
            <v>104.5555047</v>
          </cell>
          <cell r="AE109">
            <v>103.80115189999999</v>
          </cell>
          <cell r="AF109">
            <v>103.0595637</v>
          </cell>
          <cell r="AG109">
            <v>102.32289470000001</v>
          </cell>
          <cell r="AH109">
            <v>101.58457900000001</v>
          </cell>
          <cell r="AI109">
            <v>100.8390821</v>
          </cell>
          <cell r="AJ109">
            <v>100.0823678</v>
          </cell>
          <cell r="AK109">
            <v>99.312575699999996</v>
          </cell>
          <cell r="AL109">
            <v>98.530226650000003</v>
          </cell>
          <cell r="AM109">
            <v>97.737842259999994</v>
          </cell>
          <cell r="AN109">
            <v>96.939363099999994</v>
          </cell>
          <cell r="AO109">
            <v>96.139200750000001</v>
          </cell>
        </row>
        <row r="110">
          <cell r="F110">
            <v>3.874567114</v>
          </cell>
          <cell r="G110">
            <v>3.730938305</v>
          </cell>
          <cell r="H110">
            <v>3.5999494350000001</v>
          </cell>
          <cell r="I110">
            <v>3.4839117819999998</v>
          </cell>
          <cell r="J110">
            <v>3.3849327169999999</v>
          </cell>
          <cell r="K110">
            <v>3.3034984359999999</v>
          </cell>
          <cell r="L110">
            <v>3.2380987339999998</v>
          </cell>
          <cell r="M110">
            <v>3.181815796</v>
          </cell>
          <cell r="N110">
            <v>3.1178136109999999</v>
          </cell>
          <cell r="O110">
            <v>3.0364466810000001</v>
          </cell>
          <cell r="P110">
            <v>2.9348133829999998</v>
          </cell>
          <cell r="Q110">
            <v>2.815428185</v>
          </cell>
          <cell r="R110">
            <v>2.6848759320000002</v>
          </cell>
          <cell r="S110">
            <v>2.5510584600000001</v>
          </cell>
          <cell r="T110">
            <v>2.4213330819999999</v>
          </cell>
          <cell r="U110">
            <v>2.301597503</v>
          </cell>
          <cell r="V110">
            <v>2.1960409379999999</v>
          </cell>
          <cell r="W110">
            <v>2.1066555990000002</v>
          </cell>
          <cell r="X110">
            <v>2.0333827420000001</v>
          </cell>
          <cell r="Y110">
            <v>1.974637022</v>
          </cell>
          <cell r="Z110">
            <v>1.927954626</v>
          </cell>
          <cell r="AA110">
            <v>1.8907300119999999</v>
          </cell>
          <cell r="AB110">
            <v>1.86047534</v>
          </cell>
          <cell r="AC110">
            <v>1.8351097789999999</v>
          </cell>
          <cell r="AD110">
            <v>1.8129816480000001</v>
          </cell>
          <cell r="AE110">
            <v>1.792754956</v>
          </cell>
          <cell r="AF110">
            <v>1.7734733650000001</v>
          </cell>
          <cell r="AG110">
            <v>1.754300229</v>
          </cell>
          <cell r="AH110">
            <v>1.734547139</v>
          </cell>
          <cell r="AI110">
            <v>1.7136846830000001</v>
          </cell>
          <cell r="AJ110">
            <v>1.6913966680000001</v>
          </cell>
          <cell r="AK110">
            <v>1.667620069</v>
          </cell>
          <cell r="AL110">
            <v>1.6425216170000001</v>
          </cell>
          <cell r="AM110">
            <v>1.6164267539999999</v>
          </cell>
          <cell r="AN110">
            <v>1.589747633</v>
          </cell>
          <cell r="AO110">
            <v>1.5628984990000001</v>
          </cell>
        </row>
        <row r="112">
          <cell r="F112">
            <v>3.476542051</v>
          </cell>
          <cell r="G112">
            <v>6.7493338969999996</v>
          </cell>
          <cell r="H112">
            <v>11.52650792</v>
          </cell>
          <cell r="I112">
            <v>15.976075059999999</v>
          </cell>
          <cell r="J112">
            <v>20.355510389999999</v>
          </cell>
          <cell r="K112">
            <v>24.811958050000001</v>
          </cell>
          <cell r="L112">
            <v>29.355985619999998</v>
          </cell>
          <cell r="M112">
            <v>34.001711499999999</v>
          </cell>
          <cell r="N112">
            <v>38.725180090000002</v>
          </cell>
          <cell r="O112">
            <v>43.499713880000002</v>
          </cell>
          <cell r="P112">
            <v>48.341898870000001</v>
          </cell>
          <cell r="Q112">
            <v>53.150139279999998</v>
          </cell>
          <cell r="R112">
            <v>57.946896170000002</v>
          </cell>
          <cell r="S112">
            <v>62.71727748</v>
          </cell>
          <cell r="T112">
            <v>67.447874310000003</v>
          </cell>
          <cell r="U112">
            <v>72.126736489999999</v>
          </cell>
          <cell r="V112">
            <v>76.744140139999999</v>
          </cell>
          <cell r="W112">
            <v>81.294173549999996</v>
          </cell>
          <cell r="X112">
            <v>85.777464039999998</v>
          </cell>
          <cell r="Y112">
            <v>90.203582690000005</v>
          </cell>
          <cell r="Z112">
            <v>94.562905860000001</v>
          </cell>
          <cell r="AA112">
            <v>98.933812430000003</v>
          </cell>
          <cell r="AB112">
            <v>103.31290319999999</v>
          </cell>
          <cell r="AC112">
            <v>107.7174895</v>
          </cell>
          <cell r="AD112">
            <v>112.15701079999999</v>
          </cell>
          <cell r="AE112">
            <v>116.55961069999999</v>
          </cell>
          <cell r="AF112">
            <v>121.0331721</v>
          </cell>
          <cell r="AG112">
            <v>125.5329311</v>
          </cell>
          <cell r="AH112">
            <v>130.05117469999999</v>
          </cell>
          <cell r="AI112">
            <v>134.58001049999999</v>
          </cell>
          <cell r="AJ112">
            <v>139.1121756</v>
          </cell>
          <cell r="AK112">
            <v>143.64127350000001</v>
          </cell>
          <cell r="AL112">
            <v>148.16164509999999</v>
          </cell>
          <cell r="AM112">
            <v>152.66814239999999</v>
          </cell>
          <cell r="AN112">
            <v>157.15597690000001</v>
          </cell>
          <cell r="AO112">
            <v>161.6207881</v>
          </cell>
        </row>
        <row r="113">
          <cell r="F113">
            <v>68.80476281</v>
          </cell>
          <cell r="G113">
            <v>76.167450889999998</v>
          </cell>
          <cell r="H113">
            <v>82.782693910000006</v>
          </cell>
          <cell r="I113">
            <v>88.094278410000001</v>
          </cell>
          <cell r="J113">
            <v>92.631675340000001</v>
          </cell>
          <cell r="K113">
            <v>96.718088940000001</v>
          </cell>
          <cell r="L113">
            <v>99.914093519999994</v>
          </cell>
          <cell r="M113">
            <v>102.94675169999999</v>
          </cell>
          <cell r="N113">
            <v>105.88089979999999</v>
          </cell>
          <cell r="O113">
            <v>108.75832870000001</v>
          </cell>
          <cell r="P113">
            <v>112.64400860000001</v>
          </cell>
          <cell r="Q113">
            <v>115.486242</v>
          </cell>
          <cell r="R113">
            <v>118.3344092</v>
          </cell>
          <cell r="S113">
            <v>121.1995005</v>
          </cell>
          <cell r="T113">
            <v>124.090839</v>
          </cell>
          <cell r="U113">
            <v>127.0168894</v>
          </cell>
          <cell r="V113">
            <v>129.98513019999999</v>
          </cell>
          <cell r="W113">
            <v>133.00126019999999</v>
          </cell>
          <cell r="X113">
            <v>136.06735549999999</v>
          </cell>
          <cell r="Y113">
            <v>139.17985039999999</v>
          </cell>
          <cell r="Z113">
            <v>141.64361450000001</v>
          </cell>
          <cell r="AA113">
            <v>144.811916</v>
          </cell>
          <cell r="AB113">
            <v>147.98120349999999</v>
          </cell>
          <cell r="AC113">
            <v>151.135954</v>
          </cell>
          <cell r="AD113">
            <v>154.2662334</v>
          </cell>
          <cell r="AE113">
            <v>155.49655440000001</v>
          </cell>
          <cell r="AF113">
            <v>157.68849560000001</v>
          </cell>
          <cell r="AG113">
            <v>159.85151440000001</v>
          </cell>
          <cell r="AH113">
            <v>161.9916278</v>
          </cell>
          <cell r="AI113">
            <v>164.11562409999999</v>
          </cell>
          <cell r="AJ113">
            <v>166.2296073</v>
          </cell>
          <cell r="AK113">
            <v>168.33857380000001</v>
          </cell>
          <cell r="AL113">
            <v>170.4466065</v>
          </cell>
          <cell r="AM113">
            <v>172.55726920000001</v>
          </cell>
          <cell r="AN113">
            <v>174.67392709999999</v>
          </cell>
          <cell r="AO113">
            <v>176.7997704</v>
          </cell>
        </row>
        <row r="114">
          <cell r="F114">
            <v>408.28039699999999</v>
          </cell>
          <cell r="G114">
            <v>423.60722529999998</v>
          </cell>
          <cell r="H114">
            <v>438.27328180000001</v>
          </cell>
          <cell r="I114">
            <v>450.44654270000001</v>
          </cell>
          <cell r="J114">
            <v>461.3056618</v>
          </cell>
          <cell r="K114">
            <v>471.47086289999999</v>
          </cell>
          <cell r="L114">
            <v>479.50487120000003</v>
          </cell>
          <cell r="M114">
            <v>487.3173903</v>
          </cell>
          <cell r="N114">
            <v>495.00559529999998</v>
          </cell>
          <cell r="O114">
            <v>502.62859959999997</v>
          </cell>
          <cell r="P114">
            <v>513.13684149999995</v>
          </cell>
          <cell r="Q114">
            <v>520.73628929999995</v>
          </cell>
          <cell r="R114">
            <v>528.34840120000001</v>
          </cell>
          <cell r="S114">
            <v>535.98547680000001</v>
          </cell>
          <cell r="T114">
            <v>543.65829380000002</v>
          </cell>
          <cell r="U114">
            <v>551.37712839999995</v>
          </cell>
          <cell r="V114">
            <v>559.1514535</v>
          </cell>
          <cell r="W114">
            <v>566.98884069999997</v>
          </cell>
          <cell r="X114">
            <v>574.89270060000001</v>
          </cell>
          <cell r="Y114">
            <v>582.85981879999997</v>
          </cell>
          <cell r="Z114">
            <v>588.95219380000003</v>
          </cell>
          <cell r="AA114">
            <v>597.00033570000005</v>
          </cell>
          <cell r="AB114">
            <v>605.05945259999999</v>
          </cell>
          <cell r="AC114">
            <v>613.11090909999996</v>
          </cell>
          <cell r="AD114">
            <v>621.14273649999996</v>
          </cell>
          <cell r="AE114">
            <v>623.88851920000002</v>
          </cell>
          <cell r="AF114">
            <v>629.38715560000003</v>
          </cell>
          <cell r="AG114">
            <v>634.85363219999999</v>
          </cell>
          <cell r="AH114">
            <v>640.29532189999998</v>
          </cell>
          <cell r="AI114">
            <v>645.72026719999997</v>
          </cell>
          <cell r="AJ114">
            <v>651.13558599999999</v>
          </cell>
          <cell r="AK114">
            <v>656.54704909999998</v>
          </cell>
          <cell r="AL114">
            <v>661.95933190000005</v>
          </cell>
          <cell r="AM114">
            <v>667.37648179999997</v>
          </cell>
          <cell r="AN114">
            <v>672.80230329999995</v>
          </cell>
          <cell r="AO114">
            <v>678.24041350000005</v>
          </cell>
        </row>
        <row r="115">
          <cell r="F115">
            <v>954.38155940000001</v>
          </cell>
          <cell r="G115">
            <v>948.00346160000004</v>
          </cell>
          <cell r="H115">
            <v>942.13795349999998</v>
          </cell>
          <cell r="I115">
            <v>939.04726029999995</v>
          </cell>
          <cell r="J115">
            <v>937.25237819999995</v>
          </cell>
          <cell r="K115">
            <v>935.99759019999999</v>
          </cell>
          <cell r="L115">
            <v>934.95947609999996</v>
          </cell>
          <cell r="M115">
            <v>934.00196129999995</v>
          </cell>
          <cell r="N115">
            <v>933.0679715</v>
          </cell>
          <cell r="O115">
            <v>932.13314030000004</v>
          </cell>
          <cell r="P115">
            <v>931.18805769999994</v>
          </cell>
          <cell r="Q115">
            <v>930.22859849999998</v>
          </cell>
          <cell r="R115">
            <v>929.25336460000005</v>
          </cell>
          <cell r="S115">
            <v>928.26350449999995</v>
          </cell>
          <cell r="T115">
            <v>927.26061010000001</v>
          </cell>
          <cell r="U115">
            <v>926.24561789999996</v>
          </cell>
          <cell r="V115">
            <v>925.21809370000005</v>
          </cell>
          <cell r="W115">
            <v>924.17556609999997</v>
          </cell>
          <cell r="X115">
            <v>923.1133347</v>
          </cell>
          <cell r="Y115">
            <v>922.02536859999998</v>
          </cell>
          <cell r="Z115">
            <v>920.90458999999998</v>
          </cell>
          <cell r="AA115">
            <v>919.75300819999995</v>
          </cell>
          <cell r="AB115">
            <v>918.57604830000002</v>
          </cell>
          <cell r="AC115">
            <v>917.37981460000003</v>
          </cell>
          <cell r="AD115">
            <v>916.16964840000003</v>
          </cell>
          <cell r="AE115">
            <v>914.94392970000001</v>
          </cell>
          <cell r="AF115">
            <v>913.70929260000003</v>
          </cell>
          <cell r="AG115">
            <v>912.468839</v>
          </cell>
          <cell r="AH115">
            <v>911.22165649999999</v>
          </cell>
          <cell r="AI115">
            <v>909.9658925</v>
          </cell>
          <cell r="AJ115">
            <v>908.70016380000004</v>
          </cell>
          <cell r="AK115">
            <v>907.4239073</v>
          </cell>
          <cell r="AL115">
            <v>906.13717299999996</v>
          </cell>
          <cell r="AM115">
            <v>904.84023049999996</v>
          </cell>
          <cell r="AN115">
            <v>903.53323160000002</v>
          </cell>
          <cell r="AO115">
            <v>902.21609309999997</v>
          </cell>
        </row>
        <row r="116">
          <cell r="F116">
            <v>878.79999729999997</v>
          </cell>
          <cell r="G116">
            <v>869.4310534</v>
          </cell>
          <cell r="H116">
            <v>861.858431</v>
          </cell>
          <cell r="I116">
            <v>855.53037819999997</v>
          </cell>
          <cell r="J116">
            <v>849.93818480000004</v>
          </cell>
          <cell r="K116">
            <v>844.74919220000004</v>
          </cell>
          <cell r="L116">
            <v>839.77592240000001</v>
          </cell>
          <cell r="M116">
            <v>834.9212685</v>
          </cell>
          <cell r="N116">
            <v>830.1377549</v>
          </cell>
          <cell r="O116">
            <v>825.40272809999999</v>
          </cell>
          <cell r="P116">
            <v>820.70573060000004</v>
          </cell>
          <cell r="Q116">
            <v>816.04210660000001</v>
          </cell>
          <cell r="R116">
            <v>811.40937150000002</v>
          </cell>
          <cell r="S116">
            <v>806.80718609999997</v>
          </cell>
          <cell r="T116">
            <v>802.23613620000003</v>
          </cell>
          <cell r="U116">
            <v>797.69719859999998</v>
          </cell>
          <cell r="V116">
            <v>793.19129459999999</v>
          </cell>
          <cell r="W116">
            <v>788.71888360000003</v>
          </cell>
          <cell r="X116">
            <v>784.27958609999996</v>
          </cell>
          <cell r="Y116">
            <v>779.87203620000003</v>
          </cell>
          <cell r="Z116">
            <v>775.49389199999996</v>
          </cell>
          <cell r="AA116">
            <v>771.14262929999995</v>
          </cell>
          <cell r="AB116">
            <v>766.81630419999999</v>
          </cell>
          <cell r="AC116">
            <v>762.51301850000004</v>
          </cell>
          <cell r="AD116">
            <v>758.23155650000001</v>
          </cell>
          <cell r="AE116">
            <v>753.97103340000001</v>
          </cell>
          <cell r="AF116">
            <v>749.73126460000003</v>
          </cell>
          <cell r="AG116">
            <v>745.51358379999999</v>
          </cell>
          <cell r="AH116">
            <v>741.3187954</v>
          </cell>
          <cell r="AI116">
            <v>737.14757970000005</v>
          </cell>
          <cell r="AJ116">
            <v>733.00050999999996</v>
          </cell>
          <cell r="AK116">
            <v>728.87806869999997</v>
          </cell>
          <cell r="AL116">
            <v>724.78065700000002</v>
          </cell>
          <cell r="AM116">
            <v>720.70860630000004</v>
          </cell>
          <cell r="AN116">
            <v>716.66219090000004</v>
          </cell>
          <cell r="AO116">
            <v>712.64162980000003</v>
          </cell>
        </row>
        <row r="117">
          <cell r="F117">
            <v>139.85209269999999</v>
          </cell>
          <cell r="G117">
            <v>138.03691000000001</v>
          </cell>
          <cell r="H117">
            <v>136.32928910000001</v>
          </cell>
          <cell r="I117">
            <v>134.75853810000001</v>
          </cell>
          <cell r="J117">
            <v>133.34486999999999</v>
          </cell>
          <cell r="K117">
            <v>132.08580910000001</v>
          </cell>
          <cell r="L117">
            <v>130.95836320000001</v>
          </cell>
          <cell r="M117">
            <v>129.9309647</v>
          </cell>
          <cell r="N117">
            <v>128.97352119999999</v>
          </cell>
          <cell r="O117">
            <v>128.0620491</v>
          </cell>
          <cell r="P117">
            <v>127.1793442</v>
          </cell>
          <cell r="Q117">
            <v>126.3129326</v>
          </cell>
          <cell r="R117">
            <v>125.4538084</v>
          </cell>
          <cell r="S117">
            <v>124.5942714</v>
          </cell>
          <cell r="T117">
            <v>123.7267848</v>
          </cell>
          <cell r="U117">
            <v>122.8437638</v>
          </cell>
          <cell r="V117">
            <v>121.938284</v>
          </cell>
          <cell r="W117">
            <v>121.00534399999999</v>
          </cell>
          <cell r="X117">
            <v>120.04369490000001</v>
          </cell>
          <cell r="Y117">
            <v>119.0571577</v>
          </cell>
          <cell r="Z117">
            <v>118.0541206</v>
          </cell>
          <cell r="AA117">
            <v>117.0476129</v>
          </cell>
          <cell r="AB117">
            <v>116.05086679999999</v>
          </cell>
          <cell r="AC117">
            <v>115.0753716</v>
          </cell>
          <cell r="AD117">
            <v>114.12874360000001</v>
          </cell>
          <cell r="AE117">
            <v>113.21344139999999</v>
          </cell>
          <cell r="AF117">
            <v>112.32955680000001</v>
          </cell>
          <cell r="AG117">
            <v>111.47340060000001</v>
          </cell>
          <cell r="AH117">
            <v>110.6400445</v>
          </cell>
          <cell r="AI117">
            <v>109.82441110000001</v>
          </cell>
          <cell r="AJ117">
            <v>109.0219855</v>
          </cell>
          <cell r="AK117">
            <v>108.2290173</v>
          </cell>
          <cell r="AL117">
            <v>107.44240720000001</v>
          </cell>
          <cell r="AM117">
            <v>106.65947679999999</v>
          </cell>
          <cell r="AN117">
            <v>105.8777609</v>
          </cell>
          <cell r="AO117">
            <v>105.0949749</v>
          </cell>
        </row>
        <row r="118">
          <cell r="F118">
            <v>3.874567114</v>
          </cell>
          <cell r="G118">
            <v>3.730938305</v>
          </cell>
          <cell r="H118">
            <v>3.5999494350000001</v>
          </cell>
          <cell r="I118">
            <v>3.4839117819999998</v>
          </cell>
          <cell r="J118">
            <v>3.3849327169999999</v>
          </cell>
          <cell r="K118">
            <v>3.3034984359999999</v>
          </cell>
          <cell r="L118">
            <v>3.238077348</v>
          </cell>
          <cell r="M118">
            <v>3.1858005390000002</v>
          </cell>
          <cell r="N118">
            <v>3.1433543880000001</v>
          </cell>
          <cell r="O118">
            <v>3.1076160210000001</v>
          </cell>
          <cell r="P118">
            <v>3.0759999320000002</v>
          </cell>
          <cell r="Q118">
            <v>3.0463488829999998</v>
          </cell>
          <cell r="R118">
            <v>3.0170011059999999</v>
          </cell>
          <cell r="S118">
            <v>2.9865514929999999</v>
          </cell>
          <cell r="T118">
            <v>2.9537698649999999</v>
          </cell>
          <cell r="U118">
            <v>2.9176390900000002</v>
          </cell>
          <cell r="V118">
            <v>2.8774720500000002</v>
          </cell>
          <cell r="W118">
            <v>2.8330264920000001</v>
          </cell>
          <cell r="X118">
            <v>2.7846210139999998</v>
          </cell>
          <cell r="Y118">
            <v>2.7331444220000001</v>
          </cell>
          <cell r="Z118">
            <v>2.6798737990000001</v>
          </cell>
          <cell r="AA118">
            <v>2.6264448900000001</v>
          </cell>
          <cell r="AB118">
            <v>2.5743724210000001</v>
          </cell>
          <cell r="AC118">
            <v>2.5249134889999998</v>
          </cell>
          <cell r="AD118">
            <v>2.478895069</v>
          </cell>
          <cell r="AE118">
            <v>2.4365734990000001</v>
          </cell>
          <cell r="AF118">
            <v>2.397979517</v>
          </cell>
          <cell r="AG118">
            <v>2.3626789800000001</v>
          </cell>
          <cell r="AH118">
            <v>2.3300577260000002</v>
          </cell>
          <cell r="AI118">
            <v>2.299453846</v>
          </cell>
          <cell r="AJ118">
            <v>2.2702601250000001</v>
          </cell>
          <cell r="AK118">
            <v>2.2419635470000001</v>
          </cell>
          <cell r="AL118">
            <v>2.2141400839999998</v>
          </cell>
          <cell r="AM118">
            <v>2.1864310119999999</v>
          </cell>
          <cell r="AN118">
            <v>2.1585212089999999</v>
          </cell>
          <cell r="AO118">
            <v>2.1301397340000001</v>
          </cell>
        </row>
        <row r="205">
          <cell r="E205" t="str">
            <v>YG_toe_2</v>
          </cell>
          <cell r="F205">
            <v>142.04533290000001</v>
          </cell>
          <cell r="G205">
            <v>144.63732590000001</v>
          </cell>
          <cell r="H205">
            <v>146.84059629999999</v>
          </cell>
          <cell r="I205">
            <v>149.1046838</v>
          </cell>
          <cell r="J205">
            <v>151.5691272</v>
          </cell>
          <cell r="K205">
            <v>154.2748953</v>
          </cell>
          <cell r="L205">
            <v>158.3902372</v>
          </cell>
          <cell r="M205">
            <v>160.933153</v>
          </cell>
          <cell r="N205">
            <v>162.96178950000001</v>
          </cell>
          <cell r="O205">
            <v>164.6276384</v>
          </cell>
          <cell r="P205">
            <v>166.15058049999999</v>
          </cell>
          <cell r="Q205">
            <v>167.40760399999999</v>
          </cell>
          <cell r="R205">
            <v>168.637957</v>
          </cell>
          <cell r="S205">
            <v>169.98106290000001</v>
          </cell>
          <cell r="T205">
            <v>171.52410180000001</v>
          </cell>
          <cell r="U205">
            <v>173.29023799999999</v>
          </cell>
          <cell r="V205">
            <v>175.28183749999999</v>
          </cell>
          <cell r="W205">
            <v>177.48470259999999</v>
          </cell>
          <cell r="X205">
            <v>179.8752739</v>
          </cell>
          <cell r="Y205">
            <v>182.4268343</v>
          </cell>
          <cell r="Z205">
            <v>185.0054653</v>
          </cell>
          <cell r="AA205">
            <v>187.76582869999999</v>
          </cell>
          <cell r="AB205">
            <v>190.60846789999999</v>
          </cell>
          <cell r="AC205">
            <v>193.49734749999999</v>
          </cell>
          <cell r="AD205">
            <v>196.40679489999999</v>
          </cell>
          <cell r="AE205">
            <v>198.9782841</v>
          </cell>
          <cell r="AF205">
            <v>201.62291640000001</v>
          </cell>
          <cell r="AG205">
            <v>204.18495669999999</v>
          </cell>
          <cell r="AH205">
            <v>206.63786949999999</v>
          </cell>
          <cell r="AI205">
            <v>208.99465900000001</v>
          </cell>
          <cell r="AJ205">
            <v>211.28799459999999</v>
          </cell>
          <cell r="AK205">
            <v>213.55635280000001</v>
          </cell>
          <cell r="AL205">
            <v>215.834</v>
          </cell>
          <cell r="AM205">
            <v>218.1428051</v>
          </cell>
          <cell r="AN205">
            <v>220.49430340000001</v>
          </cell>
          <cell r="AO205">
            <v>222.89301399999999</v>
          </cell>
        </row>
        <row r="206">
          <cell r="E206" t="str">
            <v>YG_toe_ccoa_2</v>
          </cell>
          <cell r="F206">
            <v>2.2573637390000001</v>
          </cell>
          <cell r="G206">
            <v>1.6353352569999999</v>
          </cell>
          <cell r="H206">
            <v>1.119558928</v>
          </cell>
          <cell r="I206">
            <v>0.70402733500000003</v>
          </cell>
          <cell r="J206">
            <v>0.37152696699999999</v>
          </cell>
          <cell r="K206">
            <v>0.10505353470000001</v>
          </cell>
          <cell r="L206">
            <v>-0.101620223</v>
          </cell>
          <cell r="M206">
            <v>-0.27469626850000001</v>
          </cell>
          <cell r="N206">
            <v>-0.41748059939999999</v>
          </cell>
          <cell r="O206">
            <v>-0.53616366100000001</v>
          </cell>
          <cell r="P206">
            <v>-0.64317329249999999</v>
          </cell>
          <cell r="Q206">
            <v>-0.72656207620000002</v>
          </cell>
          <cell r="R206">
            <v>-0.79781537359999999</v>
          </cell>
          <cell r="S206">
            <v>-0.85998122340000005</v>
          </cell>
          <cell r="T206">
            <v>-0.91409224229999997</v>
          </cell>
          <cell r="U206">
            <v>-0.96105758139999997</v>
          </cell>
          <cell r="V206">
            <v>-1.0019287619999999</v>
          </cell>
          <cell r="W206">
            <v>-1.03786296</v>
          </cell>
          <cell r="X206">
            <v>-1.0700093740000001</v>
          </cell>
          <cell r="Y206">
            <v>-1.0993992880000001</v>
          </cell>
          <cell r="Z206">
            <v>-1.1217340490000001</v>
          </cell>
          <cell r="AA206">
            <v>-1.1490731540000001</v>
          </cell>
          <cell r="AB206">
            <v>-1.1760247539999999</v>
          </cell>
          <cell r="AC206">
            <v>-1.201965908</v>
          </cell>
          <cell r="AD206">
            <v>-1.2273310449999999</v>
          </cell>
          <cell r="AE206">
            <v>-1.237647757</v>
          </cell>
          <cell r="AF206">
            <v>-1.2599761709999999</v>
          </cell>
          <cell r="AG206">
            <v>-1.2849712120000001</v>
          </cell>
          <cell r="AH206">
            <v>-1.310490207</v>
          </cell>
          <cell r="AI206">
            <v>-1.336460786</v>
          </cell>
          <cell r="AJ206">
            <v>-1.3629849590000001</v>
          </cell>
          <cell r="AK206">
            <v>-1.3900283339999999</v>
          </cell>
          <cell r="AL206">
            <v>-1.4174777409999999</v>
          </cell>
          <cell r="AM206">
            <v>-1.445235475</v>
          </cell>
          <cell r="AN206">
            <v>-1.4732672630000001</v>
          </cell>
          <cell r="AO206">
            <v>-1.50160399</v>
          </cell>
        </row>
        <row r="209">
          <cell r="E209" t="str">
            <v>YG_toe_ccoi_2</v>
          </cell>
          <cell r="F209">
            <v>1.2014586460000001</v>
          </cell>
          <cell r="G209">
            <v>0.96353369389999999</v>
          </cell>
          <cell r="H209">
            <v>0.77319698469999998</v>
          </cell>
          <cell r="I209">
            <v>0.62094703340000001</v>
          </cell>
          <cell r="J209">
            <v>0.49917610950000002</v>
          </cell>
          <cell r="K209">
            <v>0.40179277260000001</v>
          </cell>
          <cell r="L209">
            <v>0.3239347072</v>
          </cell>
          <cell r="M209">
            <v>0.26167395850000003</v>
          </cell>
          <cell r="N209">
            <v>0.21189630370000001</v>
          </cell>
          <cell r="O209">
            <v>0.17210393099999999</v>
          </cell>
          <cell r="P209">
            <v>0.14030680500000001</v>
          </cell>
          <cell r="Q209">
            <v>0.1148899226</v>
          </cell>
          <cell r="R209">
            <v>9.4582189299999994E-2</v>
          </cell>
          <cell r="S209">
            <v>7.8364732300000003E-2</v>
          </cell>
          <cell r="T209">
            <v>6.5420766000000005E-2</v>
          </cell>
          <cell r="U209">
            <v>5.50960344E-2</v>
          </cell>
          <cell r="V209">
            <v>4.6866598099999997E-2</v>
          </cell>
          <cell r="W209">
            <v>4.0313002299999998E-2</v>
          </cell>
          <cell r="X209">
            <v>3.5099631499999999E-2</v>
          </cell>
          <cell r="Y209">
            <v>3.0958137600000001E-2</v>
          </cell>
          <cell r="Z209">
            <v>2.7666665600000001E-2</v>
          </cell>
          <cell r="AA209">
            <v>2.5066373100000001E-2</v>
          </cell>
          <cell r="AB209">
            <v>2.3016358600000002E-2</v>
          </cell>
          <cell r="AC209">
            <v>2.14056049E-2</v>
          </cell>
          <cell r="AD209">
            <v>2.0146424600000001E-2</v>
          </cell>
          <cell r="AE209">
            <v>1.9146420800000001E-2</v>
          </cell>
          <cell r="AF209">
            <v>1.8377925E-2</v>
          </cell>
          <cell r="AG209">
            <v>1.7790049799999999E-2</v>
          </cell>
          <cell r="AH209">
            <v>1.73440266E-2</v>
          </cell>
          <cell r="AI209">
            <v>1.7011111700000001E-2</v>
          </cell>
          <cell r="AJ209">
            <v>1.6769017000000001E-2</v>
          </cell>
          <cell r="AK209">
            <v>1.6600047E-2</v>
          </cell>
          <cell r="AL209">
            <v>1.6489903600000001E-2</v>
          </cell>
          <cell r="AM209">
            <v>1.64268812E-2</v>
          </cell>
          <cell r="AN209">
            <v>1.6401360199999999E-2</v>
          </cell>
          <cell r="AO209">
            <v>1.64054813E-2</v>
          </cell>
        </row>
        <row r="212">
          <cell r="E212" t="str">
            <v>YG_toe_cfut_2</v>
          </cell>
          <cell r="F212">
            <v>54.383138070000001</v>
          </cell>
          <cell r="G212">
            <v>55.89867323</v>
          </cell>
          <cell r="H212">
            <v>57.201141829999997</v>
          </cell>
          <cell r="I212">
            <v>58.393038320000002</v>
          </cell>
          <cell r="J212">
            <v>59.52874138</v>
          </cell>
          <cell r="K212">
            <v>60.633573949999999</v>
          </cell>
          <cell r="L212">
            <v>61.803635880000002</v>
          </cell>
          <cell r="M212">
            <v>62.866630399999998</v>
          </cell>
          <cell r="N212">
            <v>63.901704709999997</v>
          </cell>
          <cell r="O212">
            <v>64.911630459999998</v>
          </cell>
          <cell r="P212">
            <v>65.969310140000005</v>
          </cell>
          <cell r="Q212">
            <v>66.931036809999995</v>
          </cell>
          <cell r="R212">
            <v>67.878422569999998</v>
          </cell>
          <cell r="S212">
            <v>68.821657729999998</v>
          </cell>
          <cell r="T212">
            <v>69.765120809999999</v>
          </cell>
          <cell r="U212">
            <v>70.709936990000003</v>
          </cell>
          <cell r="V212">
            <v>71.655686779999996</v>
          </cell>
          <cell r="W212">
            <v>72.601479179999998</v>
          </cell>
          <cell r="X212">
            <v>73.546866030000004</v>
          </cell>
          <cell r="Y212">
            <v>74.492319100000003</v>
          </cell>
          <cell r="Z212">
            <v>75.381597139999997</v>
          </cell>
          <cell r="AA212">
            <v>76.327738670000002</v>
          </cell>
          <cell r="AB212">
            <v>77.279436869999998</v>
          </cell>
          <cell r="AC212">
            <v>78.236113950000004</v>
          </cell>
          <cell r="AD212">
            <v>79.199632379999997</v>
          </cell>
          <cell r="AE212">
            <v>80.000460070000003</v>
          </cell>
          <cell r="AF212">
            <v>80.893043809999995</v>
          </cell>
          <cell r="AG212">
            <v>81.788442610000004</v>
          </cell>
          <cell r="AH212">
            <v>82.680945539999996</v>
          </cell>
          <cell r="AI212">
            <v>83.572076499999994</v>
          </cell>
          <cell r="AJ212">
            <v>84.464838830000005</v>
          </cell>
          <cell r="AK212">
            <v>85.361834889999997</v>
          </cell>
          <cell r="AL212">
            <v>86.264524100000003</v>
          </cell>
          <cell r="AM212">
            <v>87.173063440000007</v>
          </cell>
          <cell r="AN212">
            <v>88.086691610000003</v>
          </cell>
          <cell r="AO212">
            <v>89.004282540000005</v>
          </cell>
        </row>
        <row r="215">
          <cell r="E215" t="str">
            <v>YG_toe_cfuh_2</v>
          </cell>
          <cell r="F215">
            <v>5.0121778020000001</v>
          </cell>
          <cell r="G215">
            <v>4.90240673</v>
          </cell>
          <cell r="H215">
            <v>4.8047687059999999</v>
          </cell>
          <cell r="I215">
            <v>4.7265664980000004</v>
          </cell>
          <cell r="J215">
            <v>4.6687095489999999</v>
          </cell>
          <cell r="K215">
            <v>4.6296392400000004</v>
          </cell>
          <cell r="L215">
            <v>4.6114531870000004</v>
          </cell>
          <cell r="M215">
            <v>4.6042398960000002</v>
          </cell>
          <cell r="N215">
            <v>4.6074465939999998</v>
          </cell>
          <cell r="O215">
            <v>4.6168718999999996</v>
          </cell>
          <cell r="P215">
            <v>4.6336357320000001</v>
          </cell>
          <cell r="Q215">
            <v>4.6458332200000001</v>
          </cell>
          <cell r="R215">
            <v>4.6577193330000002</v>
          </cell>
          <cell r="S215">
            <v>4.670121097</v>
          </cell>
          <cell r="T215">
            <v>4.6833700550000001</v>
          </cell>
          <cell r="U215">
            <v>4.697421727</v>
          </cell>
          <cell r="V215">
            <v>4.7119737920000002</v>
          </cell>
          <cell r="W215">
            <v>4.7266622600000003</v>
          </cell>
          <cell r="X215">
            <v>4.741248014</v>
          </cell>
          <cell r="Y215">
            <v>4.7557137999999997</v>
          </cell>
          <cell r="Z215">
            <v>4.766908055</v>
          </cell>
          <cell r="AA215">
            <v>4.7816316050000003</v>
          </cell>
          <cell r="AB215">
            <v>4.7971288569999997</v>
          </cell>
          <cell r="AC215">
            <v>4.8133780120000003</v>
          </cell>
          <cell r="AD215">
            <v>4.8306597919999996</v>
          </cell>
          <cell r="AE215">
            <v>4.8391661739999998</v>
          </cell>
          <cell r="AF215">
            <v>4.854266838</v>
          </cell>
          <cell r="AG215">
            <v>4.8701724000000004</v>
          </cell>
          <cell r="AH215">
            <v>4.8860407190000004</v>
          </cell>
          <cell r="AI215">
            <v>4.9019639929999999</v>
          </cell>
          <cell r="AJ215">
            <v>4.9182615729999997</v>
          </cell>
          <cell r="AK215">
            <v>4.9352358250000004</v>
          </cell>
          <cell r="AL215">
            <v>4.9530499260000003</v>
          </cell>
          <cell r="AM215">
            <v>4.9716960190000004</v>
          </cell>
          <cell r="AN215">
            <v>4.9910416919999996</v>
          </cell>
          <cell r="AO215">
            <v>5.0109124319999996</v>
          </cell>
        </row>
        <row r="217">
          <cell r="E217" t="str">
            <v>YG_toe_cgas_2</v>
          </cell>
          <cell r="F217">
            <v>2.429186219</v>
          </cell>
          <cell r="G217">
            <v>4.2908623480000001</v>
          </cell>
          <cell r="H217">
            <v>5.6942119389999997</v>
          </cell>
          <cell r="I217">
            <v>6.8442874849999997</v>
          </cell>
          <cell r="J217">
            <v>7.806131401</v>
          </cell>
          <cell r="K217">
            <v>8.6195106500000005</v>
          </cell>
          <cell r="L217">
            <v>9.5931380179999994</v>
          </cell>
          <cell r="M217">
            <v>10.172303680000001</v>
          </cell>
          <cell r="N217">
            <v>10.658124150000001</v>
          </cell>
          <cell r="O217">
            <v>11.0643496</v>
          </cell>
          <cell r="P217">
            <v>11.402017799999999</v>
          </cell>
          <cell r="Q217">
            <v>11.68356344</v>
          </cell>
          <cell r="R217">
            <v>11.92130249</v>
          </cell>
          <cell r="S217">
            <v>12.130165549999999</v>
          </cell>
          <cell r="T217">
            <v>12.32095093</v>
          </cell>
          <cell r="U217">
            <v>12.499222830000001</v>
          </cell>
          <cell r="V217">
            <v>12.668220809999999</v>
          </cell>
          <cell r="W217">
            <v>12.82977034</v>
          </cell>
          <cell r="X217">
            <v>12.98522631</v>
          </cell>
          <cell r="Y217">
            <v>13.136042</v>
          </cell>
          <cell r="Z217">
            <v>13.2810293</v>
          </cell>
          <cell r="AA217">
            <v>13.42313575</v>
          </cell>
          <cell r="AB217">
            <v>13.565518559999999</v>
          </cell>
          <cell r="AC217">
            <v>13.70894655</v>
          </cell>
          <cell r="AD217">
            <v>13.85383955</v>
          </cell>
          <cell r="AE217">
            <v>13.98993761</v>
          </cell>
          <cell r="AF217">
            <v>14.12116591</v>
          </cell>
          <cell r="AG217">
            <v>14.24741491</v>
          </cell>
          <cell r="AH217">
            <v>14.369276449999999</v>
          </cell>
          <cell r="AI217">
            <v>14.48846299</v>
          </cell>
          <cell r="AJ217">
            <v>14.607202210000001</v>
          </cell>
          <cell r="AK217">
            <v>14.72760336</v>
          </cell>
          <cell r="AL217">
            <v>14.851132120000001</v>
          </cell>
          <cell r="AM217">
            <v>14.97828314</v>
          </cell>
          <cell r="AN217">
            <v>15.10891528</v>
          </cell>
          <cell r="AO217">
            <v>15.242649460000001</v>
          </cell>
        </row>
        <row r="223">
          <cell r="E223" t="str">
            <v>YG_toe_cele_2</v>
          </cell>
          <cell r="F223">
            <v>49.409024510000002</v>
          </cell>
          <cell r="G223">
            <v>49.784726149999997</v>
          </cell>
          <cell r="H223">
            <v>50.202872220000003</v>
          </cell>
          <cell r="I223">
            <v>50.79620748</v>
          </cell>
          <cell r="J223">
            <v>51.609428489999999</v>
          </cell>
          <cell r="K223">
            <v>52.650288869999997</v>
          </cell>
          <cell r="L223">
            <v>54.240600069999999</v>
          </cell>
          <cell r="M223">
            <v>55.11066357</v>
          </cell>
          <cell r="N223">
            <v>55.594967830000002</v>
          </cell>
          <cell r="O223">
            <v>55.799828570000003</v>
          </cell>
          <cell r="P223">
            <v>55.842015629999999</v>
          </cell>
          <cell r="Q223">
            <v>55.774247199999998</v>
          </cell>
          <cell r="R223">
            <v>55.719205629999998</v>
          </cell>
          <cell r="S223">
            <v>55.7767123</v>
          </cell>
          <cell r="T223">
            <v>56.0106058</v>
          </cell>
          <cell r="U223">
            <v>56.438596259999997</v>
          </cell>
          <cell r="V223">
            <v>57.063990969999999</v>
          </cell>
          <cell r="W223">
            <v>57.87689898</v>
          </cell>
          <cell r="X223">
            <v>58.85834285</v>
          </cell>
          <cell r="Y223">
            <v>59.984441150000002</v>
          </cell>
          <cell r="Z223">
            <v>61.20148399</v>
          </cell>
          <cell r="AA223">
            <v>62.520120900000002</v>
          </cell>
          <cell r="AB223">
            <v>63.901329689999997</v>
          </cell>
          <cell r="AC223">
            <v>65.313126280000006</v>
          </cell>
          <cell r="AD223">
            <v>66.729867470000002</v>
          </cell>
          <cell r="AE223">
            <v>68.033565609999997</v>
          </cell>
          <cell r="AF223">
            <v>69.307396859999997</v>
          </cell>
          <cell r="AG223">
            <v>70.504666220000004</v>
          </cell>
          <cell r="AH223">
            <v>71.608581720000004</v>
          </cell>
          <cell r="AI223">
            <v>72.627772219999997</v>
          </cell>
          <cell r="AJ223">
            <v>73.585713420000005</v>
          </cell>
          <cell r="AK223">
            <v>74.511522330000005</v>
          </cell>
          <cell r="AL223">
            <v>75.432641849999996</v>
          </cell>
          <cell r="AM223">
            <v>76.368347580000005</v>
          </cell>
          <cell r="AN223">
            <v>77.330598480000006</v>
          </cell>
          <cell r="AO223">
            <v>78.325764030000002</v>
          </cell>
        </row>
        <row r="233">
          <cell r="E233" t="str">
            <v>YG_toe_chea_2</v>
          </cell>
          <cell r="F233">
            <v>3.574461646</v>
          </cell>
          <cell r="G233">
            <v>3.5988699629999998</v>
          </cell>
          <cell r="H233">
            <v>3.6269721829999999</v>
          </cell>
          <cell r="I233">
            <v>3.6641256520000001</v>
          </cell>
          <cell r="J233">
            <v>3.7107644720000001</v>
          </cell>
          <cell r="K233">
            <v>3.7663211080000001</v>
          </cell>
          <cell r="L233">
            <v>3.8302428599999998</v>
          </cell>
          <cell r="M233">
            <v>3.8826214270000001</v>
          </cell>
          <cell r="N233">
            <v>3.9271126679999999</v>
          </cell>
          <cell r="O233">
            <v>3.9652179099999998</v>
          </cell>
          <cell r="P233">
            <v>4.0007067300000001</v>
          </cell>
          <cell r="Q233">
            <v>4.0333019349999999</v>
          </cell>
          <cell r="R233">
            <v>4.0654383090000001</v>
          </cell>
          <cell r="S233">
            <v>4.1011014389999998</v>
          </cell>
          <cell r="T233">
            <v>4.1425606789999998</v>
          </cell>
          <cell r="U233">
            <v>4.189219628</v>
          </cell>
          <cell r="V233">
            <v>4.2404118019999997</v>
          </cell>
          <cell r="W233">
            <v>4.2953135930000004</v>
          </cell>
          <cell r="X233">
            <v>4.3530861649999997</v>
          </cell>
          <cell r="Y233">
            <v>4.4130186040000003</v>
          </cell>
          <cell r="Z233">
            <v>4.4726728439999999</v>
          </cell>
          <cell r="AA233">
            <v>4.5335153559999997</v>
          </cell>
          <cell r="AB233">
            <v>4.5959028059999998</v>
          </cell>
          <cell r="AC233">
            <v>4.6591673650000001</v>
          </cell>
          <cell r="AD233">
            <v>4.7229039799999999</v>
          </cell>
          <cell r="AE233">
            <v>4.780789478</v>
          </cell>
          <cell r="AF233">
            <v>4.8365040439999998</v>
          </cell>
          <cell r="AG233">
            <v>4.8909370369999996</v>
          </cell>
          <cell r="AH233">
            <v>4.943636251</v>
          </cell>
          <cell r="AI233">
            <v>4.9948556699999997</v>
          </cell>
          <cell r="AJ233">
            <v>5.0452642040000004</v>
          </cell>
          <cell r="AK233">
            <v>5.0956596679999997</v>
          </cell>
          <cell r="AL233">
            <v>5.1467562950000003</v>
          </cell>
          <cell r="AM233">
            <v>5.1988349080000003</v>
          </cell>
          <cell r="AN233">
            <v>5.2519360910000001</v>
          </cell>
          <cell r="AO233">
            <v>5.3059681970000003</v>
          </cell>
        </row>
        <row r="235">
          <cell r="E235" t="str">
            <v>YG_toe_cbio_2</v>
          </cell>
          <cell r="F235">
            <v>11.1594996</v>
          </cell>
          <cell r="G235">
            <v>11.196954379999999</v>
          </cell>
          <cell r="H235">
            <v>11.219778829999999</v>
          </cell>
          <cell r="I235">
            <v>11.25245045</v>
          </cell>
          <cell r="J235">
            <v>11.30208365</v>
          </cell>
          <cell r="K235">
            <v>11.369507580000001</v>
          </cell>
          <cell r="L235">
            <v>11.77439328</v>
          </cell>
          <cell r="M235">
            <v>11.881512300000001</v>
          </cell>
          <cell r="N235">
            <v>11.937189200000001</v>
          </cell>
          <cell r="O235">
            <v>11.975597860000001</v>
          </cell>
          <cell r="P235">
            <v>12.01238036</v>
          </cell>
          <cell r="Q235">
            <v>12.036632490000001</v>
          </cell>
          <cell r="R235">
            <v>12.05786707</v>
          </cell>
          <cell r="S235">
            <v>12.083791829999999</v>
          </cell>
          <cell r="T235">
            <v>12.11895715</v>
          </cell>
          <cell r="U235">
            <v>12.164191750000001</v>
          </cell>
          <cell r="V235">
            <v>12.2193845</v>
          </cell>
          <cell r="W235">
            <v>12.28384024</v>
          </cell>
          <cell r="X235">
            <v>12.35652125</v>
          </cell>
          <cell r="Y235">
            <v>12.436277479999999</v>
          </cell>
          <cell r="Z235">
            <v>12.515765480000001</v>
          </cell>
          <cell r="AA235">
            <v>12.60351468</v>
          </cell>
          <cell r="AB235">
            <v>12.69609307</v>
          </cell>
          <cell r="AC235">
            <v>12.79132366</v>
          </cell>
          <cell r="AD235">
            <v>12.887947710000001</v>
          </cell>
          <cell r="AE235">
            <v>12.966125890000001</v>
          </cell>
          <cell r="AF235">
            <v>13.046909879999999</v>
          </cell>
          <cell r="AG235">
            <v>13.12608562</v>
          </cell>
          <cell r="AH235">
            <v>13.20177105</v>
          </cell>
          <cell r="AI235">
            <v>13.274291249999999</v>
          </cell>
          <cell r="AJ235">
            <v>13.344937</v>
          </cell>
          <cell r="AK235">
            <v>13.41524764</v>
          </cell>
          <cell r="AL235">
            <v>13.48660183</v>
          </cell>
          <cell r="AM235">
            <v>13.55981094</v>
          </cell>
          <cell r="AN235">
            <v>13.635270370000001</v>
          </cell>
          <cell r="AO235">
            <v>13.713119969999999</v>
          </cell>
        </row>
        <row r="238">
          <cell r="E238" t="str">
            <v>YG_toe_cote_2</v>
          </cell>
          <cell r="F238">
            <v>12.619022709999999</v>
          </cell>
          <cell r="G238">
            <v>12.36596417</v>
          </cell>
          <cell r="H238">
            <v>12.198094660000001</v>
          </cell>
          <cell r="I238">
            <v>12.10303358</v>
          </cell>
          <cell r="J238">
            <v>12.07256521</v>
          </cell>
          <cell r="K238">
            <v>12.09920763</v>
          </cell>
          <cell r="L238">
            <v>12.3144594</v>
          </cell>
          <cell r="M238">
            <v>12.428204040000001</v>
          </cell>
          <cell r="N238">
            <v>12.540828599999999</v>
          </cell>
          <cell r="O238">
            <v>12.65820179</v>
          </cell>
          <cell r="P238">
            <v>12.793380620000001</v>
          </cell>
          <cell r="Q238">
            <v>12.914661089999999</v>
          </cell>
          <cell r="R238">
            <v>13.0412348</v>
          </cell>
          <cell r="S238">
            <v>13.17912946</v>
          </cell>
          <cell r="T238">
            <v>13.33120789</v>
          </cell>
          <cell r="U238">
            <v>13.49761039</v>
          </cell>
          <cell r="V238">
            <v>13.67723101</v>
          </cell>
          <cell r="W238">
            <v>13.868287949999999</v>
          </cell>
          <cell r="X238">
            <v>14.06889305</v>
          </cell>
          <cell r="Y238">
            <v>14.27746333</v>
          </cell>
          <cell r="Z238">
            <v>14.48007591</v>
          </cell>
          <cell r="AA238">
            <v>14.700178490000001</v>
          </cell>
          <cell r="AB238">
            <v>14.926066410000001</v>
          </cell>
          <cell r="AC238">
            <v>15.155852019999999</v>
          </cell>
          <cell r="AD238">
            <v>15.38912863</v>
          </cell>
          <cell r="AE238">
            <v>15.586740600000001</v>
          </cell>
          <cell r="AF238">
            <v>15.805227309999999</v>
          </cell>
          <cell r="AG238">
            <v>16.02441906</v>
          </cell>
          <cell r="AH238">
            <v>16.240763940000001</v>
          </cell>
          <cell r="AI238">
            <v>16.454686070000001</v>
          </cell>
          <cell r="AJ238">
            <v>16.667993320000001</v>
          </cell>
          <cell r="AK238">
            <v>16.882677340000001</v>
          </cell>
          <cell r="AL238">
            <v>17.1002817</v>
          </cell>
          <cell r="AM238">
            <v>17.32157771</v>
          </cell>
          <cell r="AN238">
            <v>17.546715809999998</v>
          </cell>
          <cell r="AO238">
            <v>17.775515840000001</v>
          </cell>
        </row>
        <row r="241">
          <cell r="E241" t="str">
            <v>YG_toe_0</v>
          </cell>
          <cell r="F241">
            <v>142.04533290000001</v>
          </cell>
          <cell r="G241">
            <v>144.63732590000001</v>
          </cell>
          <cell r="H241">
            <v>146.84059629999999</v>
          </cell>
          <cell r="I241">
            <v>149.1046838</v>
          </cell>
          <cell r="J241">
            <v>151.5691272</v>
          </cell>
          <cell r="K241">
            <v>154.2748953</v>
          </cell>
          <cell r="L241">
            <v>157.106056</v>
          </cell>
          <cell r="M241">
            <v>160.09380279999999</v>
          </cell>
          <cell r="N241">
            <v>163.17448390000001</v>
          </cell>
          <cell r="O241">
            <v>166.2756296</v>
          </cell>
          <cell r="P241">
            <v>169.47211060000001</v>
          </cell>
          <cell r="Q241">
            <v>172.48165599999999</v>
          </cell>
          <cell r="R241">
            <v>175.37572230000001</v>
          </cell>
          <cell r="S241">
            <v>178.13944760000001</v>
          </cell>
          <cell r="T241">
            <v>180.7461174</v>
          </cell>
          <cell r="U241">
            <v>183.17648489999999</v>
          </cell>
          <cell r="V241">
            <v>185.43548379999999</v>
          </cell>
          <cell r="W241">
            <v>187.55317070000001</v>
          </cell>
          <cell r="X241">
            <v>189.57946039999999</v>
          </cell>
          <cell r="Y241">
            <v>191.57406030000001</v>
          </cell>
          <cell r="Z241">
            <v>193.48426900000001</v>
          </cell>
          <cell r="AA241">
            <v>195.53413190000001</v>
          </cell>
          <cell r="AB241">
            <v>197.684068</v>
          </cell>
          <cell r="AC241">
            <v>199.945977</v>
          </cell>
          <cell r="AD241">
            <v>202.33087209999999</v>
          </cell>
          <cell r="AE241">
            <v>204.5002772</v>
          </cell>
          <cell r="AF241">
            <v>206.88291599999999</v>
          </cell>
          <cell r="AG241">
            <v>209.32432109999999</v>
          </cell>
          <cell r="AH241">
            <v>211.78710799999999</v>
          </cell>
          <cell r="AI241">
            <v>214.26257680000001</v>
          </cell>
          <cell r="AJ241">
            <v>216.75394679999999</v>
          </cell>
          <cell r="AK241">
            <v>219.2651572</v>
          </cell>
          <cell r="AL241">
            <v>221.79436530000001</v>
          </cell>
          <cell r="AM241">
            <v>224.33249269999999</v>
          </cell>
          <cell r="AN241">
            <v>226.86604990000001</v>
          </cell>
          <cell r="AO241">
            <v>229.3798295</v>
          </cell>
        </row>
        <row r="242">
          <cell r="E242" t="str">
            <v>YG_toe_ccoa_0</v>
          </cell>
          <cell r="F242">
            <v>2.2573637390000001</v>
          </cell>
          <cell r="G242">
            <v>1.6353352569999999</v>
          </cell>
          <cell r="H242">
            <v>1.119558928</v>
          </cell>
          <cell r="I242">
            <v>0.70402733500000003</v>
          </cell>
          <cell r="J242">
            <v>0.37152696699999999</v>
          </cell>
          <cell r="K242">
            <v>0.10505353470000001</v>
          </cell>
          <cell r="L242">
            <v>-0.1047719654</v>
          </cell>
          <cell r="M242">
            <v>-0.27499741</v>
          </cell>
          <cell r="N242">
            <v>-0.41441687960000001</v>
          </cell>
          <cell r="O242">
            <v>-0.52937257319999997</v>
          </cell>
          <cell r="P242">
            <v>-0.63203548499999995</v>
          </cell>
          <cell r="Q242">
            <v>-0.71074904530000005</v>
          </cell>
          <cell r="R242">
            <v>-0.77718766750000001</v>
          </cell>
          <cell r="S242">
            <v>-0.83489059099999996</v>
          </cell>
          <cell r="T242">
            <v>-0.88548150579999996</v>
          </cell>
          <cell r="U242">
            <v>-0.93033891150000003</v>
          </cell>
          <cell r="V242">
            <v>-0.97074237910000005</v>
          </cell>
          <cell r="W242">
            <v>-1.0077883510000001</v>
          </cell>
          <cell r="X242">
            <v>-1.042331777</v>
          </cell>
          <cell r="Y242">
            <v>-1.074988254</v>
          </cell>
          <cell r="Z242">
            <v>-1.1011236980000001</v>
          </cell>
          <cell r="AA242">
            <v>-1.132252083</v>
          </cell>
          <cell r="AB242">
            <v>-1.1628625130000001</v>
          </cell>
          <cell r="AC242">
            <v>-1.192198589</v>
          </cell>
          <cell r="AD242">
            <v>-1.220625184</v>
          </cell>
          <cell r="AE242">
            <v>-1.233802777</v>
          </cell>
          <cell r="AF242">
            <v>-1.25851293</v>
          </cell>
          <cell r="AG242">
            <v>-1.285543581</v>
          </cell>
          <cell r="AH242">
            <v>-1.312805886</v>
          </cell>
          <cell r="AI242">
            <v>-1.340288776</v>
          </cell>
          <cell r="AJ242">
            <v>-1.3681817700000001</v>
          </cell>
          <cell r="AK242">
            <v>-1.396560185</v>
          </cell>
          <cell r="AL242">
            <v>-1.425428124</v>
          </cell>
          <cell r="AM242">
            <v>-1.454793411</v>
          </cell>
          <cell r="AN242">
            <v>-1.484703391</v>
          </cell>
          <cell r="AO242">
            <v>-1.515239352</v>
          </cell>
        </row>
        <row r="245">
          <cell r="E245" t="str">
            <v>YG_toe_ccoi_0</v>
          </cell>
          <cell r="F245">
            <v>1.2014586460000001</v>
          </cell>
          <cell r="G245">
            <v>0.96353369389999999</v>
          </cell>
          <cell r="H245">
            <v>0.77319698469999998</v>
          </cell>
          <cell r="I245">
            <v>0.62094703340000001</v>
          </cell>
          <cell r="J245">
            <v>0.49917610950000002</v>
          </cell>
          <cell r="K245">
            <v>0.40179277260000001</v>
          </cell>
          <cell r="L245">
            <v>0.32391421529999997</v>
          </cell>
          <cell r="M245">
            <v>0.26164339990000002</v>
          </cell>
          <cell r="N245">
            <v>0.21185853060000001</v>
          </cell>
          <cell r="O245">
            <v>0.17206092310000001</v>
          </cell>
          <cell r="P245">
            <v>0.14026141659999999</v>
          </cell>
          <cell r="Q245">
            <v>0.114845082</v>
          </cell>
          <cell r="R245">
            <v>9.4539354699999995E-2</v>
          </cell>
          <cell r="S245">
            <v>7.8323233500000006E-2</v>
          </cell>
          <cell r="T245">
            <v>6.5377959900000004E-2</v>
          </cell>
          <cell r="U245">
            <v>5.5048002499999998E-2</v>
          </cell>
          <cell r="V245">
            <v>4.68089519E-2</v>
          </cell>
          <cell r="W245">
            <v>4.0241597099999998E-2</v>
          </cell>
          <cell r="X245">
            <v>3.5011003800000003E-2</v>
          </cell>
          <cell r="Y245">
            <v>3.0849605299999999E-2</v>
          </cell>
          <cell r="Z245">
            <v>2.75363315E-2</v>
          </cell>
          <cell r="AA245">
            <v>2.4912382399999999E-2</v>
          </cell>
          <cell r="AB245">
            <v>2.2837163600000002E-2</v>
          </cell>
          <cell r="AC245">
            <v>2.1199763E-2</v>
          </cell>
          <cell r="AD245">
            <v>1.9912551399999999E-2</v>
          </cell>
          <cell r="AE245">
            <v>1.8883528600000001E-2</v>
          </cell>
          <cell r="AF245">
            <v>1.8084769300000001E-2</v>
          </cell>
          <cell r="AG245">
            <v>1.7465607599999999E-2</v>
          </cell>
          <cell r="AH245">
            <v>1.69873712E-2</v>
          </cell>
          <cell r="AI245">
            <v>1.6621294500000001E-2</v>
          </cell>
          <cell r="AJ245">
            <v>1.6344976000000001E-2</v>
          </cell>
          <cell r="AK245">
            <v>1.6140554000000001E-2</v>
          </cell>
          <cell r="AL245">
            <v>1.59935532E-2</v>
          </cell>
          <cell r="AM245">
            <v>1.5892124099999998E-2</v>
          </cell>
          <cell r="AN245">
            <v>1.5826556700000001E-2</v>
          </cell>
          <cell r="AO245">
            <v>1.5788962699999999E-2</v>
          </cell>
        </row>
        <row r="248">
          <cell r="E248" t="str">
            <v>YG_toe_cfut_0</v>
          </cell>
          <cell r="F248">
            <v>54.383138070000001</v>
          </cell>
          <cell r="G248">
            <v>55.89867323</v>
          </cell>
          <cell r="H248">
            <v>57.201141829999997</v>
          </cell>
          <cell r="I248">
            <v>58.393038320000002</v>
          </cell>
          <cell r="J248">
            <v>59.52874138</v>
          </cell>
          <cell r="K248">
            <v>60.633573949999999</v>
          </cell>
          <cell r="L248">
            <v>61.669587749999998</v>
          </cell>
          <cell r="M248">
            <v>62.687976689999999</v>
          </cell>
          <cell r="N248">
            <v>63.688976400000001</v>
          </cell>
          <cell r="O248">
            <v>64.671512079999999</v>
          </cell>
          <cell r="P248">
            <v>65.711903300000003</v>
          </cell>
          <cell r="Q248">
            <v>66.665516580000002</v>
          </cell>
          <cell r="R248">
            <v>67.609127939999993</v>
          </cell>
          <cell r="S248">
            <v>68.546148310000007</v>
          </cell>
          <cell r="T248">
            <v>69.474736059999998</v>
          </cell>
          <cell r="U248">
            <v>70.392372570000006</v>
          </cell>
          <cell r="V248">
            <v>71.297516939999994</v>
          </cell>
          <cell r="W248">
            <v>72.190228340000004</v>
          </cell>
          <cell r="X248">
            <v>73.072100669999998</v>
          </cell>
          <cell r="Y248">
            <v>73.945705329999996</v>
          </cell>
          <cell r="Z248">
            <v>74.756871750000002</v>
          </cell>
          <cell r="AA248">
            <v>75.617903260000006</v>
          </cell>
          <cell r="AB248">
            <v>76.478184170000006</v>
          </cell>
          <cell r="AC248">
            <v>77.337107149999994</v>
          </cell>
          <cell r="AD248">
            <v>78.196555590000003</v>
          </cell>
          <cell r="AE248">
            <v>78.888607039999997</v>
          </cell>
          <cell r="AF248">
            <v>79.666544880000004</v>
          </cell>
          <cell r="AG248">
            <v>80.442572080000005</v>
          </cell>
          <cell r="AH248">
            <v>81.211441539999996</v>
          </cell>
          <cell r="AI248">
            <v>81.974769809999998</v>
          </cell>
          <cell r="AJ248">
            <v>82.735373510000002</v>
          </cell>
          <cell r="AK248">
            <v>83.495486479999997</v>
          </cell>
          <cell r="AL248">
            <v>84.256141760000006</v>
          </cell>
          <cell r="AM248">
            <v>85.017186699999996</v>
          </cell>
          <cell r="AN248">
            <v>85.777709790000003</v>
          </cell>
          <cell r="AO248">
            <v>86.536585259999995</v>
          </cell>
        </row>
        <row r="251">
          <cell r="E251" t="str">
            <v>YG_toe_cfuh_0</v>
          </cell>
          <cell r="F251">
            <v>5.0121778020000001</v>
          </cell>
          <cell r="G251">
            <v>4.90240673</v>
          </cell>
          <cell r="H251">
            <v>4.8047687059999999</v>
          </cell>
          <cell r="I251">
            <v>4.7265664980000004</v>
          </cell>
          <cell r="J251">
            <v>4.6687095489999999</v>
          </cell>
          <cell r="K251">
            <v>4.6296392400000004</v>
          </cell>
          <cell r="L251">
            <v>4.6031858940000001</v>
          </cell>
          <cell r="M251">
            <v>4.5895749080000003</v>
          </cell>
          <cell r="N251">
            <v>4.5855425670000001</v>
          </cell>
          <cell r="O251">
            <v>4.5882533140000001</v>
          </cell>
          <cell r="P251">
            <v>4.6001411640000001</v>
          </cell>
          <cell r="Q251">
            <v>4.6113910560000004</v>
          </cell>
          <cell r="R251">
            <v>4.625741594</v>
          </cell>
          <cell r="S251">
            <v>4.6427636940000001</v>
          </cell>
          <cell r="T251">
            <v>4.6615414140000002</v>
          </cell>
          <cell r="U251">
            <v>4.6811588710000001</v>
          </cell>
          <cell r="V251">
            <v>4.7008968790000001</v>
          </cell>
          <cell r="W251">
            <v>4.7203420100000004</v>
          </cell>
          <cell r="X251">
            <v>4.7393912299999998</v>
          </cell>
          <cell r="Y251">
            <v>4.7581690769999998</v>
          </cell>
          <cell r="Z251">
            <v>4.773629369</v>
          </cell>
          <cell r="AA251">
            <v>4.7923312170000001</v>
          </cell>
          <cell r="AB251">
            <v>4.8114750649999998</v>
          </cell>
          <cell r="AC251">
            <v>4.8309217760000003</v>
          </cell>
          <cell r="AD251">
            <v>4.8508930149999996</v>
          </cell>
          <cell r="AE251">
            <v>4.8617066629999997</v>
          </cell>
          <cell r="AF251">
            <v>4.8786558480000002</v>
          </cell>
          <cell r="AG251">
            <v>4.8962226299999996</v>
          </cell>
          <cell r="AH251">
            <v>4.9137433970000002</v>
          </cell>
          <cell r="AI251">
            <v>4.9314322700000002</v>
          </cell>
          <cell r="AJ251">
            <v>4.9496733500000003</v>
          </cell>
          <cell r="AK251">
            <v>4.9687876150000001</v>
          </cell>
          <cell r="AL251">
            <v>4.9889288049999996</v>
          </cell>
          <cell r="AM251">
            <v>5.0100701049999996</v>
          </cell>
          <cell r="AN251">
            <v>5.0320589360000003</v>
          </cell>
          <cell r="AO251">
            <v>5.0547005120000001</v>
          </cell>
        </row>
        <row r="253">
          <cell r="E253" t="str">
            <v>YG_toe_cgas_0</v>
          </cell>
          <cell r="F253">
            <v>2.429186219</v>
          </cell>
          <cell r="G253">
            <v>4.2908623480000001</v>
          </cell>
          <cell r="H253">
            <v>5.6942119389999997</v>
          </cell>
          <cell r="I253">
            <v>6.8442874849999997</v>
          </cell>
          <cell r="J253">
            <v>7.806131401</v>
          </cell>
          <cell r="K253">
            <v>8.6195106500000005</v>
          </cell>
          <cell r="L253">
            <v>9.3099940480000001</v>
          </cell>
          <cell r="M253">
            <v>9.8995177759999997</v>
          </cell>
          <cell r="N253">
            <v>10.40508985</v>
          </cell>
          <cell r="O253">
            <v>10.840733139999999</v>
          </cell>
          <cell r="P253">
            <v>11.22142573</v>
          </cell>
          <cell r="Q253">
            <v>11.557922810000001</v>
          </cell>
          <cell r="R253">
            <v>11.856011130000001</v>
          </cell>
          <cell r="S253">
            <v>12.122158170000001</v>
          </cell>
          <cell r="T253">
            <v>12.360211230000001</v>
          </cell>
          <cell r="U253">
            <v>12.572888259999999</v>
          </cell>
          <cell r="V253">
            <v>12.76308633</v>
          </cell>
          <cell r="W253">
            <v>12.934407820000001</v>
          </cell>
          <cell r="X253">
            <v>13.091147830000001</v>
          </cell>
          <cell r="Y253">
            <v>13.23785575</v>
          </cell>
          <cell r="Z253">
            <v>13.37592062</v>
          </cell>
          <cell r="AA253">
            <v>13.5096256</v>
          </cell>
          <cell r="AB253">
            <v>13.643559160000001</v>
          </cell>
          <cell r="AC253">
            <v>13.77956696</v>
          </cell>
          <cell r="AD253">
            <v>13.919067350000001</v>
          </cell>
          <cell r="AE253">
            <v>14.052895619999999</v>
          </cell>
          <cell r="AF253">
            <v>14.18558737</v>
          </cell>
          <cell r="AG253">
            <v>14.31790616</v>
          </cell>
          <cell r="AH253">
            <v>14.450668029999999</v>
          </cell>
          <cell r="AI253">
            <v>14.58523986</v>
          </cell>
          <cell r="AJ253">
            <v>14.72307037</v>
          </cell>
          <cell r="AK253">
            <v>14.865187069999999</v>
          </cell>
          <cell r="AL253">
            <v>15.01184726</v>
          </cell>
          <cell r="AM253">
            <v>15.162542569999999</v>
          </cell>
          <cell r="AN253">
            <v>15.31631707</v>
          </cell>
          <cell r="AO253">
            <v>15.472092079999999</v>
          </cell>
        </row>
        <row r="259">
          <cell r="E259" t="str">
            <v>YG_toe_cele_0</v>
          </cell>
          <cell r="F259">
            <v>49.409024510000002</v>
          </cell>
          <cell r="G259">
            <v>49.784726149999997</v>
          </cell>
          <cell r="H259">
            <v>50.202872220000003</v>
          </cell>
          <cell r="I259">
            <v>50.79620748</v>
          </cell>
          <cell r="J259">
            <v>51.609428489999999</v>
          </cell>
          <cell r="K259">
            <v>52.650288869999997</v>
          </cell>
          <cell r="L259">
            <v>53.867242050000002</v>
          </cell>
          <cell r="M259">
            <v>55.238780769999998</v>
          </cell>
          <cell r="N259">
            <v>56.713163100000003</v>
          </cell>
          <cell r="O259">
            <v>58.231085210000003</v>
          </cell>
          <cell r="P259">
            <v>59.771944040000001</v>
          </cell>
          <cell r="Q259">
            <v>61.241181060000002</v>
          </cell>
          <cell r="R259">
            <v>62.623246049999999</v>
          </cell>
          <cell r="S259">
            <v>63.898694280000001</v>
          </cell>
          <cell r="T259">
            <v>65.046482800000007</v>
          </cell>
          <cell r="U259">
            <v>66.054610170000004</v>
          </cell>
          <cell r="V259">
            <v>66.930941110000006</v>
          </cell>
          <cell r="W259">
            <v>67.70245122</v>
          </cell>
          <cell r="X259">
            <v>68.410507780000003</v>
          </cell>
          <cell r="Y259">
            <v>69.103047919999995</v>
          </cell>
          <cell r="Z259">
            <v>69.794245309999994</v>
          </cell>
          <cell r="AA259">
            <v>70.558089039999999</v>
          </cell>
          <cell r="AB259">
            <v>71.407843229999997</v>
          </cell>
          <cell r="AC259">
            <v>72.35442467</v>
          </cell>
          <cell r="AD259">
            <v>73.404796259999998</v>
          </cell>
          <cell r="AE259">
            <v>74.455575339999996</v>
          </cell>
          <cell r="AF259">
            <v>75.607499509999997</v>
          </cell>
          <cell r="AG259">
            <v>76.811990050000006</v>
          </cell>
          <cell r="AH259">
            <v>78.041031450000006</v>
          </cell>
          <cell r="AI259">
            <v>79.283361420000006</v>
          </cell>
          <cell r="AJ259">
            <v>80.536426489999997</v>
          </cell>
          <cell r="AK259">
            <v>81.799396029999997</v>
          </cell>
          <cell r="AL259">
            <v>83.068726499999997</v>
          </cell>
          <cell r="AM259">
            <v>84.336934510000006</v>
          </cell>
          <cell r="AN259">
            <v>85.594234990000004</v>
          </cell>
          <cell r="AO259">
            <v>86.830000060000003</v>
          </cell>
        </row>
        <row r="269">
          <cell r="E269" t="str">
            <v>YG_toe_chea_0</v>
          </cell>
          <cell r="F269">
            <v>3.574461646</v>
          </cell>
          <cell r="G269">
            <v>3.5988699629999998</v>
          </cell>
          <cell r="H269">
            <v>3.6269721829999999</v>
          </cell>
          <cell r="I269">
            <v>3.6641256520000001</v>
          </cell>
          <cell r="J269">
            <v>3.7107644720000001</v>
          </cell>
          <cell r="K269">
            <v>3.7663211080000001</v>
          </cell>
          <cell r="L269">
            <v>3.827426505</v>
          </cell>
          <cell r="M269">
            <v>3.8925418500000002</v>
          </cell>
          <cell r="N269">
            <v>3.9600024340000002</v>
          </cell>
          <cell r="O269">
            <v>4.0279556889999997</v>
          </cell>
          <cell r="P269">
            <v>4.0974522560000004</v>
          </cell>
          <cell r="Q269">
            <v>4.1655952169999999</v>
          </cell>
          <cell r="R269">
            <v>4.2311712290000001</v>
          </cell>
          <cell r="S269">
            <v>4.2945803099999997</v>
          </cell>
          <cell r="T269">
            <v>4.3554601509999999</v>
          </cell>
          <cell r="U269">
            <v>4.4131787810000001</v>
          </cell>
          <cell r="V269">
            <v>4.4676899780000001</v>
          </cell>
          <cell r="W269">
            <v>4.5195461359999998</v>
          </cell>
          <cell r="X269">
            <v>4.5697758530000003</v>
          </cell>
          <cell r="Y269">
            <v>4.6196366290000004</v>
          </cell>
          <cell r="Z269">
            <v>4.6682785899999999</v>
          </cell>
          <cell r="AA269">
            <v>4.7179238000000003</v>
          </cell>
          <cell r="AB269">
            <v>4.7698000939999998</v>
          </cell>
          <cell r="AC269">
            <v>4.8238132800000004</v>
          </cell>
          <cell r="AD269">
            <v>4.8799777190000002</v>
          </cell>
          <cell r="AE269">
            <v>4.9321355789999997</v>
          </cell>
          <cell r="AF269">
            <v>4.9841059809999999</v>
          </cell>
          <cell r="AG269">
            <v>5.0369217270000002</v>
          </cell>
          <cell r="AH269">
            <v>5.0899829729999997</v>
          </cell>
          <cell r="AI269">
            <v>5.1432137789999999</v>
          </cell>
          <cell r="AJ269">
            <v>5.1968605739999996</v>
          </cell>
          <cell r="AK269">
            <v>5.2511746510000004</v>
          </cell>
          <cell r="AL269">
            <v>5.3062164340000004</v>
          </cell>
          <cell r="AM269">
            <v>5.3618132159999998</v>
          </cell>
          <cell r="AN269">
            <v>5.4176408309999999</v>
          </cell>
          <cell r="AO269">
            <v>5.473170444</v>
          </cell>
        </row>
        <row r="271">
          <cell r="E271" t="str">
            <v>YG_toe_cbio_0</v>
          </cell>
          <cell r="F271">
            <v>11.1594996</v>
          </cell>
          <cell r="G271">
            <v>11.196954379999999</v>
          </cell>
          <cell r="H271">
            <v>11.219778829999999</v>
          </cell>
          <cell r="I271">
            <v>11.25245045</v>
          </cell>
          <cell r="J271">
            <v>11.30208365</v>
          </cell>
          <cell r="K271">
            <v>11.369507580000001</v>
          </cell>
          <cell r="L271">
            <v>11.446586610000001</v>
          </cell>
          <cell r="M271">
            <v>11.53323417</v>
          </cell>
          <cell r="N271">
            <v>11.62632844</v>
          </cell>
          <cell r="O271">
            <v>11.72227558</v>
          </cell>
          <cell r="P271">
            <v>11.8263172</v>
          </cell>
          <cell r="Q271">
            <v>11.9235501</v>
          </cell>
          <cell r="R271">
            <v>12.01609023</v>
          </cell>
          <cell r="S271">
            <v>12.104216109999999</v>
          </cell>
          <cell r="T271">
            <v>12.186986279999999</v>
          </cell>
          <cell r="U271">
            <v>12.26349965</v>
          </cell>
          <cell r="V271">
            <v>12.33389326</v>
          </cell>
          <cell r="W271">
            <v>12.39938282</v>
          </cell>
          <cell r="X271">
            <v>12.46199262</v>
          </cell>
          <cell r="Y271">
            <v>12.524113160000001</v>
          </cell>
          <cell r="Z271">
            <v>12.581732000000001</v>
          </cell>
          <cell r="AA271">
            <v>12.64584868</v>
          </cell>
          <cell r="AB271">
            <v>12.71531452</v>
          </cell>
          <cell r="AC271">
            <v>12.789815949999999</v>
          </cell>
          <cell r="AD271">
            <v>12.86954034</v>
          </cell>
          <cell r="AE271">
            <v>12.93598864</v>
          </cell>
          <cell r="AF271">
            <v>13.01043305</v>
          </cell>
          <cell r="AG271">
            <v>13.08887081</v>
          </cell>
          <cell r="AH271">
            <v>13.1691228</v>
          </cell>
          <cell r="AI271">
            <v>13.25070989</v>
          </cell>
          <cell r="AJ271">
            <v>13.333786529999999</v>
          </cell>
          <cell r="AK271">
            <v>13.418527709999999</v>
          </cell>
          <cell r="AL271">
            <v>13.5048481</v>
          </cell>
          <cell r="AM271">
            <v>13.59236338</v>
          </cell>
          <cell r="AN271">
            <v>13.680520209999999</v>
          </cell>
          <cell r="AO271">
            <v>13.768641969999999</v>
          </cell>
        </row>
        <row r="274">
          <cell r="E274" t="str">
            <v>YG_toe_cote_0</v>
          </cell>
          <cell r="F274">
            <v>12.619022709999999</v>
          </cell>
          <cell r="G274">
            <v>12.36596417</v>
          </cell>
          <cell r="H274">
            <v>12.198094660000001</v>
          </cell>
          <cell r="I274">
            <v>12.10303358</v>
          </cell>
          <cell r="J274">
            <v>12.07256521</v>
          </cell>
          <cell r="K274">
            <v>12.09920763</v>
          </cell>
          <cell r="L274">
            <v>12.162890859999999</v>
          </cell>
          <cell r="M274">
            <v>12.265530610000001</v>
          </cell>
          <cell r="N274">
            <v>12.39793944</v>
          </cell>
          <cell r="O274">
            <v>12.55112619</v>
          </cell>
          <cell r="P274">
            <v>12.73470094</v>
          </cell>
          <cell r="Q274">
            <v>12.912403149999999</v>
          </cell>
          <cell r="R274">
            <v>13.09698246</v>
          </cell>
          <cell r="S274">
            <v>13.287454090000001</v>
          </cell>
          <cell r="T274">
            <v>13.48080304</v>
          </cell>
          <cell r="U274">
            <v>13.67406751</v>
          </cell>
          <cell r="V274">
            <v>13.865392740000001</v>
          </cell>
          <cell r="W274">
            <v>14.054359120000001</v>
          </cell>
          <cell r="X274">
            <v>14.241865150000001</v>
          </cell>
          <cell r="Y274">
            <v>14.42967112</v>
          </cell>
          <cell r="Z274">
            <v>14.60717872</v>
          </cell>
          <cell r="AA274">
            <v>14.79974999</v>
          </cell>
          <cell r="AB274">
            <v>14.997917080000001</v>
          </cell>
          <cell r="AC274">
            <v>15.20132606</v>
          </cell>
          <cell r="AD274">
            <v>15.41075449</v>
          </cell>
          <cell r="AE274">
            <v>15.588287530000001</v>
          </cell>
          <cell r="AF274">
            <v>15.790517510000001</v>
          </cell>
          <cell r="AG274">
            <v>15.99791557</v>
          </cell>
          <cell r="AH274">
            <v>16.206936280000001</v>
          </cell>
          <cell r="AI274">
            <v>16.417517230000001</v>
          </cell>
          <cell r="AJ274">
            <v>16.630592750000002</v>
          </cell>
          <cell r="AK274">
            <v>16.84701724</v>
          </cell>
          <cell r="AL274">
            <v>17.067091019999999</v>
          </cell>
          <cell r="AM274">
            <v>17.290483510000001</v>
          </cell>
          <cell r="AN274">
            <v>17.516444870000001</v>
          </cell>
          <cell r="AO274">
            <v>17.744089580000001</v>
          </cell>
        </row>
        <row r="281">
          <cell r="F281">
            <v>150.61297149999999</v>
          </cell>
          <cell r="G281">
            <v>151.03001169999999</v>
          </cell>
          <cell r="H281">
            <v>151.41730720000001</v>
          </cell>
          <cell r="I281">
            <v>152.0965563</v>
          </cell>
          <cell r="J281">
            <v>153.1636436</v>
          </cell>
          <cell r="K281">
            <v>154.6372543</v>
          </cell>
          <cell r="L281">
            <v>156.47765079999999</v>
          </cell>
          <cell r="M281">
            <v>158.26198780000001</v>
          </cell>
          <cell r="N281">
            <v>159.94263979999999</v>
          </cell>
          <cell r="O281">
            <v>161.4505121</v>
          </cell>
          <cell r="P281">
            <v>162.9024507</v>
          </cell>
          <cell r="Q281">
            <v>164.0805885</v>
          </cell>
          <cell r="R281">
            <v>165.2050711</v>
          </cell>
          <cell r="S281">
            <v>166.40275130000001</v>
          </cell>
          <cell r="T281">
            <v>167.7402902</v>
          </cell>
          <cell r="U281">
            <v>169.23005079999999</v>
          </cell>
          <cell r="V281">
            <v>170.86530350000001</v>
          </cell>
          <cell r="W281">
            <v>172.62709430000001</v>
          </cell>
          <cell r="X281">
            <v>174.49304330000001</v>
          </cell>
          <cell r="Y281">
            <v>176.44358460000001</v>
          </cell>
          <cell r="Z281">
            <v>178.35151189999999</v>
          </cell>
          <cell r="AA281">
            <v>180.40557269999999</v>
          </cell>
          <cell r="AB281">
            <v>182.51440220000001</v>
          </cell>
          <cell r="AC281">
            <v>184.6482627</v>
          </cell>
          <cell r="AD281">
            <v>186.79940139999999</v>
          </cell>
          <cell r="AE281">
            <v>188.60657850000001</v>
          </cell>
          <cell r="AF281">
            <v>190.55757019999999</v>
          </cell>
          <cell r="AG281">
            <v>192.47542350000001</v>
          </cell>
          <cell r="AH281">
            <v>194.30885470000001</v>
          </cell>
          <cell r="AI281">
            <v>196.06809960000001</v>
          </cell>
          <cell r="AJ281">
            <v>197.78357099999999</v>
          </cell>
          <cell r="AK281">
            <v>199.4875893</v>
          </cell>
          <cell r="AL281">
            <v>201.2049097</v>
          </cell>
          <cell r="AM281">
            <v>202.9473362</v>
          </cell>
          <cell r="AN281">
            <v>204.7170763</v>
          </cell>
          <cell r="AO281">
            <v>206.51134070000001</v>
          </cell>
        </row>
        <row r="282">
          <cell r="E282" t="str">
            <v>CF_toe_ccoa_2</v>
          </cell>
          <cell r="F282">
            <v>7.5732953910000003</v>
          </cell>
          <cell r="G282">
            <v>7.921507117</v>
          </cell>
          <cell r="H282">
            <v>8.2730503760000005</v>
          </cell>
          <cell r="I282">
            <v>8.5767241779999992</v>
          </cell>
          <cell r="J282">
            <v>8.8359878030000001</v>
          </cell>
          <cell r="K282">
            <v>9.0645737729999993</v>
          </cell>
          <cell r="L282">
            <v>9.2845402309999994</v>
          </cell>
          <cell r="M282">
            <v>9.4856900070000005</v>
          </cell>
          <cell r="N282">
            <v>9.6809487139999995</v>
          </cell>
          <cell r="O282">
            <v>9.8716703880000001</v>
          </cell>
          <cell r="P282">
            <v>10.09361139</v>
          </cell>
          <cell r="Q282">
            <v>10.270512930000001</v>
          </cell>
          <cell r="R282">
            <v>10.44370256</v>
          </cell>
          <cell r="S282">
            <v>10.61831872</v>
          </cell>
          <cell r="T282">
            <v>10.7915562</v>
          </cell>
          <cell r="U282">
            <v>10.960765</v>
          </cell>
          <cell r="V282">
            <v>11.12481835</v>
          </cell>
          <cell r="W282">
            <v>11.2840232</v>
          </cell>
          <cell r="X282">
            <v>11.439707540000001</v>
          </cell>
          <cell r="Y282">
            <v>11.593718880000001</v>
          </cell>
          <cell r="Z282">
            <v>11.72197345</v>
          </cell>
          <cell r="AA282">
            <v>11.881746120000001</v>
          </cell>
          <cell r="AB282">
            <v>12.04666857</v>
          </cell>
          <cell r="AC282">
            <v>12.21277454</v>
          </cell>
          <cell r="AD282">
            <v>12.38138945</v>
          </cell>
          <cell r="AE282">
            <v>12.477324060000001</v>
          </cell>
          <cell r="AF282">
            <v>12.633020849999999</v>
          </cell>
          <cell r="AG282">
            <v>12.80271495</v>
          </cell>
          <cell r="AH282">
            <v>12.97527322</v>
          </cell>
          <cell r="AI282">
            <v>13.150261260000001</v>
          </cell>
          <cell r="AJ282">
            <v>13.32856615</v>
          </cell>
          <cell r="AK282">
            <v>13.510520440000001</v>
          </cell>
          <cell r="AL282">
            <v>13.69589231</v>
          </cell>
          <cell r="AM282">
            <v>13.88419976</v>
          </cell>
          <cell r="AN282">
            <v>14.075005340000001</v>
          </cell>
          <cell r="AO282">
            <v>14.26807176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</row>
        <row r="288">
          <cell r="E288" t="str">
            <v>CF_toe_cfut_2</v>
          </cell>
          <cell r="F288">
            <v>51.712525730000003</v>
          </cell>
          <cell r="G288">
            <v>51.589643379999998</v>
          </cell>
          <cell r="H288">
            <v>51.41445143</v>
          </cell>
          <cell r="I288">
            <v>51.341435820000001</v>
          </cell>
          <cell r="J288">
            <v>51.398797510000001</v>
          </cell>
          <cell r="K288">
            <v>51.577441479999997</v>
          </cell>
          <cell r="L288">
            <v>51.846794920000001</v>
          </cell>
          <cell r="M288">
            <v>52.229965229999998</v>
          </cell>
          <cell r="N288">
            <v>52.686298239999999</v>
          </cell>
          <cell r="O288">
            <v>53.181448009999997</v>
          </cell>
          <cell r="P288">
            <v>53.729377280000001</v>
          </cell>
          <cell r="Q288">
            <v>54.250557329999999</v>
          </cell>
          <cell r="R288">
            <v>54.780311300000001</v>
          </cell>
          <cell r="S288">
            <v>55.321014089999998</v>
          </cell>
          <cell r="T288">
            <v>55.869400140000003</v>
          </cell>
          <cell r="U288">
            <v>56.420700310000001</v>
          </cell>
          <cell r="V288">
            <v>56.969639710000003</v>
          </cell>
          <cell r="W288">
            <v>57.511609049999997</v>
          </cell>
          <cell r="X288">
            <v>58.04361772</v>
          </cell>
          <cell r="Y288">
            <v>58.564648269999999</v>
          </cell>
          <cell r="Z288">
            <v>59.046225489999998</v>
          </cell>
          <cell r="AA288">
            <v>59.544174140000003</v>
          </cell>
          <cell r="AB288">
            <v>60.035691540000002</v>
          </cell>
          <cell r="AC288">
            <v>60.520017320000001</v>
          </cell>
          <cell r="AD288">
            <v>60.999797450000003</v>
          </cell>
          <cell r="AE288">
            <v>61.386779369999999</v>
          </cell>
          <cell r="AF288">
            <v>61.814608229999997</v>
          </cell>
          <cell r="AG288">
            <v>62.233697820000003</v>
          </cell>
          <cell r="AH288">
            <v>62.636351730000001</v>
          </cell>
          <cell r="AI288">
            <v>63.024542779999997</v>
          </cell>
          <cell r="AJ288">
            <v>63.401681320000002</v>
          </cell>
          <cell r="AK288">
            <v>63.770256359999998</v>
          </cell>
          <cell r="AL288">
            <v>64.131090720000003</v>
          </cell>
          <cell r="AM288">
            <v>64.483407729999996</v>
          </cell>
          <cell r="AN288">
            <v>64.82537336</v>
          </cell>
          <cell r="AO288">
            <v>65.154820119999997</v>
          </cell>
        </row>
        <row r="291">
          <cell r="E291" t="str">
            <v>CF_toe_cfuh_2</v>
          </cell>
          <cell r="F291">
            <v>9.6617228229999998</v>
          </cell>
          <cell r="G291">
            <v>9.6533123340000007</v>
          </cell>
          <cell r="H291">
            <v>9.622181221</v>
          </cell>
          <cell r="I291">
            <v>9.5939980180000006</v>
          </cell>
          <cell r="J291">
            <v>9.5783341540000002</v>
          </cell>
          <cell r="K291">
            <v>9.5777309430000006</v>
          </cell>
          <cell r="L291">
            <v>9.5876587139999998</v>
          </cell>
          <cell r="M291">
            <v>9.6168849059999992</v>
          </cell>
          <cell r="N291">
            <v>9.6576130639999995</v>
          </cell>
          <cell r="O291">
            <v>9.7027376000000007</v>
          </cell>
          <cell r="P291">
            <v>9.7564225879999995</v>
          </cell>
          <cell r="Q291">
            <v>9.7956036980000007</v>
          </cell>
          <cell r="R291">
            <v>9.8292896089999999</v>
          </cell>
          <cell r="S291">
            <v>9.8599645640000002</v>
          </cell>
          <cell r="T291">
            <v>9.8889675700000002</v>
          </cell>
          <cell r="U291">
            <v>9.9168208700000005</v>
          </cell>
          <cell r="V291">
            <v>9.943431962</v>
          </cell>
          <cell r="W291">
            <v>9.9685019330000006</v>
          </cell>
          <cell r="X291">
            <v>9.9919006279999998</v>
          </cell>
          <cell r="Y291">
            <v>10.013861540000001</v>
          </cell>
          <cell r="Z291">
            <v>10.028321679999999</v>
          </cell>
          <cell r="AA291">
            <v>10.048859419999999</v>
          </cell>
          <cell r="AB291">
            <v>10.07035327</v>
          </cell>
          <cell r="AC291">
            <v>10.09281702</v>
          </cell>
          <cell r="AD291">
            <v>10.11686229</v>
          </cell>
          <cell r="AE291">
            <v>10.123255690000001</v>
          </cell>
          <cell r="AF291">
            <v>10.142006009999999</v>
          </cell>
          <cell r="AG291">
            <v>10.162436960000001</v>
          </cell>
          <cell r="AH291">
            <v>10.182969529999999</v>
          </cell>
          <cell r="AI291">
            <v>10.203741409999999</v>
          </cell>
          <cell r="AJ291">
            <v>10.22528857</v>
          </cell>
          <cell r="AK291">
            <v>10.248108289999999</v>
          </cell>
          <cell r="AL291">
            <v>10.272448969999999</v>
          </cell>
          <cell r="AM291">
            <v>10.29826576</v>
          </cell>
          <cell r="AN291">
            <v>10.3253018</v>
          </cell>
          <cell r="AO291">
            <v>10.35323356</v>
          </cell>
        </row>
        <row r="293">
          <cell r="E293" t="str">
            <v>CF_toe_cgas_2</v>
          </cell>
          <cell r="F293">
            <v>27.986826390000001</v>
          </cell>
          <cell r="G293">
            <v>28.069584720000002</v>
          </cell>
          <cell r="H293">
            <v>28.147687340000001</v>
          </cell>
          <cell r="I293">
            <v>28.260147920000001</v>
          </cell>
          <cell r="J293">
            <v>28.416966949999999</v>
          </cell>
          <cell r="K293">
            <v>28.621787269999999</v>
          </cell>
          <cell r="L293">
            <v>28.860092600000002</v>
          </cell>
          <cell r="M293">
            <v>29.17774726</v>
          </cell>
          <cell r="N293">
            <v>29.540526830000001</v>
          </cell>
          <cell r="O293">
            <v>29.91432915</v>
          </cell>
          <cell r="P293">
            <v>30.307891439999999</v>
          </cell>
          <cell r="Q293">
            <v>30.65383048</v>
          </cell>
          <cell r="R293">
            <v>30.979713239999999</v>
          </cell>
          <cell r="S293">
            <v>31.298699160000002</v>
          </cell>
          <cell r="T293">
            <v>31.6147423</v>
          </cell>
          <cell r="U293">
            <v>31.92722698</v>
          </cell>
          <cell r="V293">
            <v>32.233270529999999</v>
          </cell>
          <cell r="W293">
            <v>32.53012098</v>
          </cell>
          <cell r="X293">
            <v>32.816965600000003</v>
          </cell>
          <cell r="Y293">
            <v>33.095600990000001</v>
          </cell>
          <cell r="Z293">
            <v>33.345194939999999</v>
          </cell>
          <cell r="AA293">
            <v>33.614955430000002</v>
          </cell>
          <cell r="AB293">
            <v>33.893223949999999</v>
          </cell>
          <cell r="AC293">
            <v>34.178873099999997</v>
          </cell>
          <cell r="AD293">
            <v>34.4749962</v>
          </cell>
          <cell r="AE293">
            <v>34.707490559999997</v>
          </cell>
          <cell r="AF293">
            <v>34.984885720000001</v>
          </cell>
          <cell r="AG293">
            <v>35.274739709999999</v>
          </cell>
          <cell r="AH293">
            <v>35.565867799999999</v>
          </cell>
          <cell r="AI293">
            <v>35.858966359999997</v>
          </cell>
          <cell r="AJ293">
            <v>36.157745990000002</v>
          </cell>
          <cell r="AK293">
            <v>36.465347299999998</v>
          </cell>
          <cell r="AL293">
            <v>36.782967829999997</v>
          </cell>
          <cell r="AM293">
            <v>37.109813840000001</v>
          </cell>
          <cell r="AN293">
            <v>37.443852700000001</v>
          </cell>
          <cell r="AO293">
            <v>37.782867240000002</v>
          </cell>
        </row>
        <row r="299">
          <cell r="E299" t="str">
            <v>CF_toe_cele_2</v>
          </cell>
          <cell r="F299">
            <v>36.345868719999999</v>
          </cell>
          <cell r="G299">
            <v>36.433590850000002</v>
          </cell>
          <cell r="H299">
            <v>36.562630380000002</v>
          </cell>
          <cell r="I299">
            <v>36.852394359999998</v>
          </cell>
          <cell r="J299">
            <v>37.33920457</v>
          </cell>
          <cell r="K299">
            <v>38.028942409999999</v>
          </cell>
          <cell r="L299">
            <v>38.914013879999999</v>
          </cell>
          <cell r="M299">
            <v>39.541696029999997</v>
          </cell>
          <cell r="N299">
            <v>39.947476909999999</v>
          </cell>
          <cell r="O299">
            <v>40.1519215</v>
          </cell>
          <cell r="P299">
            <v>40.203233439999998</v>
          </cell>
          <cell r="Q299">
            <v>40.1515719</v>
          </cell>
          <cell r="R299">
            <v>40.081967540000001</v>
          </cell>
          <cell r="S299">
            <v>40.07998997</v>
          </cell>
          <cell r="T299">
            <v>40.202096320000003</v>
          </cell>
          <cell r="U299">
            <v>40.464570879999997</v>
          </cell>
          <cell r="V299">
            <v>40.870364389999999</v>
          </cell>
          <cell r="W299">
            <v>41.410506679999997</v>
          </cell>
          <cell r="X299">
            <v>42.068445859999997</v>
          </cell>
          <cell r="Y299">
            <v>42.824351499999999</v>
          </cell>
          <cell r="Z299">
            <v>43.643714639999999</v>
          </cell>
          <cell r="AA299">
            <v>44.521426519999999</v>
          </cell>
          <cell r="AB299">
            <v>45.438374639999999</v>
          </cell>
          <cell r="AC299">
            <v>46.373511919999999</v>
          </cell>
          <cell r="AD299">
            <v>47.311741650000002</v>
          </cell>
          <cell r="AE299">
            <v>48.187018649999999</v>
          </cell>
          <cell r="AF299">
            <v>49.034815870000003</v>
          </cell>
          <cell r="AG299">
            <v>49.832680830000001</v>
          </cell>
          <cell r="AH299">
            <v>50.567189089999999</v>
          </cell>
          <cell r="AI299">
            <v>51.244892999999998</v>
          </cell>
          <cell r="AJ299">
            <v>51.883488149999998</v>
          </cell>
          <cell r="AK299">
            <v>52.504400609999998</v>
          </cell>
          <cell r="AL299">
            <v>53.127109879999999</v>
          </cell>
          <cell r="AM299">
            <v>53.764186690000002</v>
          </cell>
          <cell r="AN299">
            <v>54.422502000000001</v>
          </cell>
          <cell r="AO299">
            <v>55.104996270000001</v>
          </cell>
        </row>
        <row r="309">
          <cell r="E309" t="str">
            <v>CF_toe_chea_2</v>
          </cell>
          <cell r="F309">
            <v>2.7598611929999999</v>
          </cell>
          <cell r="G309">
            <v>2.7751511419999999</v>
          </cell>
          <cell r="H309">
            <v>2.7946402300000002</v>
          </cell>
          <cell r="I309">
            <v>2.8226108449999998</v>
          </cell>
          <cell r="J309">
            <v>2.859064423</v>
          </cell>
          <cell r="K309">
            <v>2.9033649210000001</v>
          </cell>
          <cell r="L309">
            <v>2.9546254630000002</v>
          </cell>
          <cell r="M309">
            <v>2.9953430640000001</v>
          </cell>
          <cell r="N309">
            <v>3.0286860770000001</v>
          </cell>
          <cell r="O309">
            <v>3.0560983890000002</v>
          </cell>
          <cell r="P309">
            <v>3.0805515680000002</v>
          </cell>
          <cell r="Q309">
            <v>3.102910568</v>
          </cell>
          <cell r="R309">
            <v>3.1249303039999998</v>
          </cell>
          <cell r="S309">
            <v>3.150168463</v>
          </cell>
          <cell r="T309">
            <v>3.1806829909999998</v>
          </cell>
          <cell r="U309">
            <v>3.2159150959999998</v>
          </cell>
          <cell r="V309">
            <v>3.2552621039999998</v>
          </cell>
          <cell r="W309">
            <v>3.2979836690000002</v>
          </cell>
          <cell r="X309">
            <v>3.3433224080000001</v>
          </cell>
          <cell r="Y309">
            <v>3.3906302410000002</v>
          </cell>
          <cell r="Z309">
            <v>3.4381075710000002</v>
          </cell>
          <cell r="AA309">
            <v>3.4862771229999998</v>
          </cell>
          <cell r="AB309">
            <v>3.535783892</v>
          </cell>
          <cell r="AC309">
            <v>3.586056304</v>
          </cell>
          <cell r="AD309">
            <v>3.6367136879999999</v>
          </cell>
          <cell r="AE309">
            <v>3.6832522019999998</v>
          </cell>
          <cell r="AF309">
            <v>3.7272182269999998</v>
          </cell>
          <cell r="AG309">
            <v>3.7699280229999999</v>
          </cell>
          <cell r="AH309">
            <v>3.8110682809999998</v>
          </cell>
          <cell r="AI309">
            <v>3.8508734140000001</v>
          </cell>
          <cell r="AJ309">
            <v>3.889935967</v>
          </cell>
          <cell r="AK309">
            <v>3.928967976</v>
          </cell>
          <cell r="AL309">
            <v>3.96861438</v>
          </cell>
          <cell r="AM309">
            <v>4.0091314560000004</v>
          </cell>
          <cell r="AN309">
            <v>4.0505629689999996</v>
          </cell>
          <cell r="AO309">
            <v>4.0928348809999999</v>
          </cell>
        </row>
        <row r="311">
          <cell r="E311" t="str">
            <v>CF_toe_cbio_2</v>
          </cell>
          <cell r="F311">
            <v>8.0978191689999992</v>
          </cell>
          <cell r="G311">
            <v>8.107548907</v>
          </cell>
          <cell r="H311">
            <v>8.0997810759999993</v>
          </cell>
          <cell r="I311">
            <v>8.0947720620000005</v>
          </cell>
          <cell r="J311">
            <v>8.098023757</v>
          </cell>
          <cell r="K311">
            <v>8.1101865199999992</v>
          </cell>
          <cell r="L311">
            <v>8.1276075940000005</v>
          </cell>
          <cell r="M311">
            <v>8.1471162770000003</v>
          </cell>
          <cell r="N311">
            <v>8.166169236</v>
          </cell>
          <cell r="O311">
            <v>8.1831480459999995</v>
          </cell>
          <cell r="P311">
            <v>8.2029902860000004</v>
          </cell>
          <cell r="Q311">
            <v>8.2149301739999991</v>
          </cell>
          <cell r="R311">
            <v>8.2228064799999991</v>
          </cell>
          <cell r="S311">
            <v>8.229603247</v>
          </cell>
          <cell r="T311">
            <v>8.2370628109999995</v>
          </cell>
          <cell r="U311">
            <v>8.2461624049999998</v>
          </cell>
          <cell r="V311">
            <v>8.257278908</v>
          </cell>
          <cell r="W311">
            <v>8.2704508860000008</v>
          </cell>
          <cell r="X311">
            <v>8.2855582870000006</v>
          </cell>
          <cell r="Y311">
            <v>8.3024398089999991</v>
          </cell>
          <cell r="Z311">
            <v>8.3171119139999998</v>
          </cell>
          <cell r="AA311">
            <v>8.3356628179999994</v>
          </cell>
          <cell r="AB311">
            <v>8.3563163409999994</v>
          </cell>
          <cell r="AC311">
            <v>8.3781851340000006</v>
          </cell>
          <cell r="AD311">
            <v>8.4009735649999993</v>
          </cell>
          <cell r="AE311">
            <v>8.4130375659999999</v>
          </cell>
          <cell r="AF311">
            <v>8.4283646099999991</v>
          </cell>
          <cell r="AG311">
            <v>8.4444158399999996</v>
          </cell>
          <cell r="AH311">
            <v>8.4601018579999998</v>
          </cell>
          <cell r="AI311">
            <v>8.4754930179999999</v>
          </cell>
          <cell r="AJ311">
            <v>8.4909775560000007</v>
          </cell>
          <cell r="AK311">
            <v>8.5069234349999991</v>
          </cell>
          <cell r="AL311">
            <v>8.5235606819999994</v>
          </cell>
          <cell r="AM311">
            <v>8.5409740500000009</v>
          </cell>
          <cell r="AN311">
            <v>8.5591533660000003</v>
          </cell>
          <cell r="AO311">
            <v>8.5780599439999996</v>
          </cell>
        </row>
        <row r="314">
          <cell r="E314" t="str">
            <v>CF_toe_cote_2</v>
          </cell>
          <cell r="F314">
            <v>6.4750521230000002</v>
          </cell>
          <cell r="G314">
            <v>6.4796732119999998</v>
          </cell>
          <cell r="H314">
            <v>6.5028851369999998</v>
          </cell>
          <cell r="I314">
            <v>6.5544730749999998</v>
          </cell>
          <cell r="J314">
            <v>6.6372643910000004</v>
          </cell>
          <cell r="K314">
            <v>6.7532270289999996</v>
          </cell>
          <cell r="L314">
            <v>6.9023173419999999</v>
          </cell>
          <cell r="M314">
            <v>7.0675450489999996</v>
          </cell>
          <cell r="N314">
            <v>7.234920722</v>
          </cell>
          <cell r="O314">
            <v>7.389158976</v>
          </cell>
          <cell r="P314">
            <v>7.5283727540000003</v>
          </cell>
          <cell r="Q314">
            <v>7.6406713939999999</v>
          </cell>
          <cell r="R314">
            <v>7.7423501200000002</v>
          </cell>
          <cell r="S314">
            <v>7.8449930959999996</v>
          </cell>
          <cell r="T314">
            <v>7.9557819040000002</v>
          </cell>
          <cell r="U314">
            <v>8.0778892310000003</v>
          </cell>
          <cell r="V314">
            <v>8.2112375320000002</v>
          </cell>
          <cell r="W314">
            <v>8.3538979139999991</v>
          </cell>
          <cell r="X314">
            <v>8.5035252119999996</v>
          </cell>
          <cell r="Y314">
            <v>8.6583333899999992</v>
          </cell>
          <cell r="Z314">
            <v>8.8108622220000008</v>
          </cell>
          <cell r="AA314">
            <v>8.9724711179999996</v>
          </cell>
          <cell r="AB314">
            <v>9.1379899679999994</v>
          </cell>
          <cell r="AC314">
            <v>9.3060273319999993</v>
          </cell>
          <cell r="AD314">
            <v>9.4769270999999993</v>
          </cell>
          <cell r="AE314">
            <v>9.6284204070000001</v>
          </cell>
          <cell r="AF314">
            <v>9.7926506890000002</v>
          </cell>
          <cell r="AG314">
            <v>9.9548093509999998</v>
          </cell>
          <cell r="AH314">
            <v>10.110033209999999</v>
          </cell>
          <cell r="AI314">
            <v>10.25932839</v>
          </cell>
          <cell r="AJ314">
            <v>10.405887310000001</v>
          </cell>
          <cell r="AK314">
            <v>10.55306491</v>
          </cell>
          <cell r="AL314">
            <v>10.70322494</v>
          </cell>
          <cell r="AM314">
            <v>10.857356879999999</v>
          </cell>
          <cell r="AN314">
            <v>11.015324809999999</v>
          </cell>
          <cell r="AO314">
            <v>11.1764569</v>
          </cell>
        </row>
        <row r="317">
          <cell r="E317" t="str">
            <v>CF_toe_0</v>
          </cell>
          <cell r="F317">
            <v>150.61297149999999</v>
          </cell>
          <cell r="G317">
            <v>151.03001169999999</v>
          </cell>
          <cell r="H317">
            <v>151.41730720000001</v>
          </cell>
          <cell r="I317">
            <v>152.0965563</v>
          </cell>
          <cell r="J317">
            <v>153.1636436</v>
          </cell>
          <cell r="K317">
            <v>154.6372543</v>
          </cell>
          <cell r="L317">
            <v>156.35838670000001</v>
          </cell>
          <cell r="M317">
            <v>158.3564508</v>
          </cell>
          <cell r="N317">
            <v>160.535256</v>
          </cell>
          <cell r="O317">
            <v>162.79147699999999</v>
          </cell>
          <cell r="P317">
            <v>165.19140110000001</v>
          </cell>
          <cell r="Q317">
            <v>167.43400020000001</v>
          </cell>
          <cell r="R317">
            <v>169.62187829999999</v>
          </cell>
          <cell r="S317">
            <v>171.76048510000001</v>
          </cell>
          <cell r="T317">
            <v>173.8199922</v>
          </cell>
          <cell r="U317">
            <v>175.7701793</v>
          </cell>
          <cell r="V317">
            <v>177.59885639999999</v>
          </cell>
          <cell r="W317">
            <v>179.3154825</v>
          </cell>
          <cell r="X317">
            <v>180.94827860000001</v>
          </cell>
          <cell r="Y317">
            <v>182.53624160000001</v>
          </cell>
          <cell r="Z317">
            <v>184.0071231</v>
          </cell>
          <cell r="AA317">
            <v>185.58470070000001</v>
          </cell>
          <cell r="AB317">
            <v>187.21566659999999</v>
          </cell>
          <cell r="AC317">
            <v>188.89725490000001</v>
          </cell>
          <cell r="AD317">
            <v>190.64299740000001</v>
          </cell>
          <cell r="AE317">
            <v>192.1079593</v>
          </cell>
          <cell r="AF317">
            <v>193.78644360000001</v>
          </cell>
          <cell r="AG317">
            <v>195.5093602</v>
          </cell>
          <cell r="AH317">
            <v>197.22249669999999</v>
          </cell>
          <cell r="AI317">
            <v>198.92549890000001</v>
          </cell>
          <cell r="AJ317">
            <v>200.63237520000001</v>
          </cell>
          <cell r="AK317">
            <v>202.3549161</v>
          </cell>
          <cell r="AL317">
            <v>204.09566520000001</v>
          </cell>
          <cell r="AM317">
            <v>205.84723940000001</v>
          </cell>
          <cell r="AN317">
            <v>207.59616500000001</v>
          </cell>
          <cell r="AO317">
            <v>209.3270105</v>
          </cell>
        </row>
        <row r="318">
          <cell r="E318" t="str">
            <v>CF_toe_ccoa_0</v>
          </cell>
          <cell r="F318">
            <v>7.5732953910000003</v>
          </cell>
          <cell r="G318">
            <v>7.921507117</v>
          </cell>
          <cell r="H318">
            <v>8.2730503760000005</v>
          </cell>
          <cell r="I318">
            <v>8.5767241779999992</v>
          </cell>
          <cell r="J318">
            <v>8.8359878030000001</v>
          </cell>
          <cell r="K318">
            <v>9.0645737729999993</v>
          </cell>
          <cell r="L318">
            <v>9.2494085520000002</v>
          </cell>
          <cell r="M318">
            <v>9.4261595969999998</v>
          </cell>
          <cell r="N318">
            <v>9.599378089</v>
          </cell>
          <cell r="O318">
            <v>9.7692101430000005</v>
          </cell>
          <cell r="P318">
            <v>9.9717226159999992</v>
          </cell>
          <cell r="Q318">
            <v>10.13131214</v>
          </cell>
          <cell r="R318">
            <v>10.289161719999999</v>
          </cell>
          <cell r="S318">
            <v>10.450700919999999</v>
          </cell>
          <cell r="T318">
            <v>10.61390724</v>
          </cell>
          <cell r="U318">
            <v>10.777140449999999</v>
          </cell>
          <cell r="V318">
            <v>10.939948190000001</v>
          </cell>
          <cell r="W318">
            <v>11.102634439999999</v>
          </cell>
          <cell r="X318">
            <v>11.26578445</v>
          </cell>
          <cell r="Y318">
            <v>11.42994781</v>
          </cell>
          <cell r="Z318">
            <v>11.56970892</v>
          </cell>
          <cell r="AA318">
            <v>11.74042884</v>
          </cell>
          <cell r="AB318">
            <v>11.914860880000001</v>
          </cell>
          <cell r="AC318">
            <v>12.088406129999999</v>
          </cell>
          <cell r="AD318">
            <v>12.26213325</v>
          </cell>
          <cell r="AE318">
            <v>12.361331399999999</v>
          </cell>
          <cell r="AF318">
            <v>12.51806245</v>
          </cell>
          <cell r="AG318">
            <v>12.68715662</v>
          </cell>
          <cell r="AH318">
            <v>12.857919409999999</v>
          </cell>
          <cell r="AI318">
            <v>13.03028758</v>
          </cell>
          <cell r="AJ318">
            <v>13.20551405</v>
          </cell>
          <cell r="AK318">
            <v>13.38430606</v>
          </cell>
          <cell r="AL318">
            <v>13.56679815</v>
          </cell>
          <cell r="AM318">
            <v>13.752846330000001</v>
          </cell>
          <cell r="AN318">
            <v>13.942280119999999</v>
          </cell>
          <cell r="AO318">
            <v>14.13501499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</row>
        <row r="324">
          <cell r="E324" t="str">
            <v>CF_toe_cfut_0</v>
          </cell>
          <cell r="F324">
            <v>51.712525730000003</v>
          </cell>
          <cell r="G324">
            <v>51.589643379999998</v>
          </cell>
          <cell r="H324">
            <v>51.41445143</v>
          </cell>
          <cell r="I324">
            <v>51.341435820000001</v>
          </cell>
          <cell r="J324">
            <v>51.398797510000001</v>
          </cell>
          <cell r="K324">
            <v>51.577441479999997</v>
          </cell>
          <cell r="L324">
            <v>51.826618000000003</v>
          </cell>
          <cell r="M324">
            <v>52.1520133</v>
          </cell>
          <cell r="N324">
            <v>52.530923469999998</v>
          </cell>
          <cell r="O324">
            <v>52.944367550000003</v>
          </cell>
          <cell r="P324">
            <v>53.416586909999999</v>
          </cell>
          <cell r="Q324">
            <v>53.870313340000003</v>
          </cell>
          <cell r="R324">
            <v>54.338002080000003</v>
          </cell>
          <cell r="S324">
            <v>54.816317890000001</v>
          </cell>
          <cell r="T324">
            <v>55.296291170000003</v>
          </cell>
          <cell r="U324">
            <v>55.769319490000001</v>
          </cell>
          <cell r="V324">
            <v>56.228764009999999</v>
          </cell>
          <cell r="W324">
            <v>56.670511650000002</v>
          </cell>
          <cell r="X324">
            <v>57.092782700000001</v>
          </cell>
          <cell r="Y324">
            <v>57.495413880000001</v>
          </cell>
          <cell r="Z324">
            <v>57.850827099999997</v>
          </cell>
          <cell r="AA324">
            <v>58.21191657</v>
          </cell>
          <cell r="AB324">
            <v>58.55530796</v>
          </cell>
          <cell r="AC324">
            <v>58.878836300000003</v>
          </cell>
          <cell r="AD324">
            <v>59.184088819999999</v>
          </cell>
          <cell r="AE324">
            <v>59.384500600000003</v>
          </cell>
          <cell r="AF324">
            <v>59.611417889999998</v>
          </cell>
          <cell r="AG324">
            <v>59.81660514</v>
          </cell>
          <cell r="AH324">
            <v>59.993038480000003</v>
          </cell>
          <cell r="AI324">
            <v>60.143214129999997</v>
          </cell>
          <cell r="AJ324">
            <v>60.270961270000001</v>
          </cell>
          <cell r="AK324">
            <v>60.379138699999999</v>
          </cell>
          <cell r="AL324">
            <v>60.468961280000002</v>
          </cell>
          <cell r="AM324">
            <v>60.5401107</v>
          </cell>
          <cell r="AN324">
            <v>60.591317330000003</v>
          </cell>
          <cell r="AO324">
            <v>60.621107090000002</v>
          </cell>
        </row>
        <row r="327">
          <cell r="E327" t="str">
            <v>CF_toe_cfuh_0</v>
          </cell>
          <cell r="F327">
            <v>9.6617228229999998</v>
          </cell>
          <cell r="G327">
            <v>9.6533123340000007</v>
          </cell>
          <cell r="H327">
            <v>9.622181221</v>
          </cell>
          <cell r="I327">
            <v>9.5939980180000006</v>
          </cell>
          <cell r="J327">
            <v>9.5783341540000002</v>
          </cell>
          <cell r="K327">
            <v>9.5777309430000006</v>
          </cell>
          <cell r="L327">
            <v>9.5843544769999998</v>
          </cell>
          <cell r="M327">
            <v>9.6020500000000002</v>
          </cell>
          <cell r="N327">
            <v>9.6273849610000006</v>
          </cell>
          <cell r="O327">
            <v>9.6571679859999993</v>
          </cell>
          <cell r="P327">
            <v>9.698274756</v>
          </cell>
          <cell r="Q327">
            <v>9.7327105490000001</v>
          </cell>
          <cell r="R327">
            <v>9.7687222289999998</v>
          </cell>
          <cell r="S327">
            <v>9.8065127499999996</v>
          </cell>
          <cell r="T327">
            <v>9.8451573480000008</v>
          </cell>
          <cell r="U327">
            <v>9.8835602149999993</v>
          </cell>
          <cell r="V327">
            <v>9.9208275579999992</v>
          </cell>
          <cell r="W327">
            <v>9.9564920959999998</v>
          </cell>
          <cell r="X327">
            <v>9.9905500150000002</v>
          </cell>
          <cell r="Y327">
            <v>10.023340259999999</v>
          </cell>
          <cell r="Z327">
            <v>10.04882765</v>
          </cell>
          <cell r="AA327">
            <v>10.08001799</v>
          </cell>
          <cell r="AB327">
            <v>10.111574109999999</v>
          </cell>
          <cell r="AC327">
            <v>10.143186160000001</v>
          </cell>
          <cell r="AD327">
            <v>10.17527394</v>
          </cell>
          <cell r="AE327">
            <v>10.18876187</v>
          </cell>
          <cell r="AF327">
            <v>10.21350485</v>
          </cell>
          <cell r="AG327">
            <v>10.23930614</v>
          </cell>
          <cell r="AH327">
            <v>10.26492534</v>
          </cell>
          <cell r="AI327">
            <v>10.29075901</v>
          </cell>
          <cell r="AJ327">
            <v>10.317513829999999</v>
          </cell>
          <cell r="AK327">
            <v>10.34578408</v>
          </cell>
          <cell r="AL327">
            <v>10.375867980000001</v>
          </cell>
          <cell r="AM327">
            <v>10.407744109999999</v>
          </cell>
          <cell r="AN327">
            <v>10.441166519999999</v>
          </cell>
          <cell r="AO327">
            <v>10.47581368</v>
          </cell>
        </row>
        <row r="329">
          <cell r="E329" t="str">
            <v>CF_toe_cgas_0</v>
          </cell>
          <cell r="F329">
            <v>27.986826390000001</v>
          </cell>
          <cell r="G329">
            <v>28.069584720000002</v>
          </cell>
          <cell r="H329">
            <v>28.147687340000001</v>
          </cell>
          <cell r="I329">
            <v>28.260147920000001</v>
          </cell>
          <cell r="J329">
            <v>28.416966949999999</v>
          </cell>
          <cell r="K329">
            <v>28.621787269999999</v>
          </cell>
          <cell r="L329">
            <v>28.845060969999999</v>
          </cell>
          <cell r="M329">
            <v>29.101653809999998</v>
          </cell>
          <cell r="N329">
            <v>29.382863220000001</v>
          </cell>
          <cell r="O329">
            <v>29.678755559999999</v>
          </cell>
          <cell r="P329">
            <v>30.01563865</v>
          </cell>
          <cell r="Q329">
            <v>30.33538794</v>
          </cell>
          <cell r="R329">
            <v>30.663215130000001</v>
          </cell>
          <cell r="S329">
            <v>31.003010929999999</v>
          </cell>
          <cell r="T329">
            <v>31.348806499999998</v>
          </cell>
          <cell r="U329">
            <v>31.693302030000002</v>
          </cell>
          <cell r="V329">
            <v>32.030883039999999</v>
          </cell>
          <cell r="W329">
            <v>32.358900439999999</v>
          </cell>
          <cell r="X329">
            <v>32.677628419999998</v>
          </cell>
          <cell r="Y329">
            <v>32.989328989999997</v>
          </cell>
          <cell r="Z329">
            <v>33.272994320000002</v>
          </cell>
          <cell r="AA329">
            <v>33.574053790000001</v>
          </cell>
          <cell r="AB329">
            <v>33.879367479999999</v>
          </cell>
          <cell r="AC329">
            <v>34.186034040000003</v>
          </cell>
          <cell r="AD329">
            <v>34.496259709999997</v>
          </cell>
          <cell r="AE329">
            <v>34.73724833</v>
          </cell>
          <cell r="AF329">
            <v>35.016969770000003</v>
          </cell>
          <cell r="AG329">
            <v>35.305974970000001</v>
          </cell>
          <cell r="AH329">
            <v>35.595301319999997</v>
          </cell>
          <cell r="AI329">
            <v>35.887225200000003</v>
          </cell>
          <cell r="AJ329">
            <v>36.186435619999997</v>
          </cell>
          <cell r="AK329">
            <v>36.496604570000002</v>
          </cell>
          <cell r="AL329">
            <v>36.81920143</v>
          </cell>
          <cell r="AM329">
            <v>37.153562409999999</v>
          </cell>
          <cell r="AN329">
            <v>37.497707820000002</v>
          </cell>
          <cell r="AO329">
            <v>37.849402189999999</v>
          </cell>
        </row>
        <row r="335">
          <cell r="E335" t="str">
            <v>CF_toe_cele_0</v>
          </cell>
          <cell r="F335">
            <v>36.345868719999999</v>
          </cell>
          <cell r="G335">
            <v>36.433590850000002</v>
          </cell>
          <cell r="H335">
            <v>36.562630380000002</v>
          </cell>
          <cell r="I335">
            <v>36.852394359999998</v>
          </cell>
          <cell r="J335">
            <v>37.33920457</v>
          </cell>
          <cell r="K335">
            <v>38.028942409999999</v>
          </cell>
          <cell r="L335">
            <v>38.882110359999999</v>
          </cell>
          <cell r="M335">
            <v>39.867258020000001</v>
          </cell>
          <cell r="N335">
            <v>40.930230559999998</v>
          </cell>
          <cell r="O335">
            <v>42.0119775</v>
          </cell>
          <cell r="P335">
            <v>43.079572829999996</v>
          </cell>
          <cell r="Q335">
            <v>44.08804696</v>
          </cell>
          <cell r="R335">
            <v>45.024924820000003</v>
          </cell>
          <cell r="S335">
            <v>45.888127240000003</v>
          </cell>
          <cell r="T335">
            <v>46.669306689999999</v>
          </cell>
          <cell r="U335">
            <v>47.3614332</v>
          </cell>
          <cell r="V335">
            <v>47.968664109999999</v>
          </cell>
          <cell r="W335">
            <v>48.507271770000003</v>
          </cell>
          <cell r="X335">
            <v>49.003488760000003</v>
          </cell>
          <cell r="Y335">
            <v>49.488579970000004</v>
          </cell>
          <cell r="Z335">
            <v>49.976621960000003</v>
          </cell>
          <cell r="AA335">
            <v>50.502901319999999</v>
          </cell>
          <cell r="AB335">
            <v>51.08487624</v>
          </cell>
          <cell r="AC335">
            <v>51.729731219999998</v>
          </cell>
          <cell r="AD335">
            <v>52.443802779999999</v>
          </cell>
          <cell r="AE335">
            <v>53.171666170000002</v>
          </cell>
          <cell r="AF335">
            <v>53.958332290000001</v>
          </cell>
          <cell r="AG335">
            <v>54.782059490000002</v>
          </cell>
          <cell r="AH335">
            <v>55.622594700000001</v>
          </cell>
          <cell r="AI335">
            <v>56.47393185</v>
          </cell>
          <cell r="AJ335">
            <v>57.337005359999999</v>
          </cell>
          <cell r="AK335">
            <v>58.213519849999997</v>
          </cell>
          <cell r="AL335">
            <v>59.102130350000003</v>
          </cell>
          <cell r="AM335">
            <v>59.997469979999998</v>
          </cell>
          <cell r="AN335">
            <v>60.89167303</v>
          </cell>
          <cell r="AO335">
            <v>61.775722889999997</v>
          </cell>
        </row>
        <row r="345">
          <cell r="E345" t="str">
            <v>CF_toe_chea_0</v>
          </cell>
          <cell r="F345">
            <v>2.7598611929999999</v>
          </cell>
          <cell r="G345">
            <v>2.7751511419999999</v>
          </cell>
          <cell r="H345">
            <v>2.7946402300000002</v>
          </cell>
          <cell r="I345">
            <v>2.8226108449999998</v>
          </cell>
          <cell r="J345">
            <v>2.859064423</v>
          </cell>
          <cell r="K345">
            <v>2.9033649210000001</v>
          </cell>
          <cell r="L345">
            <v>2.952812427</v>
          </cell>
          <cell r="M345">
            <v>3.0057289310000002</v>
          </cell>
          <cell r="N345">
            <v>3.0606299749999999</v>
          </cell>
          <cell r="O345">
            <v>3.1158862740000002</v>
          </cell>
          <cell r="P345">
            <v>3.171929585</v>
          </cell>
          <cell r="Q345">
            <v>3.2271991400000002</v>
          </cell>
          <cell r="R345">
            <v>3.2801253099999998</v>
          </cell>
          <cell r="S345">
            <v>3.3310230590000001</v>
          </cell>
          <cell r="T345">
            <v>3.379585397</v>
          </cell>
          <cell r="U345">
            <v>3.4252677600000001</v>
          </cell>
          <cell r="V345">
            <v>3.4680585559999999</v>
          </cell>
          <cell r="W345">
            <v>3.5084828400000001</v>
          </cell>
          <cell r="X345">
            <v>3.547488736</v>
          </cell>
          <cell r="Y345">
            <v>3.5862237769999998</v>
          </cell>
          <cell r="Z345">
            <v>3.6243311770000002</v>
          </cell>
          <cell r="AA345">
            <v>3.6630310270000002</v>
          </cell>
          <cell r="AB345">
            <v>3.7037635359999999</v>
          </cell>
          <cell r="AC345">
            <v>3.7464841199999999</v>
          </cell>
          <cell r="AD345">
            <v>3.791198005</v>
          </cell>
          <cell r="AE345">
            <v>3.8335392810000002</v>
          </cell>
          <cell r="AF345">
            <v>3.875192084</v>
          </cell>
          <cell r="AG345">
            <v>3.9175976929999998</v>
          </cell>
          <cell r="AH345">
            <v>3.960302837</v>
          </cell>
          <cell r="AI345">
            <v>4.0032372330000001</v>
          </cell>
          <cell r="AJ345">
            <v>4.0466061870000001</v>
          </cell>
          <cell r="AK345">
            <v>4.0906215389999998</v>
          </cell>
          <cell r="AL345">
            <v>4.1353290810000001</v>
          </cell>
          <cell r="AM345">
            <v>4.1805704339999998</v>
          </cell>
          <cell r="AN345">
            <v>4.2260549340000004</v>
          </cell>
          <cell r="AO345">
            <v>4.2713045510000001</v>
          </cell>
        </row>
        <row r="347">
          <cell r="E347" t="str">
            <v>CF_toe_cbio_0</v>
          </cell>
          <cell r="F347">
            <v>8.0978191689999992</v>
          </cell>
          <cell r="G347">
            <v>8.107548907</v>
          </cell>
          <cell r="H347">
            <v>8.0997810759999993</v>
          </cell>
          <cell r="I347">
            <v>8.0947720620000005</v>
          </cell>
          <cell r="J347">
            <v>8.098023757</v>
          </cell>
          <cell r="K347">
            <v>8.1101865199999992</v>
          </cell>
          <cell r="L347">
            <v>8.1261623410000006</v>
          </cell>
          <cell r="M347">
            <v>8.1463557689999995</v>
          </cell>
          <cell r="N347">
            <v>8.1694113490000007</v>
          </cell>
          <cell r="O347">
            <v>8.1938989440000007</v>
          </cell>
          <cell r="P347">
            <v>8.2241117470000002</v>
          </cell>
          <cell r="Q347">
            <v>8.2509325459999996</v>
          </cell>
          <cell r="R347">
            <v>8.2765067349999999</v>
          </cell>
          <cell r="S347">
            <v>8.3014135929999995</v>
          </cell>
          <cell r="T347">
            <v>8.3253948389999994</v>
          </cell>
          <cell r="U347">
            <v>8.3481344659999994</v>
          </cell>
          <cell r="V347">
            <v>8.3695322050000005</v>
          </cell>
          <cell r="W347">
            <v>8.3897673360000002</v>
          </cell>
          <cell r="X347">
            <v>8.4092443039999996</v>
          </cell>
          <cell r="Y347">
            <v>8.4284783480000005</v>
          </cell>
          <cell r="Z347">
            <v>8.4440651409999994</v>
          </cell>
          <cell r="AA347">
            <v>8.4627683069999993</v>
          </cell>
          <cell r="AB347">
            <v>8.4833132209999995</v>
          </cell>
          <cell r="AC347">
            <v>8.5052014959999998</v>
          </cell>
          <cell r="AD347">
            <v>8.528468256</v>
          </cell>
          <cell r="AE347">
            <v>8.5416925250000002</v>
          </cell>
          <cell r="AF347">
            <v>8.5590781089999997</v>
          </cell>
          <cell r="AG347">
            <v>8.5782110580000008</v>
          </cell>
          <cell r="AH347">
            <v>8.5979919470000006</v>
          </cell>
          <cell r="AI347">
            <v>8.6183759349999995</v>
          </cell>
          <cell r="AJ347">
            <v>8.639551956</v>
          </cell>
          <cell r="AK347">
            <v>8.6616408230000008</v>
          </cell>
          <cell r="AL347">
            <v>8.6846156309999998</v>
          </cell>
          <cell r="AM347">
            <v>8.7083248060000003</v>
          </cell>
          <cell r="AN347">
            <v>8.732562862</v>
          </cell>
          <cell r="AO347">
            <v>8.7571482770000006</v>
          </cell>
        </row>
        <row r="350">
          <cell r="E350" t="str">
            <v>CF_toe_cote_0</v>
          </cell>
          <cell r="F350">
            <v>6.4750521230000002</v>
          </cell>
          <cell r="G350">
            <v>6.4796732119999998</v>
          </cell>
          <cell r="H350">
            <v>6.5028851369999998</v>
          </cell>
          <cell r="I350">
            <v>6.5544730749999998</v>
          </cell>
          <cell r="J350">
            <v>6.6372643910000004</v>
          </cell>
          <cell r="K350">
            <v>6.7532270289999996</v>
          </cell>
          <cell r="L350">
            <v>6.8918595549999999</v>
          </cell>
          <cell r="M350">
            <v>7.0552313729999998</v>
          </cell>
          <cell r="N350">
            <v>7.2344343789999996</v>
          </cell>
          <cell r="O350">
            <v>7.4202130310000003</v>
          </cell>
          <cell r="P350">
            <v>7.6135640320000002</v>
          </cell>
          <cell r="Q350">
            <v>7.798097587</v>
          </cell>
          <cell r="R350">
            <v>7.981220253</v>
          </cell>
          <cell r="S350">
            <v>8.1633787550000001</v>
          </cell>
          <cell r="T350">
            <v>8.3415429759999995</v>
          </cell>
          <cell r="U350">
            <v>8.5120217030000003</v>
          </cell>
          <cell r="V350">
            <v>8.6721787199999998</v>
          </cell>
          <cell r="W350">
            <v>8.8214219249999992</v>
          </cell>
          <cell r="X350">
            <v>8.9613112400000006</v>
          </cell>
          <cell r="Y350">
            <v>9.0949285090000007</v>
          </cell>
          <cell r="Z350">
            <v>9.2197467910000004</v>
          </cell>
          <cell r="AA350">
            <v>9.3495828509999992</v>
          </cell>
          <cell r="AB350">
            <v>9.4826031979999996</v>
          </cell>
          <cell r="AC350">
            <v>9.6193754059999996</v>
          </cell>
          <cell r="AD350">
            <v>9.7617726779999998</v>
          </cell>
          <cell r="AE350">
            <v>9.8892191179999998</v>
          </cell>
          <cell r="AF350">
            <v>10.033886130000001</v>
          </cell>
          <cell r="AG350">
            <v>10.18244911</v>
          </cell>
          <cell r="AH350">
            <v>10.33042262</v>
          </cell>
          <cell r="AI350">
            <v>10.47846794</v>
          </cell>
          <cell r="AJ350">
            <v>10.6287869</v>
          </cell>
          <cell r="AK350">
            <v>10.783300499999999</v>
          </cell>
          <cell r="AL350">
            <v>10.94276136</v>
          </cell>
          <cell r="AM350">
            <v>11.106610679999999</v>
          </cell>
          <cell r="AN350">
            <v>11.273402389999999</v>
          </cell>
          <cell r="AO350">
            <v>11.44149683</v>
          </cell>
        </row>
        <row r="353">
          <cell r="F353">
            <v>73.965462770000002</v>
          </cell>
          <cell r="G353">
            <v>73.842886010000001</v>
          </cell>
          <cell r="H353">
            <v>73.502699530000001</v>
          </cell>
          <cell r="I353">
            <v>73.215225439999998</v>
          </cell>
          <cell r="J353">
            <v>73.043234389999995</v>
          </cell>
          <cell r="K353">
            <v>72.978462660000005</v>
          </cell>
          <cell r="L353">
            <v>72.979956329999993</v>
          </cell>
          <cell r="M353">
            <v>72.921001189999998</v>
          </cell>
          <cell r="N353">
            <v>72.848592510000003</v>
          </cell>
          <cell r="O353">
            <v>72.79370591</v>
          </cell>
          <cell r="P353">
            <v>72.802271450000006</v>
          </cell>
          <cell r="Q353">
            <v>72.832879640000002</v>
          </cell>
          <cell r="R353">
            <v>72.897249599999995</v>
          </cell>
          <cell r="S353">
            <v>73.003927160000003</v>
          </cell>
          <cell r="T353">
            <v>73.153097310000007</v>
          </cell>
          <cell r="U353">
            <v>73.328076820000007</v>
          </cell>
          <cell r="V353">
            <v>73.520693910000006</v>
          </cell>
          <cell r="W353">
            <v>73.725949610000001</v>
          </cell>
          <cell r="X353">
            <v>73.939560400000005</v>
          </cell>
          <cell r="Y353">
            <v>74.157122860000001</v>
          </cell>
          <cell r="Z353">
            <v>74.356391549999998</v>
          </cell>
          <cell r="AA353">
            <v>74.558309499999993</v>
          </cell>
          <cell r="AB353">
            <v>74.756042539999996</v>
          </cell>
          <cell r="AC353">
            <v>74.945356160000003</v>
          </cell>
          <cell r="AD353">
            <v>75.123715219999994</v>
          </cell>
          <cell r="AE353">
            <v>75.240295560000007</v>
          </cell>
          <cell r="AF353">
            <v>75.3424689</v>
          </cell>
          <cell r="AG353">
            <v>75.431682140000007</v>
          </cell>
          <cell r="AH353">
            <v>75.509461770000001</v>
          </cell>
          <cell r="AI353">
            <v>75.576921179999999</v>
          </cell>
          <cell r="AJ353">
            <v>75.634285050000003</v>
          </cell>
          <cell r="AK353">
            <v>75.681915020000005</v>
          </cell>
          <cell r="AL353">
            <v>75.72098733</v>
          </cell>
          <cell r="AM353">
            <v>75.751467390000002</v>
          </cell>
          <cell r="AN353">
            <v>75.773446079999999</v>
          </cell>
          <cell r="AO353">
            <v>75.786954890000004</v>
          </cell>
        </row>
        <row r="354">
          <cell r="F354">
            <v>39.923462319999999</v>
          </cell>
          <cell r="G354">
            <v>40.207223579999997</v>
          </cell>
          <cell r="H354">
            <v>40.065707719999999</v>
          </cell>
          <cell r="I354">
            <v>39.8528862</v>
          </cell>
          <cell r="J354">
            <v>39.681257899999999</v>
          </cell>
          <cell r="K354">
            <v>39.57015328</v>
          </cell>
          <cell r="L354">
            <v>39.495056460000001</v>
          </cell>
          <cell r="M354">
            <v>39.33697652</v>
          </cell>
          <cell r="N354">
            <v>39.143174799999997</v>
          </cell>
          <cell r="O354">
            <v>38.940186799999999</v>
          </cell>
          <cell r="P354">
            <v>38.765715569999998</v>
          </cell>
          <cell r="Q354">
            <v>38.588215329999997</v>
          </cell>
          <cell r="R354">
            <v>38.42470264</v>
          </cell>
          <cell r="S354">
            <v>38.28969524</v>
          </cell>
          <cell r="T354">
            <v>38.188420439999994</v>
          </cell>
          <cell r="U354">
            <v>38.107789619999998</v>
          </cell>
          <cell r="V354">
            <v>38.04205494</v>
          </cell>
          <cell r="W354">
            <v>37.988064549999997</v>
          </cell>
          <cell r="X354">
            <v>37.943327490000001</v>
          </cell>
          <cell r="Y354">
            <v>37.905410060000001</v>
          </cell>
          <cell r="Z354">
            <v>37.859131359999999</v>
          </cell>
          <cell r="AA354">
            <v>37.821508289999997</v>
          </cell>
          <cell r="AB354">
            <v>37.78687592</v>
          </cell>
          <cell r="AC354">
            <v>37.75206678</v>
          </cell>
          <cell r="AD354">
            <v>37.715329060000002</v>
          </cell>
          <cell r="AE354">
            <v>37.641006570000002</v>
          </cell>
          <cell r="AF354">
            <v>37.564542209999999</v>
          </cell>
          <cell r="AG354">
            <v>37.485087440000001</v>
          </cell>
          <cell r="AH354">
            <v>37.403055200000004</v>
          </cell>
          <cell r="AI354">
            <v>37.319555860000001</v>
          </cell>
          <cell r="AJ354">
            <v>37.235357590000007</v>
          </cell>
          <cell r="AK354">
            <v>37.151396939999998</v>
          </cell>
          <cell r="AL354">
            <v>37.0691621</v>
          </cell>
          <cell r="AM354">
            <v>36.988631859999998</v>
          </cell>
          <cell r="AN354">
            <v>36.909762310000005</v>
          </cell>
          <cell r="AO354">
            <v>36.832517070000002</v>
          </cell>
        </row>
        <row r="362">
          <cell r="F362">
            <v>34.042000460000004</v>
          </cell>
          <cell r="G362">
            <v>33.635662420000003</v>
          </cell>
          <cell r="H362">
            <v>33.436991810000002</v>
          </cell>
          <cell r="I362">
            <v>33.362339239999997</v>
          </cell>
          <cell r="J362">
            <v>33.361976499999997</v>
          </cell>
          <cell r="K362">
            <v>33.408309389999999</v>
          </cell>
          <cell r="L362">
            <v>33.48489987</v>
          </cell>
          <cell r="M362">
            <v>33.584024659999997</v>
          </cell>
          <cell r="N362">
            <v>33.705417709999999</v>
          </cell>
          <cell r="O362">
            <v>33.8535191</v>
          </cell>
          <cell r="P362">
            <v>34.036555880000002</v>
          </cell>
          <cell r="Q362">
            <v>34.244664310000005</v>
          </cell>
          <cell r="R362">
            <v>34.472546960000003</v>
          </cell>
          <cell r="S362">
            <v>34.714231920000003</v>
          </cell>
          <cell r="T362">
            <v>34.964676880000006</v>
          </cell>
          <cell r="U362">
            <v>35.220287200000001</v>
          </cell>
          <cell r="V362">
            <v>35.478638969999999</v>
          </cell>
          <cell r="W362">
            <v>35.737885060000004</v>
          </cell>
          <cell r="X362">
            <v>35.996232909999996</v>
          </cell>
          <cell r="Y362">
            <v>36.2517128</v>
          </cell>
          <cell r="Z362">
            <v>36.497260189999999</v>
          </cell>
          <cell r="AA362">
            <v>36.736801200000002</v>
          </cell>
          <cell r="AB362">
            <v>36.969166619999996</v>
          </cell>
          <cell r="AC362">
            <v>37.193289380000003</v>
          </cell>
          <cell r="AD362">
            <v>37.40838617</v>
          </cell>
          <cell r="AE362">
            <v>37.599288990000005</v>
          </cell>
          <cell r="AF362">
            <v>37.777926690000001</v>
          </cell>
          <cell r="AG362">
            <v>37.946594700000006</v>
          </cell>
          <cell r="AH362">
            <v>38.106406569999997</v>
          </cell>
          <cell r="AI362">
            <v>38.257365319999998</v>
          </cell>
          <cell r="AJ362">
            <v>38.398927460000003</v>
          </cell>
          <cell r="AK362">
            <v>38.53051808</v>
          </cell>
          <cell r="AL362">
            <v>38.65182523</v>
          </cell>
          <cell r="AM362">
            <v>38.762835530000004</v>
          </cell>
          <cell r="AN362">
            <v>38.863683770000002</v>
          </cell>
          <cell r="AO362">
            <v>38.954437820000003</v>
          </cell>
        </row>
        <row r="366">
          <cell r="F366">
            <v>8.5568466440000002</v>
          </cell>
          <cell r="G366">
            <v>8.5748283759999993</v>
          </cell>
          <cell r="H366">
            <v>8.6126757339999997</v>
          </cell>
          <cell r="I366">
            <v>8.6803408080000004</v>
          </cell>
          <cell r="J366">
            <v>8.7704230200000008</v>
          </cell>
          <cell r="K366">
            <v>8.8765891910000008</v>
          </cell>
          <cell r="L366">
            <v>8.9972686460000002</v>
          </cell>
          <cell r="M366">
            <v>9.1167498120000001</v>
          </cell>
          <cell r="N366">
            <v>9.2337832849999995</v>
          </cell>
          <cell r="O366">
            <v>9.350247671</v>
          </cell>
          <cell r="P366">
            <v>9.4723643299999996</v>
          </cell>
          <cell r="Q366">
            <v>9.600618463</v>
          </cell>
          <cell r="R366">
            <v>9.7324580580000006</v>
          </cell>
          <cell r="S366">
            <v>9.8674187070000006</v>
          </cell>
          <cell r="T366">
            <v>10.004958739999999</v>
          </cell>
          <cell r="U366">
            <v>10.14453265</v>
          </cell>
          <cell r="V366">
            <v>10.28592132</v>
          </cell>
          <cell r="W366">
            <v>10.42932354</v>
          </cell>
          <cell r="X366">
            <v>10.57521483</v>
          </cell>
          <cell r="Y366">
            <v>10.72411219</v>
          </cell>
          <cell r="Z366">
            <v>10.872851320000001</v>
          </cell>
          <cell r="AA366">
            <v>11.02443055</v>
          </cell>
          <cell r="AB366">
            <v>11.180872949999999</v>
          </cell>
          <cell r="AC366">
            <v>11.341709209999999</v>
          </cell>
          <cell r="AD366">
            <v>11.50612853</v>
          </cell>
          <cell r="AE366">
            <v>11.661510850000001</v>
          </cell>
          <cell r="AF366">
            <v>11.81486789</v>
          </cell>
          <cell r="AG366">
            <v>11.969404920000001</v>
          </cell>
          <cell r="AH366">
            <v>12.12604436</v>
          </cell>
          <cell r="AI366">
            <v>12.28522283</v>
          </cell>
          <cell r="AJ366">
            <v>12.447097680000001</v>
          </cell>
          <cell r="AK366">
            <v>12.61160664</v>
          </cell>
          <cell r="AL366">
            <v>12.77860042</v>
          </cell>
          <cell r="AM366">
            <v>12.947976130000001</v>
          </cell>
          <cell r="AN366">
            <v>13.119749560000001</v>
          </cell>
          <cell r="AO366">
            <v>13.29404886</v>
          </cell>
        </row>
        <row r="378">
          <cell r="F378">
            <v>4.903545265</v>
          </cell>
          <cell r="G378">
            <v>4.8356304459999997</v>
          </cell>
          <cell r="H378">
            <v>4.7655166830000004</v>
          </cell>
          <cell r="I378">
            <v>4.7227296900000004</v>
          </cell>
          <cell r="J378">
            <v>4.7167106070000004</v>
          </cell>
          <cell r="K378">
            <v>4.7469087679999999</v>
          </cell>
          <cell r="L378">
            <v>4.8068128410000002</v>
          </cell>
          <cell r="M378">
            <v>4.8891052000000004</v>
          </cell>
          <cell r="N378">
            <v>4.9794592480000004</v>
          </cell>
          <cell r="O378">
            <v>5.0627729129999999</v>
          </cell>
          <cell r="P378">
            <v>5.1319064540000001</v>
          </cell>
          <cell r="Q378">
            <v>5.1804916130000001</v>
          </cell>
          <cell r="R378">
            <v>5.2138129199999996</v>
          </cell>
          <cell r="S378">
            <v>5.2378387540000002</v>
          </cell>
          <cell r="T378">
            <v>5.2573683019999997</v>
          </cell>
          <cell r="U378">
            <v>5.2751640120000003</v>
          </cell>
          <cell r="V378">
            <v>5.2922008729999996</v>
          </cell>
          <cell r="W378">
            <v>5.3084984879999997</v>
          </cell>
          <cell r="X378">
            <v>5.3239700149999996</v>
          </cell>
          <cell r="Y378">
            <v>5.3389235570000002</v>
          </cell>
          <cell r="Z378">
            <v>5.3515604100000003</v>
          </cell>
          <cell r="AA378">
            <v>5.3663742599999997</v>
          </cell>
          <cell r="AB378">
            <v>5.3828760149999999</v>
          </cell>
          <cell r="AC378">
            <v>5.4015759299999999</v>
          </cell>
          <cell r="AD378">
            <v>5.4228943569999997</v>
          </cell>
          <cell r="AE378">
            <v>5.4389447669999997</v>
          </cell>
          <cell r="AF378">
            <v>5.4565917500000003</v>
          </cell>
          <cell r="AG378">
            <v>5.4724909740000003</v>
          </cell>
          <cell r="AH378">
            <v>5.485582784</v>
          </cell>
          <cell r="AI378">
            <v>5.4963657619999999</v>
          </cell>
          <cell r="AJ378">
            <v>5.5061492589999999</v>
          </cell>
          <cell r="AK378">
            <v>5.5162728489999999</v>
          </cell>
          <cell r="AL378">
            <v>5.5275679569999996</v>
          </cell>
          <cell r="AM378">
            <v>5.5401937380000001</v>
          </cell>
          <cell r="AN378">
            <v>5.553792123</v>
          </cell>
          <cell r="AO378">
            <v>5.5678029870000003</v>
          </cell>
        </row>
        <row r="390">
          <cell r="F390">
            <v>33.672824820000002</v>
          </cell>
          <cell r="G390">
            <v>34.409004109999998</v>
          </cell>
          <cell r="H390">
            <v>35.240422219999999</v>
          </cell>
          <cell r="I390">
            <v>36.019655710000002</v>
          </cell>
          <cell r="J390">
            <v>36.758291980000003</v>
          </cell>
          <cell r="K390">
            <v>37.498645860000003</v>
          </cell>
          <cell r="L390">
            <v>38.208713320000001</v>
          </cell>
          <cell r="M390">
            <v>38.865094939999999</v>
          </cell>
          <cell r="N390">
            <v>39.46568654</v>
          </cell>
          <cell r="O390">
            <v>40.005834040000003</v>
          </cell>
          <cell r="P390">
            <v>40.661348969999999</v>
          </cell>
          <cell r="Q390">
            <v>41.086348719999997</v>
          </cell>
          <cell r="R390">
            <v>41.515638590000002</v>
          </cell>
          <cell r="S390">
            <v>41.985236110000002</v>
          </cell>
          <cell r="T390">
            <v>42.495763420000003</v>
          </cell>
          <cell r="U390">
            <v>43.044133430000002</v>
          </cell>
          <cell r="V390">
            <v>43.62782232</v>
          </cell>
          <cell r="W390">
            <v>44.245230249999999</v>
          </cell>
          <cell r="X390">
            <v>44.89537953</v>
          </cell>
          <cell r="Y390">
            <v>45.577257609999997</v>
          </cell>
          <cell r="Z390">
            <v>46.168383570000003</v>
          </cell>
          <cell r="AA390">
            <v>46.92997381</v>
          </cell>
          <cell r="AB390">
            <v>47.71637157</v>
          </cell>
          <cell r="AC390">
            <v>48.50511049</v>
          </cell>
          <cell r="AD390">
            <v>49.296244289999997</v>
          </cell>
          <cell r="AE390">
            <v>49.729549820000003</v>
          </cell>
          <cell r="AF390">
            <v>50.444542290000001</v>
          </cell>
          <cell r="AG390">
            <v>51.188542429999998</v>
          </cell>
          <cell r="AH390">
            <v>51.914997419999999</v>
          </cell>
          <cell r="AI390">
            <v>52.626036280000001</v>
          </cell>
          <cell r="AJ390">
            <v>53.330430749999998</v>
          </cell>
          <cell r="AK390">
            <v>54.035288110000003</v>
          </cell>
          <cell r="AL390">
            <v>54.745132009999999</v>
          </cell>
          <cell r="AM390">
            <v>55.462509179999998</v>
          </cell>
          <cell r="AN390">
            <v>56.188900029999999</v>
          </cell>
          <cell r="AO390">
            <v>56.92542916</v>
          </cell>
        </row>
        <row r="402">
          <cell r="F402">
            <v>29.514292040000001</v>
          </cell>
          <cell r="G402">
            <v>29.367662729999999</v>
          </cell>
          <cell r="H402">
            <v>29.295993030000002</v>
          </cell>
          <cell r="I402">
            <v>29.45860463</v>
          </cell>
          <cell r="J402">
            <v>29.87498356</v>
          </cell>
          <cell r="K402">
            <v>30.536647859999999</v>
          </cell>
          <cell r="L402">
            <v>31.48489962</v>
          </cell>
          <cell r="M402">
            <v>32.47003668</v>
          </cell>
          <cell r="N402">
            <v>33.415118219999997</v>
          </cell>
          <cell r="O402">
            <v>34.237951520000003</v>
          </cell>
          <cell r="P402">
            <v>34.834559540000001</v>
          </cell>
          <cell r="Q402">
            <v>35.38025004</v>
          </cell>
          <cell r="R402">
            <v>35.845911979999997</v>
          </cell>
          <cell r="S402">
            <v>36.308330570000003</v>
          </cell>
          <cell r="T402">
            <v>36.829102470000002</v>
          </cell>
          <cell r="U402">
            <v>37.438143859999997</v>
          </cell>
          <cell r="V402">
            <v>38.138665080000003</v>
          </cell>
          <cell r="W402">
            <v>38.918092420000001</v>
          </cell>
          <cell r="X402">
            <v>39.758918489999999</v>
          </cell>
          <cell r="Y402">
            <v>40.646168400000001</v>
          </cell>
          <cell r="Z402">
            <v>41.60232508</v>
          </cell>
          <cell r="AA402">
            <v>42.526484570000001</v>
          </cell>
          <cell r="AB402">
            <v>43.478239090000002</v>
          </cell>
          <cell r="AC402">
            <v>44.454510890000002</v>
          </cell>
          <cell r="AD402">
            <v>45.450418999999997</v>
          </cell>
          <cell r="AE402">
            <v>46.536277509999998</v>
          </cell>
          <cell r="AF402">
            <v>47.499099370000003</v>
          </cell>
          <cell r="AG402">
            <v>48.413303020000001</v>
          </cell>
          <cell r="AH402">
            <v>49.272768370000001</v>
          </cell>
          <cell r="AI402">
            <v>50.083553569999999</v>
          </cell>
          <cell r="AJ402">
            <v>50.865608270000003</v>
          </cell>
          <cell r="AK402">
            <v>51.642506699999998</v>
          </cell>
          <cell r="AL402">
            <v>52.432622000000002</v>
          </cell>
          <cell r="AM402">
            <v>53.24518973</v>
          </cell>
          <cell r="AN402">
            <v>54.081188539999999</v>
          </cell>
          <cell r="AO402">
            <v>54.937104779999999</v>
          </cell>
        </row>
        <row r="414">
          <cell r="F414">
            <v>73.965462770000002</v>
          </cell>
          <cell r="G414">
            <v>73.842886010000001</v>
          </cell>
          <cell r="H414">
            <v>73.502699530000001</v>
          </cell>
          <cell r="I414">
            <v>73.215225439999998</v>
          </cell>
          <cell r="J414">
            <v>73.043234389999995</v>
          </cell>
          <cell r="K414">
            <v>72.978462660000005</v>
          </cell>
          <cell r="L414">
            <v>72.97959659</v>
          </cell>
          <cell r="M414">
            <v>73.030739389999994</v>
          </cell>
          <cell r="N414">
            <v>73.118003740000006</v>
          </cell>
          <cell r="O414">
            <v>73.23106817</v>
          </cell>
          <cell r="P414">
            <v>73.388269410000007</v>
          </cell>
          <cell r="Q414">
            <v>73.546329880000002</v>
          </cell>
          <cell r="R414">
            <v>73.706119869999995</v>
          </cell>
          <cell r="S414">
            <v>73.866523200000003</v>
          </cell>
          <cell r="T414">
            <v>74.023489209999994</v>
          </cell>
          <cell r="U414">
            <v>74.173373490000003</v>
          </cell>
          <cell r="V414">
            <v>74.317068070000005</v>
          </cell>
          <cell r="W414">
            <v>74.45725444</v>
          </cell>
          <cell r="X414">
            <v>74.596733299999997</v>
          </cell>
          <cell r="Y414">
            <v>74.737458430000004</v>
          </cell>
          <cell r="Z414">
            <v>74.86089672</v>
          </cell>
          <cell r="AA414">
            <v>74.987434379999996</v>
          </cell>
          <cell r="AB414">
            <v>75.110579950000002</v>
          </cell>
          <cell r="AC414">
            <v>75.226491109999998</v>
          </cell>
          <cell r="AD414">
            <v>75.332501100000002</v>
          </cell>
          <cell r="AE414">
            <v>75.377156580000005</v>
          </cell>
          <cell r="AF414">
            <v>75.406493740000002</v>
          </cell>
          <cell r="AG414">
            <v>75.419843850000007</v>
          </cell>
          <cell r="AH414">
            <v>75.416596490000003</v>
          </cell>
          <cell r="AI414">
            <v>75.39601845</v>
          </cell>
          <cell r="AJ414">
            <v>75.357363460000002</v>
          </cell>
          <cell r="AK414">
            <v>75.300088090000003</v>
          </cell>
          <cell r="AL414">
            <v>75.224009319999993</v>
          </cell>
          <cell r="AM414">
            <v>75.129339970000004</v>
          </cell>
          <cell r="AN414">
            <v>75.016612359999996</v>
          </cell>
          <cell r="AO414">
            <v>74.884868990000001</v>
          </cell>
        </row>
        <row r="415">
          <cell r="F415">
            <v>39.923462319999999</v>
          </cell>
          <cell r="G415">
            <v>40.207223579999997</v>
          </cell>
          <cell r="H415">
            <v>40.065707719999999</v>
          </cell>
          <cell r="I415">
            <v>39.8528862</v>
          </cell>
          <cell r="J415">
            <v>39.681257899999999</v>
          </cell>
          <cell r="K415">
            <v>39.57015328</v>
          </cell>
          <cell r="L415">
            <v>39.496649779999998</v>
          </cell>
          <cell r="M415">
            <v>39.450443060000005</v>
          </cell>
          <cell r="N415">
            <v>39.420327619999995</v>
          </cell>
          <cell r="O415">
            <v>39.397873189999999</v>
          </cell>
          <cell r="P415">
            <v>39.397652049999998</v>
          </cell>
          <cell r="Q415">
            <v>39.387187310000002</v>
          </cell>
          <cell r="R415">
            <v>39.370754869999999</v>
          </cell>
          <cell r="S415">
            <v>39.350060040000002</v>
          </cell>
          <cell r="T415">
            <v>39.322830609999997</v>
          </cell>
          <cell r="U415">
            <v>39.286654520000006</v>
          </cell>
          <cell r="V415">
            <v>39.243733280000001</v>
          </cell>
          <cell r="W415">
            <v>39.198501840000006</v>
          </cell>
          <cell r="X415">
            <v>39.155977540000002</v>
          </cell>
          <cell r="Y415">
            <v>39.120561930000001</v>
          </cell>
          <cell r="Z415">
            <v>39.080810299999996</v>
          </cell>
          <cell r="AA415">
            <v>39.053651280000004</v>
          </cell>
          <cell r="AB415">
            <v>39.033862689999999</v>
          </cell>
          <cell r="AC415">
            <v>39.01896593</v>
          </cell>
          <cell r="AD415">
            <v>39.007598789999996</v>
          </cell>
          <cell r="AE415">
            <v>38.963060820000003</v>
          </cell>
          <cell r="AF415">
            <v>38.921397640000002</v>
          </cell>
          <cell r="AG415">
            <v>38.880650320000001</v>
          </cell>
          <cell r="AH415">
            <v>38.839855659999998</v>
          </cell>
          <cell r="AI415">
            <v>38.798673409999999</v>
          </cell>
          <cell r="AJ415">
            <v>38.756960450000001</v>
          </cell>
          <cell r="AK415">
            <v>38.71455735</v>
          </cell>
          <cell r="AL415">
            <v>38.671243020000006</v>
          </cell>
          <cell r="AM415">
            <v>38.6267943</v>
          </cell>
          <cell r="AN415">
            <v>38.581079930000001</v>
          </cell>
          <cell r="AO415">
            <v>38.532457880000003</v>
          </cell>
        </row>
        <row r="423">
          <cell r="F423">
            <v>34.042000460000004</v>
          </cell>
          <cell r="G423">
            <v>33.635662420000003</v>
          </cell>
          <cell r="H423">
            <v>33.436991810000002</v>
          </cell>
          <cell r="I423">
            <v>33.362339239999997</v>
          </cell>
          <cell r="J423">
            <v>33.361976499999997</v>
          </cell>
          <cell r="K423">
            <v>33.408309389999999</v>
          </cell>
          <cell r="L423">
            <v>33.482946800000001</v>
          </cell>
          <cell r="M423">
            <v>33.580296329999996</v>
          </cell>
          <cell r="N423">
            <v>33.697676119999997</v>
          </cell>
          <cell r="O423">
            <v>33.833194979999995</v>
          </cell>
          <cell r="P423">
            <v>33.990617360000002</v>
          </cell>
          <cell r="Q423">
            <v>34.15914257</v>
          </cell>
          <cell r="R423">
            <v>34.335365000000003</v>
          </cell>
          <cell r="S423">
            <v>34.516463170000002</v>
          </cell>
          <cell r="T423">
            <v>34.700658590000003</v>
          </cell>
          <cell r="U423">
            <v>34.886718969999997</v>
          </cell>
          <cell r="V423">
            <v>35.073334789999997</v>
          </cell>
          <cell r="W423">
            <v>35.25875259</v>
          </cell>
          <cell r="X423">
            <v>35.440755759999995</v>
          </cell>
          <cell r="Y423">
            <v>35.616896490000002</v>
          </cell>
          <cell r="Z423">
            <v>35.780086429999997</v>
          </cell>
          <cell r="AA423">
            <v>35.933783099999999</v>
          </cell>
          <cell r="AB423">
            <v>36.076717270000003</v>
          </cell>
          <cell r="AC423">
            <v>36.207525189999998</v>
          </cell>
          <cell r="AD423">
            <v>36.324902310000006</v>
          </cell>
          <cell r="AE423">
            <v>36.414095759999995</v>
          </cell>
          <cell r="AF423">
            <v>36.4850961</v>
          </cell>
          <cell r="AG423">
            <v>36.539193529999999</v>
          </cell>
          <cell r="AH423">
            <v>36.576740829999999</v>
          </cell>
          <cell r="AI423">
            <v>36.59734504</v>
          </cell>
          <cell r="AJ423">
            <v>36.600403010000001</v>
          </cell>
          <cell r="AK423">
            <v>36.585530740000003</v>
          </cell>
          <cell r="AL423">
            <v>36.552766290000001</v>
          </cell>
          <cell r="AM423">
            <v>36.502545670000003</v>
          </cell>
          <cell r="AN423">
            <v>36.435532439999996</v>
          </cell>
          <cell r="AO423">
            <v>36.352411109999998</v>
          </cell>
        </row>
        <row r="427">
          <cell r="F427">
            <v>8.5568466440000002</v>
          </cell>
          <cell r="G427">
            <v>8.5748283759999993</v>
          </cell>
          <cell r="H427">
            <v>8.6126757339999997</v>
          </cell>
          <cell r="I427">
            <v>8.6803408080000004</v>
          </cell>
          <cell r="J427">
            <v>8.7704230200000008</v>
          </cell>
          <cell r="K427">
            <v>8.8765891910000008</v>
          </cell>
          <cell r="L427">
            <v>8.9922544969999993</v>
          </cell>
          <cell r="M427">
            <v>9.114366961</v>
          </cell>
          <cell r="N427">
            <v>9.2420297720000004</v>
          </cell>
          <cell r="O427">
            <v>9.3746248350000005</v>
          </cell>
          <cell r="P427">
            <v>9.5149170719999994</v>
          </cell>
          <cell r="Q427">
            <v>9.6602279190000004</v>
          </cell>
          <cell r="R427">
            <v>9.805834333</v>
          </cell>
          <cell r="S427">
            <v>9.9503977060000004</v>
          </cell>
          <cell r="T427">
            <v>10.09358295</v>
          </cell>
          <cell r="U427">
            <v>10.23563983</v>
          </cell>
          <cell r="V427">
            <v>10.377245220000001</v>
          </cell>
          <cell r="W427">
            <v>10.51928185</v>
          </cell>
          <cell r="X427">
            <v>10.66261684</v>
          </cell>
          <cell r="Y427">
            <v>10.80795752</v>
          </cell>
          <cell r="Z427">
            <v>10.95224251</v>
          </cell>
          <cell r="AA427">
            <v>11.09874428</v>
          </cell>
          <cell r="AB427">
            <v>11.249860549999999</v>
          </cell>
          <cell r="AC427">
            <v>11.40558414</v>
          </cell>
          <cell r="AD427">
            <v>11.56557995</v>
          </cell>
          <cell r="AE427">
            <v>11.71755986</v>
          </cell>
          <cell r="AF427">
            <v>11.868820250000001</v>
          </cell>
          <cell r="AG427">
            <v>12.0226106</v>
          </cell>
          <cell r="AH427">
            <v>12.17971335</v>
          </cell>
          <cell r="AI427">
            <v>12.340302360000001</v>
          </cell>
          <cell r="AJ427">
            <v>12.50421676</v>
          </cell>
          <cell r="AK427">
            <v>12.671074300000001</v>
          </cell>
          <cell r="AL427">
            <v>12.840436820000001</v>
          </cell>
          <cell r="AM427">
            <v>13.011960180000001</v>
          </cell>
          <cell r="AN427">
            <v>13.18547182</v>
          </cell>
          <cell r="AO427">
            <v>13.36096515</v>
          </cell>
        </row>
        <row r="439">
          <cell r="F439">
            <v>4.903545265</v>
          </cell>
          <cell r="G439">
            <v>4.8356304459999997</v>
          </cell>
          <cell r="H439">
            <v>4.7655166830000004</v>
          </cell>
          <cell r="I439">
            <v>4.7227296900000004</v>
          </cell>
          <cell r="J439">
            <v>4.7167106070000004</v>
          </cell>
          <cell r="K439">
            <v>4.7469087679999999</v>
          </cell>
          <cell r="L439">
            <v>4.8040063709999998</v>
          </cell>
          <cell r="M439">
            <v>4.8803475509999998</v>
          </cell>
          <cell r="N439">
            <v>4.9659944749999996</v>
          </cell>
          <cell r="O439">
            <v>5.0521304689999997</v>
          </cell>
          <cell r="P439">
            <v>5.1360283090000003</v>
          </cell>
          <cell r="Q439">
            <v>5.2104390780000003</v>
          </cell>
          <cell r="R439">
            <v>5.2768265669999996</v>
          </cell>
          <cell r="S439">
            <v>5.3353238620000001</v>
          </cell>
          <cell r="T439">
            <v>5.3850714389999998</v>
          </cell>
          <cell r="U439">
            <v>5.42502423</v>
          </cell>
          <cell r="V439">
            <v>5.4548186090000002</v>
          </cell>
          <cell r="W439">
            <v>5.4752566629999997</v>
          </cell>
          <cell r="X439">
            <v>5.4882490810000002</v>
          </cell>
          <cell r="Y439">
            <v>5.4963532229999998</v>
          </cell>
          <cell r="Z439">
            <v>5.4996047079999997</v>
          </cell>
          <cell r="AA439">
            <v>5.5036801989999997</v>
          </cell>
          <cell r="AB439">
            <v>5.5088460340000003</v>
          </cell>
          <cell r="AC439">
            <v>5.5161216360000003</v>
          </cell>
          <cell r="AD439">
            <v>5.5263788500000004</v>
          </cell>
          <cell r="AE439">
            <v>5.5320795089999999</v>
          </cell>
          <cell r="AF439">
            <v>5.5407754660000004</v>
          </cell>
          <cell r="AG439">
            <v>5.5496313879999999</v>
          </cell>
          <cell r="AH439">
            <v>5.557905678</v>
          </cell>
          <cell r="AI439">
            <v>5.5661046929999998</v>
          </cell>
          <cell r="AJ439">
            <v>5.5752456800000001</v>
          </cell>
          <cell r="AK439">
            <v>5.5861717860000004</v>
          </cell>
          <cell r="AL439">
            <v>5.5991388070000001</v>
          </cell>
          <cell r="AM439">
            <v>5.6137581499999998</v>
          </cell>
          <cell r="AN439">
            <v>5.6292225599999997</v>
          </cell>
          <cell r="AO439">
            <v>5.6446542700000002</v>
          </cell>
        </row>
        <row r="451">
          <cell r="F451">
            <v>33.672824820000002</v>
          </cell>
          <cell r="G451">
            <v>34.409004109999998</v>
          </cell>
          <cell r="H451">
            <v>35.240422219999999</v>
          </cell>
          <cell r="I451">
            <v>36.019655710000002</v>
          </cell>
          <cell r="J451">
            <v>36.758291980000003</v>
          </cell>
          <cell r="K451">
            <v>37.498645860000003</v>
          </cell>
          <cell r="L451">
            <v>38.150142690000003</v>
          </cell>
          <cell r="M451">
            <v>38.859355469999997</v>
          </cell>
          <cell r="N451">
            <v>39.610540540000002</v>
          </cell>
          <cell r="O451">
            <v>40.374893989999997</v>
          </cell>
          <cell r="P451">
            <v>41.298835230000002</v>
          </cell>
          <cell r="Q451">
            <v>41.999772200000002</v>
          </cell>
          <cell r="R451">
            <v>42.682028539999997</v>
          </cell>
          <cell r="S451">
            <v>43.358427380000002</v>
          </cell>
          <cell r="T451">
            <v>44.016233669999998</v>
          </cell>
          <cell r="U451">
            <v>44.648856899999998</v>
          </cell>
          <cell r="V451">
            <v>45.257757400000003</v>
          </cell>
          <cell r="W451">
            <v>45.850008359999997</v>
          </cell>
          <cell r="X451">
            <v>46.43552906</v>
          </cell>
          <cell r="Y451">
            <v>47.02465471</v>
          </cell>
          <cell r="Z451">
            <v>47.50374892</v>
          </cell>
          <cell r="AA451">
            <v>48.147837330000002</v>
          </cell>
          <cell r="AB451">
            <v>48.818193919999999</v>
          </cell>
          <cell r="AC451">
            <v>49.500161589999998</v>
          </cell>
          <cell r="AD451">
            <v>50.200594109999997</v>
          </cell>
          <cell r="AE451">
            <v>50.560681870000003</v>
          </cell>
          <cell r="AF451">
            <v>51.228902470000001</v>
          </cell>
          <cell r="AG451">
            <v>51.950612120000002</v>
          </cell>
          <cell r="AH451">
            <v>52.676882970000001</v>
          </cell>
          <cell r="AI451">
            <v>53.405859599999999</v>
          </cell>
          <cell r="AJ451">
            <v>54.141063680000002</v>
          </cell>
          <cell r="AK451">
            <v>54.883803749999998</v>
          </cell>
          <cell r="AL451">
            <v>55.632944649999999</v>
          </cell>
          <cell r="AM451">
            <v>56.386074999999998</v>
          </cell>
          <cell r="AN451">
            <v>57.140744529999999</v>
          </cell>
          <cell r="AO451">
            <v>57.89533136</v>
          </cell>
        </row>
        <row r="463">
          <cell r="F463">
            <v>29.514292040000001</v>
          </cell>
          <cell r="G463">
            <v>29.367662729999999</v>
          </cell>
          <cell r="H463">
            <v>29.295993030000002</v>
          </cell>
          <cell r="I463">
            <v>29.45860463</v>
          </cell>
          <cell r="J463">
            <v>29.87498356</v>
          </cell>
          <cell r="K463">
            <v>30.536647859999999</v>
          </cell>
          <cell r="L463">
            <v>31.43238654</v>
          </cell>
          <cell r="M463">
            <v>32.471641419999997</v>
          </cell>
          <cell r="N463">
            <v>33.598687470000002</v>
          </cell>
          <cell r="O463">
            <v>34.75875954</v>
          </cell>
          <cell r="P463">
            <v>35.853351099999998</v>
          </cell>
          <cell r="Q463">
            <v>37.017231129999999</v>
          </cell>
          <cell r="R463">
            <v>38.151068979999998</v>
          </cell>
          <cell r="S463">
            <v>39.249812990000002</v>
          </cell>
          <cell r="T463">
            <v>40.301614890000003</v>
          </cell>
          <cell r="U463">
            <v>41.28728486</v>
          </cell>
          <cell r="V463">
            <v>42.191967099999999</v>
          </cell>
          <cell r="W463">
            <v>43.01368119</v>
          </cell>
          <cell r="X463">
            <v>43.765150349999999</v>
          </cell>
          <cell r="Y463">
            <v>44.469817679999998</v>
          </cell>
          <cell r="Z463">
            <v>45.190630200000001</v>
          </cell>
          <cell r="AA463">
            <v>45.847004499999997</v>
          </cell>
          <cell r="AB463">
            <v>46.528186159999997</v>
          </cell>
          <cell r="AC463">
            <v>47.2488964</v>
          </cell>
          <cell r="AD463">
            <v>48.017943430000003</v>
          </cell>
          <cell r="AE463">
            <v>48.920481479999999</v>
          </cell>
          <cell r="AF463">
            <v>49.741451640000001</v>
          </cell>
          <cell r="AG463">
            <v>50.56666225</v>
          </cell>
          <cell r="AH463">
            <v>51.391398170000002</v>
          </cell>
          <cell r="AI463">
            <v>52.217213780000002</v>
          </cell>
          <cell r="AJ463">
            <v>53.05448561</v>
          </cell>
          <cell r="AK463">
            <v>53.913778219999998</v>
          </cell>
          <cell r="AL463">
            <v>54.799135640000003</v>
          </cell>
          <cell r="AM463">
            <v>55.706106130000002</v>
          </cell>
          <cell r="AN463">
            <v>56.624113729999998</v>
          </cell>
          <cell r="AO463">
            <v>57.541190749999998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-1.9851961630290571E-2</v>
          </cell>
          <cell r="M1365">
            <v>-0.10786461753808929</v>
          </cell>
          <cell r="N1365">
            <v>-0.25416428524474011</v>
          </cell>
          <cell r="O1365">
            <v>-0.40510803475947155</v>
          </cell>
          <cell r="P1365">
            <v>-0.50941111275784046</v>
          </cell>
          <cell r="Q1365">
            <v>-0.55014651984570673</v>
          </cell>
          <cell r="R1365">
            <v>-0.5278660019521153</v>
          </cell>
          <cell r="S1365">
            <v>-0.46393043229695508</v>
          </cell>
          <cell r="T1365">
            <v>-0.38540019790217483</v>
          </cell>
          <cell r="U1365">
            <v>-0.31413193093162706</v>
          </cell>
          <cell r="V1365">
            <v>-0.26123114891148935</v>
          </cell>
          <cell r="W1365">
            <v>-0.22744707598025826</v>
          </cell>
          <cell r="X1365">
            <v>-0.20734567246930569</v>
          </cell>
          <cell r="Y1365">
            <v>-0.19425506149606253</v>
          </cell>
          <cell r="Z1365">
            <v>-0.1830557180366621</v>
          </cell>
          <cell r="AA1365">
            <v>-0.17418298666940224</v>
          </cell>
          <cell r="AB1365">
            <v>-0.16816565101537284</v>
          </cell>
          <cell r="AC1365">
            <v>-0.16716245929061513</v>
          </cell>
          <cell r="AD1365">
            <v>-0.17274191357687929</v>
          </cell>
          <cell r="AE1365">
            <v>-0.18485843239681721</v>
          </cell>
          <cell r="AF1365">
            <v>-0.20220421997245719</v>
          </cell>
          <cell r="AG1365">
            <v>-0.22161448637801895</v>
          </cell>
          <cell r="AH1365">
            <v>-0.24006710496851102</v>
          </cell>
          <cell r="AI1365">
            <v>-0.25547754698381775</v>
          </cell>
          <cell r="AJ1365">
            <v>-0.26697866713089047</v>
          </cell>
          <cell r="AK1365">
            <v>-0.27471784232713237</v>
          </cell>
          <cell r="AL1365">
            <v>-0.27941387924357297</v>
          </cell>
          <cell r="AM1365">
            <v>-0.2819504480027768</v>
          </cell>
          <cell r="AN1365">
            <v>-0.28306841228504798</v>
          </cell>
          <cell r="AO1365">
            <v>-0.28323019529434834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-4.8276562368498865E-2</v>
          </cell>
          <cell r="M1366">
            <v>-0.16002605742696518</v>
          </cell>
          <cell r="N1366">
            <v>-0.34141987693696585</v>
          </cell>
          <cell r="O1366">
            <v>-0.5328420358037711</v>
          </cell>
          <cell r="P1366">
            <v>-0.67309895764217087</v>
          </cell>
          <cell r="Q1366">
            <v>-0.73989640140498247</v>
          </cell>
          <cell r="R1366">
            <v>-0.73077721680256946</v>
          </cell>
          <cell r="S1366">
            <v>-0.66864590652429001</v>
          </cell>
          <cell r="T1366">
            <v>-0.58417839643080116</v>
          </cell>
          <cell r="U1366">
            <v>-0.50321768586335525</v>
          </cell>
          <cell r="V1366">
            <v>-0.43968983355107127</v>
          </cell>
          <cell r="W1366">
            <v>-0.39566252105022182</v>
          </cell>
          <cell r="X1366">
            <v>-0.36587224964858001</v>
          </cell>
          <cell r="Y1366">
            <v>-0.34333378178261764</v>
          </cell>
          <cell r="Z1366">
            <v>-0.322660608549874</v>
          </cell>
          <cell r="AA1366">
            <v>-0.30451809529136176</v>
          </cell>
          <cell r="AB1366">
            <v>-0.29001476019892003</v>
          </cell>
          <cell r="AC1366">
            <v>-0.28200194037428794</v>
          </cell>
          <cell r="AD1366">
            <v>-0.28268025338662461</v>
          </cell>
          <cell r="AE1366">
            <v>-0.29246473239711301</v>
          </cell>
          <cell r="AF1366">
            <v>-0.30966365395524997</v>
          </cell>
          <cell r="AG1366">
            <v>-0.3308610463817252</v>
          </cell>
          <cell r="AH1366">
            <v>-0.35230703560789056</v>
          </cell>
          <cell r="AI1366">
            <v>-0.37127262924504523</v>
          </cell>
          <cell r="AJ1366">
            <v>-0.38640822407027819</v>
          </cell>
          <cell r="AK1366">
            <v>-0.39754999047637574</v>
          </cell>
          <cell r="AL1366">
            <v>-0.40523610153011536</v>
          </cell>
          <cell r="AM1366">
            <v>-0.41026679990954218</v>
          </cell>
          <cell r="AN1366">
            <v>-0.41333561646347272</v>
          </cell>
          <cell r="AO1366">
            <v>-0.41485455597330967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5.2815952685756054E-3</v>
          </cell>
          <cell r="M1367">
            <v>-4.7688182434190575E-2</v>
          </cell>
          <cell r="N1367">
            <v>-0.12758807954992746</v>
          </cell>
          <cell r="O1367">
            <v>-0.19144478043266111</v>
          </cell>
          <cell r="P1367">
            <v>-0.20864267439020542</v>
          </cell>
          <cell r="Q1367">
            <v>-0.17917018140535382</v>
          </cell>
          <cell r="R1367">
            <v>-0.11395013430803259</v>
          </cell>
          <cell r="S1367">
            <v>-3.5388875717137447E-2</v>
          </cell>
          <cell r="T1367">
            <v>3.5083206042022544E-2</v>
          </cell>
          <cell r="U1367">
            <v>8.4057840944060838E-2</v>
          </cell>
          <cell r="V1367">
            <v>0.10810349463953844</v>
          </cell>
          <cell r="W1367">
            <v>0.11146049365658567</v>
          </cell>
          <cell r="X1367">
            <v>0.10169851253599901</v>
          </cell>
          <cell r="Y1367">
            <v>8.5765849506701949E-2</v>
          </cell>
          <cell r="Z1367">
            <v>6.8370453218813312E-2</v>
          </cell>
          <cell r="AA1367">
            <v>4.9548336191509459E-2</v>
          </cell>
          <cell r="AB1367">
            <v>2.9740003690388008E-2</v>
          </cell>
          <cell r="AC1367">
            <v>8.2618515665852463E-3</v>
          </cell>
          <cell r="AD1367">
            <v>-1.4892609292833028E-2</v>
          </cell>
          <cell r="AE1367">
            <v>-3.8720923056695979E-2</v>
          </cell>
          <cell r="AF1367">
            <v>-6.1447549642801511E-2</v>
          </cell>
          <cell r="AG1367">
            <v>-8.0614705374176587E-2</v>
          </cell>
          <cell r="AH1367">
            <v>-9.4651071597901468E-2</v>
          </cell>
          <cell r="AI1367">
            <v>-0.10304448792255734</v>
          </cell>
          <cell r="AJ1367">
            <v>-0.1063272172383542</v>
          </cell>
          <cell r="AK1367">
            <v>-0.10570707049063913</v>
          </cell>
          <cell r="AL1367">
            <v>-0.10260855299273014</v>
          </cell>
          <cell r="AM1367">
            <v>-9.8335635947199809E-2</v>
          </cell>
          <cell r="AN1367">
            <v>-9.3872379975428299E-2</v>
          </cell>
          <cell r="AO1367">
            <v>-8.9836898183148134E-2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1.3675613803268442E-3</v>
          </cell>
          <cell r="M1368">
            <v>1.3555374002081554E-3</v>
          </cell>
          <cell r="N1368">
            <v>1.114543918308374E-3</v>
          </cell>
          <cell r="O1368">
            <v>3.8930473126527936E-3</v>
          </cell>
          <cell r="P1368">
            <v>1.0085078377425272E-2</v>
          </cell>
          <cell r="Q1368">
            <v>1.7896306546618654E-2</v>
          </cell>
          <cell r="R1368">
            <v>2.4968571526931282E-2</v>
          </cell>
          <cell r="S1368">
            <v>2.9731392718452848E-2</v>
          </cell>
          <cell r="T1368">
            <v>3.1640415863265409E-2</v>
          </cell>
          <cell r="U1368">
            <v>3.1171060778362326E-2</v>
          </cell>
          <cell r="V1368">
            <v>2.9391549862199103E-2</v>
          </cell>
          <cell r="W1368">
            <v>2.7429679448550896E-2</v>
          </cell>
          <cell r="X1368">
            <v>2.6082051968767356E-2</v>
          </cell>
          <cell r="Y1368">
            <v>2.5678941722832773E-2</v>
          </cell>
          <cell r="Z1368">
            <v>2.6146588171094855E-2</v>
          </cell>
          <cell r="AA1368">
            <v>2.7319987562161977E-2</v>
          </cell>
          <cell r="AB1368">
            <v>2.8952791345233285E-2</v>
          </cell>
          <cell r="AC1368">
            <v>3.0941541580603967E-2</v>
          </cell>
          <cell r="AD1368">
            <v>3.3285513026323828E-2</v>
          </cell>
          <cell r="AE1368">
            <v>3.5938161837430045E-2</v>
          </cell>
          <cell r="AF1368">
            <v>3.9183413229773811E-2</v>
          </cell>
          <cell r="AG1368">
            <v>4.3034549632839057E-2</v>
          </cell>
          <cell r="AH1368">
            <v>4.7379701172847455E-2</v>
          </cell>
          <cell r="AI1368">
            <v>5.2049528038609842E-2</v>
          </cell>
          <cell r="AJ1368">
            <v>5.686598078890507E-2</v>
          </cell>
          <cell r="AK1368">
            <v>6.1685980810804744E-2</v>
          </cell>
          <cell r="AL1368">
            <v>6.6421964896367147E-2</v>
          </cell>
          <cell r="AM1368">
            <v>7.1037248476816472E-2</v>
          </cell>
          <cell r="AN1368">
            <v>7.5527607274853026E-2</v>
          </cell>
          <cell r="AO1368">
            <v>7.9901118412012265E-2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1.947978814271888E-2</v>
          </cell>
          <cell r="M1370">
            <v>3.80859680419589E-3</v>
          </cell>
          <cell r="N1370">
            <v>-4.122059406541765E-2</v>
          </cell>
          <cell r="O1370">
            <v>-9.4835590183985005E-2</v>
          </cell>
          <cell r="P1370">
            <v>-0.13696580079260828</v>
          </cell>
          <cell r="Q1370">
            <v>-0.1578787611208898</v>
          </cell>
          <cell r="R1370">
            <v>-0.15490440381755843</v>
          </cell>
          <cell r="S1370">
            <v>-0.13326262706760278</v>
          </cell>
          <cell r="T1370">
            <v>-0.10181892740156177</v>
          </cell>
          <cell r="U1370">
            <v>-6.9020825152314627E-2</v>
          </cell>
          <cell r="V1370">
            <v>-4.028336774791369E-2</v>
          </cell>
          <cell r="W1370">
            <v>-1.7460332581462151E-2</v>
          </cell>
          <cell r="X1370">
            <v>1.6574131165728232E-4</v>
          </cell>
          <cell r="Y1370">
            <v>1.4325448676249266E-2</v>
          </cell>
          <cell r="Z1370">
            <v>2.6660258964110544E-2</v>
          </cell>
          <cell r="AA1370">
            <v>3.7248516933232036E-2</v>
          </cell>
          <cell r="AB1370">
            <v>4.5927107636921427E-2</v>
          </cell>
          <cell r="AC1370">
            <v>5.1975814206653197E-2</v>
          </cell>
          <cell r="AD1370">
            <v>5.4744023496164904E-2</v>
          </cell>
          <cell r="AE1370">
            <v>5.4258923407725701E-2</v>
          </cell>
          <cell r="AF1370">
            <v>5.0554657976661685E-2</v>
          </cell>
          <cell r="AG1370">
            <v>4.4940615098407383E-2</v>
          </cell>
          <cell r="AH1370">
            <v>3.8662923382099389E-2</v>
          </cell>
          <cell r="AI1370">
            <v>3.2751305855698708E-2</v>
          </cell>
          <cell r="AJ1370">
            <v>2.7848584207817308E-2</v>
          </cell>
          <cell r="AK1370">
            <v>2.420403251292173E-2</v>
          </cell>
          <cell r="AL1370">
            <v>2.1783141257360205E-2</v>
          </cell>
          <cell r="AM1370">
            <v>2.0398678779651572E-2</v>
          </cell>
          <cell r="AN1370">
            <v>1.98340537345933E-2</v>
          </cell>
          <cell r="AO1370">
            <v>1.9920619544357632E-2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-4.4613332538709277E-2</v>
          </cell>
          <cell r="M1372">
            <v>-6.3985007256912779E-2</v>
          </cell>
          <cell r="N1372">
            <v>-8.5355652128645113E-2</v>
          </cell>
          <cell r="O1372">
            <v>-0.11882762822206108</v>
          </cell>
          <cell r="P1372">
            <v>-0.16380266114386641</v>
          </cell>
          <cell r="Q1372">
            <v>-0.21309755023942067</v>
          </cell>
          <cell r="R1372">
            <v>-0.25901146382652102</v>
          </cell>
          <cell r="S1372">
            <v>-0.29527890700096043</v>
          </cell>
          <cell r="T1372">
            <v>-0.31866446915070196</v>
          </cell>
          <cell r="U1372">
            <v>-0.32916897585260946</v>
          </cell>
          <cell r="V1372">
            <v>-0.32905127221614383</v>
          </cell>
          <cell r="W1372">
            <v>-0.32144724412160003</v>
          </cell>
          <cell r="X1372">
            <v>-0.30920989152220535</v>
          </cell>
          <cell r="Y1372">
            <v>-0.29434638366217591</v>
          </cell>
          <cell r="Z1372">
            <v>-0.27808646060470116</v>
          </cell>
          <cell r="AA1372">
            <v>-0.26097986306431109</v>
          </cell>
          <cell r="AB1372">
            <v>-0.24383274270392935</v>
          </cell>
          <cell r="AC1372">
            <v>-0.22740013150889787</v>
          </cell>
          <cell r="AD1372">
            <v>-0.21259334047071435</v>
          </cell>
          <cell r="AE1372">
            <v>-0.20039640456435967</v>
          </cell>
          <cell r="AF1372">
            <v>-0.19131136533912887</v>
          </cell>
          <cell r="AG1372">
            <v>-0.18594042956524276</v>
          </cell>
          <cell r="AH1372">
            <v>-0.18407896574899674</v>
          </cell>
          <cell r="AI1372">
            <v>-0.18518437378472863</v>
          </cell>
          <cell r="AJ1372">
            <v>-0.18849998748133784</v>
          </cell>
          <cell r="AK1372">
            <v>-0.19321483594373171</v>
          </cell>
          <cell r="AL1372">
            <v>-0.19858848449763378</v>
          </cell>
          <cell r="AM1372">
            <v>-0.20401353271139583</v>
          </cell>
          <cell r="AN1372">
            <v>-0.20903009705475889</v>
          </cell>
          <cell r="AO1372">
            <v>-0.21331392479792666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5.1939958628007162E-3</v>
          </cell>
          <cell r="M1373">
            <v>-4.7621542867453279E-2</v>
          </cell>
          <cell r="N1373">
            <v>-0.12786401878544246</v>
          </cell>
          <cell r="O1373">
            <v>-0.19288319779201521</v>
          </cell>
          <cell r="P1373">
            <v>-0.21231873975919913</v>
          </cell>
          <cell r="Q1373">
            <v>-0.18542765769383765</v>
          </cell>
          <cell r="R1373">
            <v>-0.12212377817601405</v>
          </cell>
          <cell r="S1373">
            <v>-4.4692014114973054E-2</v>
          </cell>
          <cell r="T1373">
            <v>2.5681842860818635E-2</v>
          </cell>
          <cell r="U1373">
            <v>7.564050347072461E-2</v>
          </cell>
          <cell r="V1373">
            <v>0.1015643380017264</v>
          </cell>
          <cell r="W1373">
            <v>0.10729891579530967</v>
          </cell>
          <cell r="X1373">
            <v>9.99819782680645E-2</v>
          </cell>
          <cell r="Y1373">
            <v>8.6230341376208358E-2</v>
          </cell>
          <cell r="Z1373">
            <v>7.0606679335445663E-2</v>
          </cell>
          <cell r="AA1373">
            <v>5.296702229343761E-2</v>
          </cell>
          <cell r="AB1373">
            <v>3.4006696506091748E-2</v>
          </cell>
          <cell r="AC1373">
            <v>1.3047394175412196E-2</v>
          </cell>
          <cell r="AD1373">
            <v>-9.8307544512439126E-3</v>
          </cell>
          <cell r="AE1373">
            <v>-3.3428727875583139E-2</v>
          </cell>
          <cell r="AF1373">
            <v>-5.621054871505661E-2</v>
          </cell>
          <cell r="AG1373">
            <v>-7.541745424279156E-2</v>
          </cell>
          <cell r="AH1373">
            <v>-8.9485097867039745E-2</v>
          </cell>
          <cell r="AI1373">
            <v>-9.7910276320919198E-2</v>
          </cell>
          <cell r="AJ1373">
            <v>-0.10122651272570898</v>
          </cell>
          <cell r="AK1373">
            <v>-0.10063449063941161</v>
          </cell>
          <cell r="AL1373">
            <v>-9.7546662090170738E-2</v>
          </cell>
          <cell r="AM1373">
            <v>-9.325537571818357E-2</v>
          </cell>
          <cell r="AN1373">
            <v>-8.8735882464463872E-2</v>
          </cell>
          <cell r="AO1373">
            <v>-8.4602477577880225E-2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1.9567387548501049E-2</v>
          </cell>
          <cell r="M1374">
            <v>3.7419572374633781E-3</v>
          </cell>
          <cell r="N1374">
            <v>-4.0944654829897932E-2</v>
          </cell>
          <cell r="O1374">
            <v>-9.3397172824630892E-2</v>
          </cell>
          <cell r="P1374">
            <v>-0.13328973542361</v>
          </cell>
          <cell r="Q1374">
            <v>-0.15162128483240597</v>
          </cell>
          <cell r="R1374">
            <v>-0.14673075994957252</v>
          </cell>
          <cell r="S1374">
            <v>-0.12395948866976718</v>
          </cell>
          <cell r="T1374">
            <v>-9.2417564220357878E-2</v>
          </cell>
          <cell r="U1374">
            <v>-6.0603487678978399E-2</v>
          </cell>
          <cell r="V1374">
            <v>-3.3744211110110001E-2</v>
          </cell>
          <cell r="W1374">
            <v>-1.3298754720186162E-2</v>
          </cell>
          <cell r="X1374">
            <v>1.882275579591787E-3</v>
          </cell>
          <cell r="Y1374">
            <v>1.3860956806734879E-2</v>
          </cell>
          <cell r="Z1374">
            <v>2.4424032847482118E-2</v>
          </cell>
          <cell r="AA1374">
            <v>3.3829830831303878E-2</v>
          </cell>
          <cell r="AB1374">
            <v>4.1660414821221493E-2</v>
          </cell>
          <cell r="AC1374">
            <v>4.7190271597822499E-2</v>
          </cell>
          <cell r="AD1374">
            <v>4.9682168654575788E-2</v>
          </cell>
          <cell r="AE1374">
            <v>4.8966728226612861E-2</v>
          </cell>
          <cell r="AF1374">
            <v>4.531765704890961E-2</v>
          </cell>
          <cell r="AG1374">
            <v>3.9743363967022355E-2</v>
          </cell>
          <cell r="AH1374">
            <v>3.3496949651237666E-2</v>
          </cell>
          <cell r="AI1374">
            <v>2.7617094254060563E-2</v>
          </cell>
          <cell r="AJ1374">
            <v>2.2747879695172103E-2</v>
          </cell>
          <cell r="AK1374">
            <v>1.9131452661694207E-2</v>
          </cell>
          <cell r="AL1374">
            <v>1.6721250354800803E-2</v>
          </cell>
          <cell r="AM1374">
            <v>1.5318418550635341E-2</v>
          </cell>
          <cell r="AN1374">
            <v>1.4697556223632066E-2</v>
          </cell>
          <cell r="AO1374">
            <v>1.468619893908656E-2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1.9240073592002686E-2</v>
          </cell>
          <cell r="M1375">
            <v>8.2488006921985386E-3</v>
          </cell>
          <cell r="N1375">
            <v>-2.9331399451845264E-2</v>
          </cell>
          <cell r="O1375">
            <v>-7.6175832219428863E-2</v>
          </cell>
          <cell r="P1375">
            <v>-0.11508349149203177</v>
          </cell>
          <cell r="Q1375">
            <v>-0.1371772301497943</v>
          </cell>
          <cell r="R1375">
            <v>-0.13948706208158532</v>
          </cell>
          <cell r="S1375">
            <v>-0.12571952275575041</v>
          </cell>
          <cell r="T1375">
            <v>-0.10287008712478987</v>
          </cell>
          <cell r="U1375">
            <v>-7.7876293480785341E-2</v>
          </cell>
          <cell r="V1375">
            <v>-5.534705264836693E-2</v>
          </cell>
          <cell r="W1375">
            <v>-3.7008576840335795E-2</v>
          </cell>
          <cell r="X1375">
            <v>-2.2442227461852628E-2</v>
          </cell>
          <cell r="Y1375">
            <v>-1.0341882854196483E-2</v>
          </cell>
          <cell r="Z1375">
            <v>5.6059182136865054E-4</v>
          </cell>
          <cell r="AA1375">
            <v>1.0296899444010908E-2</v>
          </cell>
          <cell r="AB1375">
            <v>1.8642467889376298E-2</v>
          </cell>
          <cell r="AC1375">
            <v>2.4918374393401155E-2</v>
          </cell>
          <cell r="AD1375">
            <v>2.8490125765927403E-2</v>
          </cell>
          <cell r="AE1375">
            <v>2.9259465078774624E-2</v>
          </cell>
          <cell r="AF1375">
            <v>2.7229155442346973E-2</v>
          </cell>
          <cell r="AG1375">
            <v>2.3389151288703967E-2</v>
          </cell>
          <cell r="AH1375">
            <v>1.8758181546342356E-2</v>
          </cell>
          <cell r="AI1375">
            <v>1.4210066498706106E-2</v>
          </cell>
          <cell r="AJ1375">
            <v>1.0320575380951975E-2</v>
          </cell>
          <cell r="AK1375">
            <v>7.3497723675166587E-3</v>
          </cell>
          <cell r="AL1375">
            <v>5.3233156448066199E-3</v>
          </cell>
          <cell r="AM1375">
            <v>4.1330189965322426E-3</v>
          </cell>
          <cell r="AN1375">
            <v>3.6370498905757133E-3</v>
          </cell>
          <cell r="AO1375">
            <v>3.7255290227174724E-3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8.759940577943856E-5</v>
          </cell>
          <cell r="M1376">
            <v>-6.6639566734903835E-5</v>
          </cell>
          <cell r="N1376">
            <v>2.7593923551735443E-4</v>
          </cell>
          <cell r="O1376">
            <v>1.438417359354127E-3</v>
          </cell>
          <cell r="P1376">
            <v>3.6760653689954259E-3</v>
          </cell>
          <cell r="Q1376">
            <v>6.257476288482426E-3</v>
          </cell>
          <cell r="R1376">
            <v>8.1736438679834086E-3</v>
          </cell>
          <cell r="S1376">
            <v>9.30313839783861E-3</v>
          </cell>
          <cell r="T1376">
            <v>9.401363181205255E-3</v>
          </cell>
          <cell r="U1376">
            <v>8.4173374733370245E-3</v>
          </cell>
          <cell r="V1376">
            <v>6.5391566378060362E-3</v>
          </cell>
          <cell r="W1376">
            <v>4.1615778612780485E-3</v>
          </cell>
          <cell r="X1376">
            <v>1.7165342679345047E-3</v>
          </cell>
          <cell r="Y1376">
            <v>-4.6449186951164501E-4</v>
          </cell>
          <cell r="Z1376">
            <v>-2.2362261166284187E-3</v>
          </cell>
          <cell r="AA1376">
            <v>-3.4186861019281541E-3</v>
          </cell>
          <cell r="AB1376">
            <v>-4.2666928157035029E-3</v>
          </cell>
          <cell r="AC1376">
            <v>-4.7855426088299962E-3</v>
          </cell>
          <cell r="AD1376">
            <v>-5.0618548415888838E-3</v>
          </cell>
          <cell r="AE1376">
            <v>-5.2921951811121639E-3</v>
          </cell>
          <cell r="AF1376">
            <v>-5.2370009277502797E-3</v>
          </cell>
          <cell r="AG1376">
            <v>-5.1972511313823719E-3</v>
          </cell>
          <cell r="AH1376">
            <v>-5.1659737308630384E-3</v>
          </cell>
          <cell r="AI1376">
            <v>-5.1342116016387896E-3</v>
          </cell>
          <cell r="AJ1376">
            <v>-5.1007045126439327E-3</v>
          </cell>
          <cell r="AK1376">
            <v>-5.0725798512264789E-3</v>
          </cell>
          <cell r="AL1376">
            <v>-5.0618909025606394E-3</v>
          </cell>
          <cell r="AM1376">
            <v>-5.0802602290154174E-3</v>
          </cell>
          <cell r="AN1376">
            <v>-5.1364975109606335E-3</v>
          </cell>
          <cell r="AO1376">
            <v>-5.2344206052714641E-3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2.3971455071619484E-4</v>
          </cell>
          <cell r="M1377">
            <v>-4.4402038880020514E-3</v>
          </cell>
          <cell r="N1377">
            <v>-1.188919461357062E-2</v>
          </cell>
          <cell r="O1377">
            <v>-1.8659757964556729E-2</v>
          </cell>
          <cell r="P1377">
            <v>-2.1882309300576521E-2</v>
          </cell>
          <cell r="Q1377">
            <v>-2.0701530971094936E-2</v>
          </cell>
          <cell r="R1377">
            <v>-1.5417341735974213E-2</v>
          </cell>
          <cell r="S1377">
            <v>-7.5431043118534572E-3</v>
          </cell>
          <cell r="T1377">
            <v>1.0511597232286288E-3</v>
          </cell>
          <cell r="U1377">
            <v>8.8554683284712468E-3</v>
          </cell>
          <cell r="V1377">
            <v>1.5063684900454288E-2</v>
          </cell>
          <cell r="W1377">
            <v>1.9548244258872614E-2</v>
          </cell>
          <cell r="X1377">
            <v>2.2607968773509911E-2</v>
          </cell>
          <cell r="Y1377">
            <v>2.4667331530446746E-2</v>
          </cell>
          <cell r="Z1377">
            <v>2.6099667142739924E-2</v>
          </cell>
          <cell r="AA1377">
            <v>2.6951617489218219E-2</v>
          </cell>
          <cell r="AB1377">
            <v>2.7284639747542746E-2</v>
          </cell>
          <cell r="AC1377">
            <v>2.7057439813254855E-2</v>
          </cell>
          <cell r="AD1377">
            <v>2.6253897730237504E-2</v>
          </cell>
          <cell r="AE1377">
            <v>2.4999458328952902E-2</v>
          </cell>
          <cell r="AF1377">
            <v>2.3325502534315611E-2</v>
          </cell>
          <cell r="AG1377">
            <v>2.1551463809703419E-2</v>
          </cell>
          <cell r="AH1377">
            <v>1.9904741835757033E-2</v>
          </cell>
          <cell r="AI1377">
            <v>1.8541239356990882E-2</v>
          </cell>
          <cell r="AJ1377">
            <v>1.7528008826867024E-2</v>
          </cell>
          <cell r="AK1377">
            <v>1.6854260145404233E-2</v>
          </cell>
          <cell r="AL1377">
            <v>1.6459825612551937E-2</v>
          </cell>
          <cell r="AM1377">
            <v>1.6265659783120143E-2</v>
          </cell>
          <cell r="AN1377">
            <v>1.6197003844017583E-2</v>
          </cell>
          <cell r="AO1377">
            <v>1.6195090521638578E-2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9.6757164790517436E-3</v>
          </cell>
          <cell r="M1378">
            <v>-8.7622056483060984E-2</v>
          </cell>
          <cell r="N1378">
            <v>-0.23499501197626893</v>
          </cell>
          <cell r="O1378">
            <v>-0.35323778577645015</v>
          </cell>
          <cell r="P1378">
            <v>-0.3856389181787323</v>
          </cell>
          <cell r="Q1378">
            <v>-0.33132117565709551</v>
          </cell>
          <cell r="R1378">
            <v>-0.2107678253527645</v>
          </cell>
          <cell r="S1378">
            <v>-6.5459835160619484E-2</v>
          </cell>
          <cell r="T1378">
            <v>6.4883786177927227E-2</v>
          </cell>
          <cell r="U1378">
            <v>0.15540132827043251</v>
          </cell>
          <cell r="V1378">
            <v>0.19974778033395868</v>
          </cell>
          <cell r="W1378">
            <v>0.20581923267084523</v>
          </cell>
          <cell r="X1378">
            <v>0.18767167532796059</v>
          </cell>
          <cell r="Y1378">
            <v>0.15818013861110813</v>
          </cell>
          <cell r="Z1378">
            <v>0.12602300176713932</v>
          </cell>
          <cell r="AA1378">
            <v>9.1323796691211712E-2</v>
          </cell>
          <cell r="AB1378">
            <v>5.4812961176220476E-2</v>
          </cell>
          <cell r="AC1378">
            <v>1.5229127437121903E-2</v>
          </cell>
          <cell r="AD1378">
            <v>-2.7459725460077244E-2</v>
          </cell>
          <cell r="AE1378">
            <v>-7.1423484802402015E-2</v>
          </cell>
          <cell r="AF1378">
            <v>-0.11339689210660975</v>
          </cell>
          <cell r="AG1378">
            <v>-0.14885298895862542</v>
          </cell>
          <cell r="AH1378">
            <v>-0.17489119054127089</v>
          </cell>
          <cell r="AI1378">
            <v>-0.19055195506270106</v>
          </cell>
          <cell r="AJ1378">
            <v>-0.19679946039310448</v>
          </cell>
          <cell r="AK1378">
            <v>-0.19584481209788951</v>
          </cell>
          <cell r="AL1378">
            <v>-0.19030232300135674</v>
          </cell>
          <cell r="AM1378">
            <v>-0.18257017085666627</v>
          </cell>
          <cell r="AN1378">
            <v>-0.17446326638578258</v>
          </cell>
          <cell r="AO1378">
            <v>-0.16712664297126034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4.0868256795323354E-2</v>
          </cell>
          <cell r="M1379">
            <v>4.0654867946443574E-2</v>
          </cell>
          <cell r="N1379">
            <v>3.3574046446283035E-2</v>
          </cell>
          <cell r="O1379">
            <v>0.1177872254089829</v>
          </cell>
          <cell r="P1379">
            <v>0.3064200374221171</v>
          </cell>
          <cell r="Q1379">
            <v>0.54602773989840259</v>
          </cell>
          <cell r="R1379">
            <v>0.76559269293430265</v>
          </cell>
          <cell r="S1379">
            <v>0.9164378773981019</v>
          </cell>
          <cell r="T1379">
            <v>0.98055122394136163</v>
          </cell>
          <cell r="U1379">
            <v>0.97134383131984858</v>
          </cell>
          <cell r="V1379">
            <v>0.92118406953234366</v>
          </cell>
          <cell r="W1379">
            <v>0.86505421572564689</v>
          </cell>
          <cell r="X1379">
            <v>0.82820692832328291</v>
          </cell>
          <cell r="Y1379">
            <v>0.82161568996845791</v>
          </cell>
          <cell r="Z1379">
            <v>0.84357683064906208</v>
          </cell>
          <cell r="AA1379">
            <v>0.88958626946742392</v>
          </cell>
          <cell r="AB1379">
            <v>0.95166157859567502</v>
          </cell>
          <cell r="AC1379">
            <v>1.0269732488185079</v>
          </cell>
          <cell r="AD1379">
            <v>1.1159452069577247</v>
          </cell>
          <cell r="AE1379">
            <v>1.217283377735412</v>
          </cell>
          <cell r="AF1379">
            <v>1.3425994018515297</v>
          </cell>
          <cell r="AG1379">
            <v>1.4905773045606807</v>
          </cell>
          <cell r="AH1379">
            <v>1.6584902308133032</v>
          </cell>
          <cell r="AI1379">
            <v>1.8413815021748547</v>
          </cell>
          <cell r="AJ1379">
            <v>2.033612770687343</v>
          </cell>
          <cell r="AK1379">
            <v>2.2303435614933198</v>
          </cell>
          <cell r="AL1379">
            <v>2.4283565821612507</v>
          </cell>
          <cell r="AM1379">
            <v>2.6260885804825218</v>
          </cell>
          <cell r="AN1379">
            <v>2.8231656120923709</v>
          </cell>
          <cell r="AO1379">
            <v>3.0197930642577031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8.9782229053603224E-2</v>
          </cell>
          <cell r="M1381">
            <v>1.7541225060724308E-2</v>
          </cell>
          <cell r="N1381">
            <v>-0.18983761190713988</v>
          </cell>
          <cell r="O1381">
            <v>-0.43687325942001198</v>
          </cell>
          <cell r="P1381">
            <v>-0.63198129372696865</v>
          </cell>
          <cell r="Q1381">
            <v>-0.72830578632139265</v>
          </cell>
          <cell r="R1381">
            <v>-0.71453932643505969</v>
          </cell>
          <cell r="S1381">
            <v>-0.6147584186321553</v>
          </cell>
          <cell r="T1381">
            <v>-0.46978409546331035</v>
          </cell>
          <cell r="U1381">
            <v>-0.31850904682129144</v>
          </cell>
          <cell r="V1381">
            <v>-0.18590391554615948</v>
          </cell>
          <cell r="W1381">
            <v>-8.0564488987056038E-2</v>
          </cell>
          <cell r="X1381">
            <v>7.6441911969205023E-4</v>
          </cell>
          <cell r="Y1381">
            <v>6.6022622844830181E-2</v>
          </cell>
          <cell r="Z1381">
            <v>0.1226455295522344</v>
          </cell>
          <cell r="AA1381">
            <v>0.17120828125556375</v>
          </cell>
          <cell r="AB1381">
            <v>0.21085948544923294</v>
          </cell>
          <cell r="AC1381">
            <v>0.23829546271310065</v>
          </cell>
          <cell r="AD1381">
            <v>0.25058800838402284</v>
          </cell>
          <cell r="AE1381">
            <v>0.24734728223496649</v>
          </cell>
          <cell r="AF1381">
            <v>0.23011405898847315</v>
          </cell>
          <cell r="AG1381">
            <v>0.20423928677175684</v>
          </cell>
          <cell r="AH1381">
            <v>0.17541948807577867</v>
          </cell>
          <cell r="AI1381">
            <v>0.14834316115868162</v>
          </cell>
          <cell r="AJ1381">
            <v>0.12591898426379533</v>
          </cell>
          <cell r="AK1381">
            <v>0.10925575600586601</v>
          </cell>
          <cell r="AL1381">
            <v>9.8171871714369807E-2</v>
          </cell>
          <cell r="AM1381">
            <v>9.179773070455699E-2</v>
          </cell>
          <cell r="AN1381">
            <v>8.9137106447489955E-2</v>
          </cell>
          <cell r="AO1381">
            <v>8.9415547112392524E-2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0.10628123280280732</v>
          </cell>
          <cell r="M1382">
            <v>4.5533471575209816E-2</v>
          </cell>
          <cell r="N1382">
            <v>-0.1618910675887264</v>
          </cell>
          <cell r="O1382">
            <v>-0.42052105870360457</v>
          </cell>
          <cell r="P1382">
            <v>-0.63630439200443867</v>
          </cell>
          <cell r="Q1382">
            <v>-0.75820588265614886</v>
          </cell>
          <cell r="R1382">
            <v>-0.77083295493216575</v>
          </cell>
          <cell r="S1382">
            <v>-0.69473210134010088</v>
          </cell>
          <cell r="T1382">
            <v>-0.56852261000372994</v>
          </cell>
          <cell r="U1382">
            <v>-0.43045498639003865</v>
          </cell>
          <cell r="V1382">
            <v>-0.30595180260624133</v>
          </cell>
          <cell r="W1382">
            <v>-0.20456180249155409</v>
          </cell>
          <cell r="X1382">
            <v>-0.12400770227286584</v>
          </cell>
          <cell r="Y1382">
            <v>-5.7112005496695595E-2</v>
          </cell>
          <cell r="Z1382">
            <v>3.0905649566648208E-3</v>
          </cell>
          <cell r="AA1382">
            <v>5.6728093682689718E-2</v>
          </cell>
          <cell r="AB1382">
            <v>0.10260711036529369</v>
          </cell>
          <cell r="AC1382">
            <v>0.13697965914607479</v>
          </cell>
          <cell r="AD1382">
            <v>0.15638937917619167</v>
          </cell>
          <cell r="AE1382">
            <v>0.15997186729552748</v>
          </cell>
          <cell r="AF1382">
            <v>0.14866484494790999</v>
          </cell>
          <cell r="AG1382">
            <v>0.12751442769596277</v>
          </cell>
          <cell r="AH1382">
            <v>0.10211092918903653</v>
          </cell>
          <cell r="AI1382">
            <v>7.7229893961328067E-2</v>
          </cell>
          <cell r="AJ1382">
            <v>5.6000277890144723E-2</v>
          </cell>
          <cell r="AK1382">
            <v>3.9817246279660878E-2</v>
          </cell>
          <cell r="AL1382">
            <v>2.8795701628281378E-2</v>
          </cell>
          <cell r="AM1382">
            <v>2.2326038839781681E-2</v>
          </cell>
          <cell r="AN1382">
            <v>1.9622091095361505E-2</v>
          </cell>
          <cell r="AO1382">
            <v>2.0076229060461692E-2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-7.1186738859974064E-3</v>
          </cell>
          <cell r="M1383">
            <v>-7.2501735755881036E-2</v>
          </cell>
          <cell r="N1383">
            <v>-0.2001049789669973</v>
          </cell>
          <cell r="O1383">
            <v>-0.36818286942331691</v>
          </cell>
          <cell r="P1383">
            <v>-0.5428876393172799</v>
          </cell>
          <cell r="Q1383">
            <v>-0.69507454510632227</v>
          </cell>
          <cell r="R1383">
            <v>-0.80608758470915864</v>
          </cell>
          <cell r="S1383">
            <v>-0.87051972638703123</v>
          </cell>
          <cell r="T1383">
            <v>-0.89356656154340186</v>
          </cell>
          <cell r="U1383">
            <v>-0.88572381646314646</v>
          </cell>
          <cell r="V1383">
            <v>-0.85764091847372326</v>
          </cell>
          <cell r="W1383">
            <v>-0.8170873735128259</v>
          </cell>
          <cell r="X1383">
            <v>-0.76839552740939343</v>
          </cell>
          <cell r="Y1383">
            <v>-0.71361084660337415</v>
          </cell>
          <cell r="Z1383">
            <v>-0.65402993808668652</v>
          </cell>
          <cell r="AA1383">
            <v>-0.59193479202842569</v>
          </cell>
          <cell r="AB1383">
            <v>-0.53042833032401759</v>
          </cell>
          <cell r="AC1383">
            <v>-0.47317648683752322</v>
          </cell>
          <cell r="AD1383">
            <v>-0.42366138521154895</v>
          </cell>
          <cell r="AE1383">
            <v>-0.38442420567844637</v>
          </cell>
          <cell r="AF1383">
            <v>-0.35650275403680265</v>
          </cell>
          <cell r="AG1383">
            <v>-0.33923785334193379</v>
          </cell>
          <cell r="AH1383">
            <v>-0.33074389893160694</v>
          </cell>
          <cell r="AI1383">
            <v>-0.32855604679209449</v>
          </cell>
          <cell r="AJ1383">
            <v>-0.33019055525580487</v>
          </cell>
          <cell r="AK1383">
            <v>-0.33348971390123605</v>
          </cell>
          <cell r="AL1383">
            <v>-0.33674622969677159</v>
          </cell>
          <cell r="AM1383">
            <v>-0.33869109722919344</v>
          </cell>
          <cell r="AN1383">
            <v>-0.338409620670721</v>
          </cell>
          <cell r="AO1383">
            <v>-0.33525858114453744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0.13809715022317093</v>
          </cell>
          <cell r="M1384">
            <v>0.13642610107229558</v>
          </cell>
          <cell r="N1384">
            <v>7.8954787713492181E-2</v>
          </cell>
          <cell r="O1384">
            <v>1.9782618955255238E-2</v>
          </cell>
          <cell r="P1384">
            <v>-9.485282553090002E-3</v>
          </cell>
          <cell r="Q1384">
            <v>-2.0817515884119508E-3</v>
          </cell>
          <cell r="R1384">
            <v>3.5769920903616637E-2</v>
          </cell>
          <cell r="S1384">
            <v>8.9124132738560569E-2</v>
          </cell>
          <cell r="T1384">
            <v>0.14230710805100966</v>
          </cell>
          <cell r="U1384">
            <v>0.18482817160632159</v>
          </cell>
          <cell r="V1384">
            <v>0.213335402726611</v>
          </cell>
          <cell r="W1384">
            <v>0.23016271416174128</v>
          </cell>
          <cell r="X1384">
            <v>0.24013107080944618</v>
          </cell>
          <cell r="Y1384">
            <v>0.24759368371336521</v>
          </cell>
          <cell r="Z1384">
            <v>0.25514209212800232</v>
          </cell>
          <cell r="AA1384">
            <v>0.26227895253212452</v>
          </cell>
          <cell r="AB1384">
            <v>0.26842192057501268</v>
          </cell>
          <cell r="AC1384">
            <v>0.27247637075953346</v>
          </cell>
          <cell r="AD1384">
            <v>0.27399059837363016</v>
          </cell>
          <cell r="AE1384">
            <v>0.27334343328817567</v>
          </cell>
          <cell r="AF1384">
            <v>0.27217964934138639</v>
          </cell>
          <cell r="AG1384">
            <v>0.27229517255542568</v>
          </cell>
          <cell r="AH1384">
            <v>0.27513324852406207</v>
          </cell>
          <cell r="AI1384">
            <v>0.28142501961718747</v>
          </cell>
          <cell r="AJ1384">
            <v>0.29116871524335064</v>
          </cell>
          <cell r="AK1384">
            <v>0.30384768481672708</v>
          </cell>
          <cell r="AL1384">
            <v>0.31873085517488686</v>
          </cell>
          <cell r="AM1384">
            <v>0.33509502912489886</v>
          </cell>
          <cell r="AN1384">
            <v>0.35235433500115931</v>
          </cell>
          <cell r="AO1384">
            <v>0.3700979175529362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9.9092516368415318E-3</v>
          </cell>
          <cell r="M1385">
            <v>-9.0876560504982162E-2</v>
          </cell>
          <cell r="N1385">
            <v>-0.24426100730134959</v>
          </cell>
          <cell r="O1385">
            <v>-0.3688455635585286</v>
          </cell>
          <cell r="P1385">
            <v>-0.40928481665056804</v>
          </cell>
          <cell r="Q1385">
            <v>-0.35597592930296518</v>
          </cell>
          <cell r="R1385">
            <v>-0.23402808602053238</v>
          </cell>
          <cell r="S1385">
            <v>-8.5563931099563728E-2</v>
          </cell>
          <cell r="T1385">
            <v>4.9134275598761157E-2</v>
          </cell>
          <cell r="U1385">
            <v>0.14461086580774829</v>
          </cell>
          <cell r="V1385">
            <v>0.1940132835162478</v>
          </cell>
          <cell r="W1385">
            <v>0.20478335318252494</v>
          </cell>
          <cell r="X1385">
            <v>0.19064580002925435</v>
          </cell>
          <cell r="Y1385">
            <v>0.16428772356928967</v>
          </cell>
          <cell r="Z1385">
            <v>0.1338589747542418</v>
          </cell>
          <cell r="AA1385">
            <v>0.10062383648636875</v>
          </cell>
          <cell r="AB1385">
            <v>6.4656692343922906E-2</v>
          </cell>
          <cell r="AC1385">
            <v>2.4815257574184457E-2</v>
          </cell>
          <cell r="AD1385">
            <v>-1.8701432424084174E-2</v>
          </cell>
          <cell r="AE1385">
            <v>-6.2910559381479381E-2</v>
          </cell>
          <cell r="AF1385">
            <v>-0.10601394570983746</v>
          </cell>
          <cell r="AG1385">
            <v>-0.14244103227623039</v>
          </cell>
          <cell r="AH1385">
            <v>-0.16919127332498674</v>
          </cell>
          <cell r="AI1385">
            <v>-0.18529231611582597</v>
          </cell>
          <cell r="AJ1385">
            <v>-0.19174067831992936</v>
          </cell>
          <cell r="AK1385">
            <v>-0.19079548932176005</v>
          </cell>
          <cell r="AL1385">
            <v>-0.18511679137364068</v>
          </cell>
          <cell r="AM1385">
            <v>-0.17714103954225013</v>
          </cell>
          <cell r="AN1385">
            <v>-0.16871063053757185</v>
          </cell>
          <cell r="AO1385">
            <v>-0.16099041995467633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8.1984511476651534E-2</v>
          </cell>
          <cell r="M1386">
            <v>1.5765782646504078E-2</v>
          </cell>
          <cell r="N1386">
            <v>-0.17305236094103948</v>
          </cell>
          <cell r="O1386">
            <v>-0.3955631907103907</v>
          </cell>
          <cell r="P1386">
            <v>-0.55769729610726237</v>
          </cell>
          <cell r="Q1386">
            <v>-0.64069608914405496</v>
          </cell>
          <cell r="R1386">
            <v>-0.62280067661325544</v>
          </cell>
          <cell r="S1386">
            <v>-0.52733239427300571</v>
          </cell>
          <cell r="T1386">
            <v>-0.39367325381342022</v>
          </cell>
          <cell r="U1386">
            <v>-0.2583869377768333</v>
          </cell>
          <cell r="V1386">
            <v>-0.14396148508908357</v>
          </cell>
          <cell r="W1386">
            <v>-5.6757720264322131E-2</v>
          </cell>
          <cell r="X1386">
            <v>8.0343864374166074E-3</v>
          </cell>
          <cell r="Y1386">
            <v>5.9157090342520924E-2</v>
          </cell>
          <cell r="Z1386">
            <v>0.10508147268519785</v>
          </cell>
          <cell r="AA1386">
            <v>0.14473717473355574</v>
          </cell>
          <cell r="AB1386">
            <v>0.17771420652430425</v>
          </cell>
          <cell r="AC1386">
            <v>0.20094892334399095</v>
          </cell>
          <cell r="AD1386">
            <v>0.21128990842109729</v>
          </cell>
          <cell r="AE1386">
            <v>0.21278248161782365</v>
          </cell>
          <cell r="AF1386">
            <v>0.19587859344365466</v>
          </cell>
          <cell r="AG1386">
            <v>0.17119892351160626</v>
          </cell>
          <cell r="AH1386">
            <v>0.1439469584189057</v>
          </cell>
          <cell r="AI1386">
            <v>0.11845745454395207</v>
          </cell>
          <cell r="AJ1386">
            <v>9.7417027668345035E-2</v>
          </cell>
          <cell r="AK1386">
            <v>8.1815063560419787E-2</v>
          </cell>
          <cell r="AL1386">
            <v>7.1419179096920971E-2</v>
          </cell>
          <cell r="AM1386">
            <v>6.535591189915646E-2</v>
          </cell>
          <cell r="AN1386">
            <v>6.2646586907622037E-2</v>
          </cell>
          <cell r="AO1386">
            <v>6.254440800839145E-2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4.035968912097232E-3</v>
          </cell>
          <cell r="M1387">
            <v>-3.2950532599329563E-3</v>
          </cell>
          <cell r="N1387">
            <v>1.4174995812354929E-2</v>
          </cell>
          <cell r="O1387">
            <v>7.5571531262541569E-2</v>
          </cell>
          <cell r="P1387">
            <v>0.16502586287436838</v>
          </cell>
          <cell r="Q1387">
            <v>0.31483380986367937</v>
          </cell>
          <cell r="R1387">
            <v>0.43455854834932861</v>
          </cell>
          <cell r="S1387">
            <v>0.508461819219308</v>
          </cell>
          <cell r="T1387">
            <v>0.52167620161818196</v>
          </cell>
          <cell r="U1387">
            <v>0.47167195180708443</v>
          </cell>
          <cell r="V1387">
            <v>0.36927053979936009</v>
          </cell>
          <cell r="W1387">
            <v>0.2366887230128123</v>
          </cell>
          <cell r="X1387">
            <v>9.832642944558323E-2</v>
          </cell>
          <cell r="Y1387">
            <v>-2.6803169148148509E-2</v>
          </cell>
          <cell r="Z1387">
            <v>-0.14855720527446881</v>
          </cell>
          <cell r="AA1387">
            <v>-0.21141825283972349</v>
          </cell>
          <cell r="AB1387">
            <v>-0.256803912626824</v>
          </cell>
          <cell r="AC1387">
            <v>-0.2861798904721935</v>
          </cell>
          <cell r="AD1387">
            <v>-0.30355625386433438</v>
          </cell>
          <cell r="AE1387">
            <v>-0.49172907857695236</v>
          </cell>
          <cell r="AF1387">
            <v>-0.44906811463604202</v>
          </cell>
          <cell r="AG1387">
            <v>-0.42923242019939911</v>
          </cell>
          <cell r="AH1387">
            <v>-0.4199721946320123</v>
          </cell>
          <cell r="AI1387">
            <v>-0.41543432802352287</v>
          </cell>
          <cell r="AJ1387">
            <v>-0.41309311463318954</v>
          </cell>
          <cell r="AK1387">
            <v>-0.41232972515651278</v>
          </cell>
          <cell r="AL1387">
            <v>-0.41353679929334586</v>
          </cell>
          <cell r="AM1387">
            <v>-0.41739784516888756</v>
          </cell>
          <cell r="AN1387">
            <v>-0.42454273632542838</v>
          </cell>
          <cell r="AO1387">
            <v>-0.43528167455747502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6.6703643420762404E-3</v>
          </cell>
          <cell r="M1388">
            <v>-0.12346394157080054</v>
          </cell>
          <cell r="N1388">
            <v>-0.33065747624850816</v>
          </cell>
          <cell r="O1388">
            <v>-0.51931124889874614</v>
          </cell>
          <cell r="P1388">
            <v>-0.61017875109931063</v>
          </cell>
          <cell r="Q1388">
            <v>-0.57741766014928197</v>
          </cell>
          <cell r="R1388">
            <v>-0.430256416139152</v>
          </cell>
          <cell r="S1388">
            <v>-0.21063536420536932</v>
          </cell>
          <cell r="T1388">
            <v>2.9367948504277486E-2</v>
          </cell>
          <cell r="U1388">
            <v>0.24747349680356301</v>
          </cell>
          <cell r="V1388">
            <v>0.42091476866013</v>
          </cell>
          <cell r="W1388">
            <v>0.54590979380446658</v>
          </cell>
          <cell r="X1388">
            <v>0.63070624419063748</v>
          </cell>
          <cell r="Y1388">
            <v>0.68716660296372911</v>
          </cell>
          <cell r="Z1388">
            <v>0.72522469897666753</v>
          </cell>
          <cell r="AA1388">
            <v>0.74763095003551605</v>
          </cell>
          <cell r="AB1388">
            <v>0.75536379466927261</v>
          </cell>
          <cell r="AC1388">
            <v>0.74740089587777003</v>
          </cell>
          <cell r="AD1388">
            <v>0.72348778114035284</v>
          </cell>
          <cell r="AE1388">
            <v>0.68567724180175205</v>
          </cell>
          <cell r="AF1388">
            <v>0.63842668366396182</v>
          </cell>
          <cell r="AG1388">
            <v>0.58858910962580335</v>
          </cell>
          <cell r="AH1388">
            <v>0.54238254281246956</v>
          </cell>
          <cell r="AI1388">
            <v>0.50406098618047679</v>
          </cell>
          <cell r="AJ1388">
            <v>0.47543074051754619</v>
          </cell>
          <cell r="AK1388">
            <v>0.45616317754915148</v>
          </cell>
          <cell r="AL1388">
            <v>0.44458539029399446</v>
          </cell>
          <cell r="AM1388">
            <v>0.43851842018143294</v>
          </cell>
          <cell r="AN1388">
            <v>0.43590843169105664</v>
          </cell>
          <cell r="AO1388">
            <v>0.43514350410001068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4.8302346825579434E-2</v>
          </cell>
          <cell r="M1389">
            <v>0.18465511276095636</v>
          </cell>
          <cell r="N1389">
            <v>0.39363417241262688</v>
          </cell>
          <cell r="O1389">
            <v>0.64559877973187074</v>
          </cell>
          <cell r="P1389">
            <v>0.89320557364440667</v>
          </cell>
          <cell r="Q1389">
            <v>1.0985827038981988</v>
          </cell>
          <cell r="R1389">
            <v>1.2348482740317079</v>
          </cell>
          <cell r="S1389">
            <v>1.2960813575090047</v>
          </cell>
          <cell r="T1389">
            <v>1.2921360268570492</v>
          </cell>
          <cell r="U1389">
            <v>1.2406672556872111</v>
          </cell>
          <cell r="V1389">
            <v>1.1593223141048714</v>
          </cell>
          <cell r="W1389">
            <v>1.0612005522346202</v>
          </cell>
          <cell r="X1389">
            <v>0.95404648452730445</v>
          </cell>
          <cell r="Y1389">
            <v>0.84198560914632292</v>
          </cell>
          <cell r="Z1389">
            <v>0.72761363962150494</v>
          </cell>
          <cell r="AA1389">
            <v>0.61539368293266339</v>
          </cell>
          <cell r="AB1389">
            <v>0.50987693208781604</v>
          </cell>
          <cell r="AC1389">
            <v>0.41630903176603784</v>
          </cell>
          <cell r="AD1389">
            <v>0.33920401378124687</v>
          </cell>
          <cell r="AE1389">
            <v>0.28134589202171156</v>
          </cell>
          <cell r="AF1389">
            <v>0.24330578276441361</v>
          </cell>
          <cell r="AG1389">
            <v>0.22271414136130208</v>
          </cell>
          <cell r="AH1389">
            <v>0.21569940715271407</v>
          </cell>
          <cell r="AI1389">
            <v>0.21777016038282415</v>
          </cell>
          <cell r="AJ1389">
            <v>0.22467449779128845</v>
          </cell>
          <cell r="AK1389">
            <v>0.23289081789201749</v>
          </cell>
          <cell r="AL1389">
            <v>0.23976654764008565</v>
          </cell>
          <cell r="AM1389">
            <v>0.24344218963909814</v>
          </cell>
          <cell r="AN1389">
            <v>0.24267105865265481</v>
          </cell>
          <cell r="AO1389">
            <v>0.23665097181511108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1.4417855259307721E-2</v>
          </cell>
          <cell r="M1390">
            <v>-0.13443386202283136</v>
          </cell>
          <cell r="N1390">
            <v>-0.29452670150631466</v>
          </cell>
          <cell r="O1390">
            <v>-0.3857847382440438</v>
          </cell>
          <cell r="P1390">
            <v>-0.37213684641312916</v>
          </cell>
          <cell r="Q1390">
            <v>-0.27956208338770772</v>
          </cell>
          <cell r="R1390">
            <v>-0.14093873101197474</v>
          </cell>
          <cell r="S1390">
            <v>-1.4161029153081373E-3</v>
          </cell>
          <cell r="T1390">
            <v>0.10572098309400424</v>
          </cell>
          <cell r="U1390">
            <v>0.16698586189050069</v>
          </cell>
          <cell r="V1390">
            <v>0.18652718243536981</v>
          </cell>
          <cell r="W1390">
            <v>0.17797155097172279</v>
          </cell>
          <cell r="X1390">
            <v>0.15570941835953978</v>
          </cell>
          <cell r="Y1390">
            <v>0.12932884101761744</v>
          </cell>
          <cell r="Z1390">
            <v>0.10319658272297527</v>
          </cell>
          <cell r="AA1390">
            <v>7.3912209381998828E-2</v>
          </cell>
          <cell r="AB1390">
            <v>4.1172675461798036E-2</v>
          </cell>
          <cell r="AC1390">
            <v>3.8188557770491016E-3</v>
          </cell>
          <cell r="AD1390">
            <v>-3.7208143678291172E-2</v>
          </cell>
          <cell r="AE1390">
            <v>-7.8981870974970114E-2</v>
          </cell>
          <cell r="AF1390">
            <v>-0.11772119542645676</v>
          </cell>
          <cell r="AG1390">
            <v>-0.14889878745896201</v>
          </cell>
          <cell r="AH1390">
            <v>-0.17038551418342429</v>
          </cell>
          <cell r="AI1390">
            <v>-0.18222966183569778</v>
          </cell>
          <cell r="AJ1390">
            <v>-0.18611066761649031</v>
          </cell>
          <cell r="AK1390">
            <v>-0.18444829649886252</v>
          </cell>
          <cell r="AL1390">
            <v>-0.17961413625848799</v>
          </cell>
          <cell r="AM1390">
            <v>-0.17352320912704666</v>
          </cell>
          <cell r="AN1390">
            <v>-0.16746699893914752</v>
          </cell>
          <cell r="AO1390">
            <v>-0.16217574707704241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-3.1978681235811379E-2</v>
          </cell>
          <cell r="M1391">
            <v>6.7753561124406225E-2</v>
          </cell>
          <cell r="N1391">
            <v>0.30119389285738762</v>
          </cell>
          <cell r="O1391">
            <v>0.6249517858953002</v>
          </cell>
          <cell r="P1391">
            <v>0.96512271175296371</v>
          </cell>
          <cell r="Q1391">
            <v>1.25899285283535</v>
          </cell>
          <cell r="R1391">
            <v>1.4620677180328667</v>
          </cell>
          <cell r="S1391">
            <v>1.5618790669176486</v>
          </cell>
          <cell r="T1391">
            <v>1.5710980485348913</v>
          </cell>
          <cell r="U1391">
            <v>1.5152763901846056</v>
          </cell>
          <cell r="V1391">
            <v>1.4205751437925573</v>
          </cell>
          <cell r="W1391">
            <v>1.3061931042883335</v>
          </cell>
          <cell r="X1391">
            <v>1.1826521120953393</v>
          </cell>
          <cell r="Y1391">
            <v>1.0543126079444853</v>
          </cell>
          <cell r="Z1391">
            <v>0.92286970669435142</v>
          </cell>
          <cell r="AA1391">
            <v>0.79244674067884269</v>
          </cell>
          <cell r="AB1391">
            <v>0.66807906313970378</v>
          </cell>
          <cell r="AC1391">
            <v>0.55636929639405475</v>
          </cell>
          <cell r="AD1391">
            <v>0.46357128867696717</v>
          </cell>
          <cell r="AE1391">
            <v>0.39404966695980592</v>
          </cell>
          <cell r="AF1391">
            <v>0.34905485459809649</v>
          </cell>
          <cell r="AG1391">
            <v>0.32620612529667969</v>
          </cell>
          <cell r="AH1391">
            <v>0.32083869252772512</v>
          </cell>
          <cell r="AI1391">
            <v>0.32727691532024039</v>
          </cell>
          <cell r="AJ1391">
            <v>0.34008862228205317</v>
          </cell>
          <cell r="AK1391">
            <v>0.35482888328053352</v>
          </cell>
          <cell r="AL1391">
            <v>0.3682500835313518</v>
          </cell>
          <cell r="AM1391">
            <v>0.37816940170388724</v>
          </cell>
          <cell r="AN1391">
            <v>0.38317616968130963</v>
          </cell>
          <cell r="AO1391">
            <v>0.38235862281803534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-6.5863172802083092E-2</v>
          </cell>
          <cell r="M1392">
            <v>-0.2513354136593815</v>
          </cell>
          <cell r="N1392">
            <v>-0.38696698106155392</v>
          </cell>
          <cell r="O1392">
            <v>-0.40643173208061434</v>
          </cell>
          <cell r="P1392">
            <v>-0.30021970830457212</v>
          </cell>
          <cell r="Q1392">
            <v>-0.1191519344505565</v>
          </cell>
          <cell r="R1392">
            <v>8.628071298918405E-2</v>
          </cell>
          <cell r="S1392">
            <v>0.26438160649333575</v>
          </cell>
          <cell r="T1392">
            <v>0.38468300477184636</v>
          </cell>
          <cell r="U1392">
            <v>0.44159499638789512</v>
          </cell>
          <cell r="V1392">
            <v>0.44778001212305574</v>
          </cell>
          <cell r="W1392">
            <v>0.42296410302543608</v>
          </cell>
          <cell r="X1392">
            <v>0.38431504592757459</v>
          </cell>
          <cell r="Y1392">
            <v>0.34165583981577985</v>
          </cell>
          <cell r="Z1392">
            <v>0.29845264979582176</v>
          </cell>
          <cell r="AA1392">
            <v>0.25096526712817813</v>
          </cell>
          <cell r="AB1392">
            <v>0.19937480651368578</v>
          </cell>
          <cell r="AC1392">
            <v>0.14387912040506601</v>
          </cell>
          <cell r="AD1392">
            <v>8.7159131217429131E-2</v>
          </cell>
          <cell r="AE1392">
            <v>3.3721903963124245E-2</v>
          </cell>
          <cell r="AF1392">
            <v>-1.1972123592773887E-2</v>
          </cell>
          <cell r="AG1392">
            <v>-4.5406803523584394E-2</v>
          </cell>
          <cell r="AH1392">
            <v>-6.5246228808413242E-2</v>
          </cell>
          <cell r="AI1392">
            <v>-7.2722906898281536E-2</v>
          </cell>
          <cell r="AJ1392">
            <v>-7.0696543125725597E-2</v>
          </cell>
          <cell r="AK1392">
            <v>-6.2510231110346481E-2</v>
          </cell>
          <cell r="AL1392">
            <v>-5.1130600367221835E-2</v>
          </cell>
          <cell r="AM1392">
            <v>-3.8795997062257559E-2</v>
          </cell>
          <cell r="AN1392">
            <v>-2.6961887910492699E-2</v>
          </cell>
          <cell r="AO1392">
            <v>-1.6468096074118144E-2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1.4417855259307721E-2</v>
          </cell>
          <cell r="M1394">
            <v>-0.13443386202283136</v>
          </cell>
          <cell r="N1394">
            <v>-0.29452670150631466</v>
          </cell>
          <cell r="O1394">
            <v>-0.3857847382440438</v>
          </cell>
          <cell r="P1394">
            <v>-0.37213684641312916</v>
          </cell>
          <cell r="Q1394">
            <v>-0.27956208338770772</v>
          </cell>
          <cell r="R1394">
            <v>-0.14093873101197474</v>
          </cell>
          <cell r="S1394">
            <v>-1.4161029153081373E-3</v>
          </cell>
          <cell r="T1394">
            <v>0.10572098309400424</v>
          </cell>
          <cell r="U1394">
            <v>0.16698586189050069</v>
          </cell>
          <cell r="V1394">
            <v>0.18652718243536981</v>
          </cell>
          <cell r="W1394">
            <v>0.17797155097172279</v>
          </cell>
          <cell r="X1394">
            <v>0.15570941835953978</v>
          </cell>
          <cell r="Y1394">
            <v>0.12932884101761744</v>
          </cell>
          <cell r="Z1394">
            <v>0.10319658272297527</v>
          </cell>
          <cell r="AA1394">
            <v>7.3912209381998828E-2</v>
          </cell>
          <cell r="AB1394">
            <v>4.1172675461798036E-2</v>
          </cell>
          <cell r="AC1394">
            <v>3.8188557770491016E-3</v>
          </cell>
          <cell r="AD1394">
            <v>-3.7208143678291172E-2</v>
          </cell>
          <cell r="AE1394">
            <v>-7.8981870974970114E-2</v>
          </cell>
          <cell r="AF1394">
            <v>-0.11772119542645676</v>
          </cell>
          <cell r="AG1394">
            <v>-0.14889878745896201</v>
          </cell>
          <cell r="AH1394">
            <v>-0.17038551418342429</v>
          </cell>
          <cell r="AI1394">
            <v>-0.18222966183569778</v>
          </cell>
          <cell r="AJ1394">
            <v>-0.18611066761649031</v>
          </cell>
          <cell r="AK1394">
            <v>-0.18444829649886252</v>
          </cell>
          <cell r="AL1394">
            <v>-0.17961413625848799</v>
          </cell>
          <cell r="AM1394">
            <v>-0.17352320912704666</v>
          </cell>
          <cell r="AN1394">
            <v>-0.16746699893914752</v>
          </cell>
          <cell r="AO1394">
            <v>-0.16217574707704241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3.9195035227646002E-2</v>
          </cell>
          <cell r="M1395">
            <v>0.34667684615150574</v>
          </cell>
          <cell r="N1395">
            <v>0.76013468296829423</v>
          </cell>
          <cell r="O1395">
            <v>1.1553684387951124</v>
          </cell>
          <cell r="P1395">
            <v>1.4371792102357173</v>
          </cell>
          <cell r="Q1395">
            <v>1.582698238430913</v>
          </cell>
          <cell r="R1395">
            <v>1.5992014277027122</v>
          </cell>
          <cell r="S1395">
            <v>1.5272826059830491</v>
          </cell>
          <cell r="T1395">
            <v>1.4136970563526807</v>
          </cell>
          <cell r="U1395">
            <v>1.2931568070104094</v>
          </cell>
          <cell r="V1395">
            <v>1.1813531431049018</v>
          </cell>
          <cell r="W1395">
            <v>1.0785964804420178</v>
          </cell>
          <cell r="X1395">
            <v>0.97837887582641336</v>
          </cell>
          <cell r="Y1395">
            <v>0.87538819806811663</v>
          </cell>
          <cell r="Z1395">
            <v>0.76892963958286042</v>
          </cell>
          <cell r="AA1395">
            <v>0.66665219452612945</v>
          </cell>
          <cell r="AB1395">
            <v>0.57592467375779943</v>
          </cell>
          <cell r="AC1395">
            <v>0.50424687600059137</v>
          </cell>
          <cell r="AD1395">
            <v>0.45607416008708324</v>
          </cell>
          <cell r="AE1395">
            <v>0.43192799539035764</v>
          </cell>
          <cell r="AF1395">
            <v>0.4278047330048107</v>
          </cell>
          <cell r="AG1395">
            <v>0.43673348069046547</v>
          </cell>
          <cell r="AH1395">
            <v>0.4517855419597927</v>
          </cell>
          <cell r="AI1395">
            <v>0.46759699495908524</v>
          </cell>
          <cell r="AJ1395">
            <v>0.48078002341658266</v>
          </cell>
          <cell r="AK1395">
            <v>0.48957103044791062</v>
          </cell>
          <cell r="AL1395">
            <v>0.49318811131229268</v>
          </cell>
          <cell r="AM1395">
            <v>0.49132082514535824</v>
          </cell>
          <cell r="AN1395">
            <v>0.48377435515727374</v>
          </cell>
          <cell r="AO1395">
            <v>0.47037006932222347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3.0614702435793895E-2</v>
          </cell>
          <cell r="M1396">
            <v>0.28580446671380155</v>
          </cell>
          <cell r="N1396">
            <v>0.63778999523809166</v>
          </cell>
          <cell r="O1396">
            <v>0.98186350535911515</v>
          </cell>
          <cell r="P1396">
            <v>1.2356524227773225</v>
          </cell>
          <cell r="Q1396">
            <v>1.372318278875384</v>
          </cell>
          <cell r="R1396">
            <v>1.3970274504142566</v>
          </cell>
          <cell r="S1396">
            <v>1.3419876349761939</v>
          </cell>
          <cell r="T1396">
            <v>1.2464237642996645</v>
          </cell>
          <cell r="U1396">
            <v>1.1408877183401556</v>
          </cell>
          <cell r="V1396">
            <v>1.040489657339827</v>
          </cell>
          <cell r="W1396">
            <v>0.94718465647645189</v>
          </cell>
          <cell r="X1396">
            <v>0.85656512266554241</v>
          </cell>
          <cell r="Y1396">
            <v>0.76458784008215375</v>
          </cell>
          <cell r="Z1396">
            <v>0.67077360454936841</v>
          </cell>
          <cell r="AA1396">
            <v>0.58115280616550802</v>
          </cell>
          <cell r="AB1396">
            <v>0.50210132718147005</v>
          </cell>
          <cell r="AC1396">
            <v>0.43994408553953424</v>
          </cell>
          <cell r="AD1396">
            <v>0.39849881818854183</v>
          </cell>
          <cell r="AE1396">
            <v>0.37810596237106697</v>
          </cell>
          <cell r="AF1396">
            <v>0.37561238035650479</v>
          </cell>
          <cell r="AG1396">
            <v>0.3850154245792492</v>
          </cell>
          <cell r="AH1396">
            <v>0.40021239346150761</v>
          </cell>
          <cell r="AI1396">
            <v>0.41629588582945409</v>
          </cell>
          <cell r="AJ1396">
            <v>0.43000743630106086</v>
          </cell>
          <cell r="AK1396">
            <v>0.43952823749768832</v>
          </cell>
          <cell r="AL1396">
            <v>0.44398541451822204</v>
          </cell>
          <cell r="AM1396">
            <v>0.44302336163062339</v>
          </cell>
          <cell r="AN1396">
            <v>0.43648919859535784</v>
          </cell>
          <cell r="AO1396">
            <v>0.42432587699823276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-2.4343702379470145E-4</v>
          </cell>
          <cell r="M1397">
            <v>7.0199697219663904E-4</v>
          </cell>
          <cell r="N1397">
            <v>1.1725593677569535E-3</v>
          </cell>
          <cell r="O1397">
            <v>2.1991533984966338E-4</v>
          </cell>
          <cell r="P1397">
            <v>-1.7230895757447406E-3</v>
          </cell>
          <cell r="Q1397">
            <v>-3.5758327718626859E-3</v>
          </cell>
          <cell r="R1397">
            <v>-4.3617726371292243E-3</v>
          </cell>
          <cell r="S1397">
            <v>-3.6130614058826893E-3</v>
          </cell>
          <cell r="T1397">
            <v>-1.419166817884232E-3</v>
          </cell>
          <cell r="U1397">
            <v>1.6713489717323782E-3</v>
          </cell>
          <cell r="V1397">
            <v>4.8649863649830039E-3</v>
          </cell>
          <cell r="W1397">
            <v>7.4037207538291128E-3</v>
          </cell>
          <cell r="X1397">
            <v>8.8006732003931276E-3</v>
          </cell>
          <cell r="Y1397">
            <v>8.9368041198190085E-3</v>
          </cell>
          <cell r="Z1397">
            <v>8.0081415074539919E-3</v>
          </cell>
          <cell r="AA1397">
            <v>6.3763076234568672E-3</v>
          </cell>
          <cell r="AB1397">
            <v>4.4281124970346752E-3</v>
          </cell>
          <cell r="AC1397">
            <v>2.4552062245497552E-3</v>
          </cell>
          <cell r="AD1397">
            <v>6.3064959403558163E-4</v>
          </cell>
          <cell r="AE1397">
            <v>-9.6864989143075064E-4</v>
          </cell>
          <cell r="AF1397">
            <v>-2.3577790237649943E-3</v>
          </cell>
          <cell r="AG1397">
            <v>-3.5120625861861932E-3</v>
          </cell>
          <cell r="AH1397">
            <v>-4.4349505473939566E-3</v>
          </cell>
          <cell r="AI1397">
            <v>-5.1221104917398286E-3</v>
          </cell>
          <cell r="AJ1397">
            <v>-5.5708176856850145E-3</v>
          </cell>
          <cell r="AK1397">
            <v>-5.7923328117048811E-3</v>
          </cell>
          <cell r="AL1397">
            <v>-5.8184379659542707E-3</v>
          </cell>
          <cell r="AM1397">
            <v>-5.6986860524910199E-3</v>
          </cell>
          <cell r="AN1397">
            <v>-5.4915283471457244E-3</v>
          </cell>
          <cell r="AO1397">
            <v>-5.2529987594307492E-3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1.3554110905289463E-2</v>
          </cell>
          <cell r="M1398">
            <v>3.1514391347120529E-2</v>
          </cell>
          <cell r="N1398">
            <v>0.11425065473451568</v>
          </cell>
          <cell r="O1398">
            <v>0.27879023867978248</v>
          </cell>
          <cell r="P1398">
            <v>0.50256173581908481</v>
          </cell>
          <cell r="Q1398">
            <v>0.73916181224791266</v>
          </cell>
          <cell r="R1398">
            <v>0.9457867779827156</v>
          </cell>
          <cell r="S1398">
            <v>1.091666772357458</v>
          </cell>
          <cell r="T1398">
            <v>1.1656245871036974</v>
          </cell>
          <cell r="U1398">
            <v>1.1741597143765325</v>
          </cell>
          <cell r="V1398">
            <v>1.1340158322550975</v>
          </cell>
          <cell r="W1398">
            <v>1.0637621302504563</v>
          </cell>
          <cell r="X1398">
            <v>0.97799471160466833</v>
          </cell>
          <cell r="Y1398">
            <v>0.88542994230611516</v>
          </cell>
          <cell r="Z1398">
            <v>0.7901242136308273</v>
          </cell>
          <cell r="AA1398">
            <v>0.69365789289119739</v>
          </cell>
          <cell r="AB1398">
            <v>0.59867092844685388</v>
          </cell>
          <cell r="AC1398">
            <v>0.50844105721048471</v>
          </cell>
          <cell r="AD1398">
            <v>0.42709247002470363</v>
          </cell>
          <cell r="AE1398">
            <v>0.35869031093076487</v>
          </cell>
          <cell r="AF1398">
            <v>0.30629218922935131</v>
          </cell>
          <cell r="AG1398">
            <v>0.27108140576919126</v>
          </cell>
          <cell r="AH1398">
            <v>0.2517348012368581</v>
          </cell>
          <cell r="AI1398">
            <v>0.2451334386047721</v>
          </cell>
          <cell r="AJ1398">
            <v>0.24734360419480517</v>
          </cell>
          <cell r="AK1398">
            <v>0.25450596081653121</v>
          </cell>
          <cell r="AL1398">
            <v>0.26339549676426266</v>
          </cell>
          <cell r="AM1398">
            <v>0.27160723432173572</v>
          </cell>
          <cell r="AN1398">
            <v>0.27750433811293274</v>
          </cell>
          <cell r="AO1398">
            <v>0.28003924324011553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-2.0323494148299925E-2</v>
          </cell>
          <cell r="M1399">
            <v>-0.28665988335376813</v>
          </cell>
          <cell r="N1399">
            <v>-0.56998778625332314</v>
          </cell>
          <cell r="O1399">
            <v>-0.74491039624557942</v>
          </cell>
          <cell r="P1399">
            <v>-0.75324949880124503</v>
          </cell>
          <cell r="Q1399">
            <v>-0.63029657563642427</v>
          </cell>
          <cell r="R1399">
            <v>-0.42416462526654319</v>
          </cell>
          <cell r="S1399">
            <v>-0.20319424786112705</v>
          </cell>
          <cell r="T1399">
            <v>-2.0546687665889962E-2</v>
          </cell>
          <cell r="U1399">
            <v>9.9410963560675469E-2</v>
          </cell>
          <cell r="V1399">
            <v>0.15966746327598091</v>
          </cell>
          <cell r="W1399">
            <v>0.17895256800839476</v>
          </cell>
          <cell r="X1399">
            <v>0.17823473151046265</v>
          </cell>
          <cell r="Y1399">
            <v>0.17155060716467219</v>
          </cell>
          <cell r="Z1399">
            <v>0.16467887375546386</v>
          </cell>
          <cell r="AA1399">
            <v>0.15135685003861976</v>
          </cell>
          <cell r="AB1399">
            <v>0.1293603543336852</v>
          </cell>
          <cell r="AC1399">
            <v>9.5556719142542157E-2</v>
          </cell>
          <cell r="AD1399">
            <v>5.0490261084101817E-2</v>
          </cell>
          <cell r="AE1399">
            <v>-1.631573055227431E-3</v>
          </cell>
          <cell r="AF1399">
            <v>-5.4537892456418824E-2</v>
          </cell>
          <cell r="AG1399">
            <v>-0.10015931807569878</v>
          </cell>
          <cell r="AH1399">
            <v>-0.13383340948555089</v>
          </cell>
          <cell r="AI1399">
            <v>-0.15424938634260865</v>
          </cell>
          <cell r="AJ1399">
            <v>-0.16277291422802653</v>
          </cell>
          <cell r="AK1399">
            <v>-0.16215641144290416</v>
          </cell>
          <cell r="AL1399">
            <v>-0.15533374740210881</v>
          </cell>
          <cell r="AM1399">
            <v>-0.1447545878997536</v>
          </cell>
          <cell r="AN1399">
            <v>-0.13209196007955004</v>
          </cell>
          <cell r="AO1399">
            <v>-0.11831560142095965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1.3553759487106021E-2</v>
          </cell>
          <cell r="M1400">
            <v>3.1509910317217837E-2</v>
          </cell>
          <cell r="N1400">
            <v>0.1142392381774826</v>
          </cell>
          <cell r="O1400">
            <v>0.27877180946049851</v>
          </cell>
          <cell r="P1400">
            <v>0.50253890475058238</v>
          </cell>
          <cell r="Q1400">
            <v>0.73913806995247189</v>
          </cell>
          <cell r="R1400">
            <v>0.9457652411436257</v>
          </cell>
          <cell r="S1400">
            <v>1.0916493457146625</v>
          </cell>
          <cell r="T1400">
            <v>1.1656118278887018</v>
          </cell>
          <cell r="U1400">
            <v>1.1741511481807132</v>
          </cell>
          <cell r="V1400">
            <v>1.1340105637069664</v>
          </cell>
          <cell r="W1400">
            <v>1.0637593491244157</v>
          </cell>
          <cell r="X1400">
            <v>0.97799397005153832</v>
          </cell>
          <cell r="Y1400">
            <v>0.88543099144160475</v>
          </cell>
          <cell r="Z1400">
            <v>0.79012699118246044</v>
          </cell>
          <cell r="AA1400">
            <v>0.69366223457603127</v>
          </cell>
          <cell r="AB1400">
            <v>0.5986765095157498</v>
          </cell>
          <cell r="AC1400">
            <v>0.50844739681370488</v>
          </cell>
          <cell r="AD1400">
            <v>0.4270991346962516</v>
          </cell>
          <cell r="AE1400">
            <v>0.35869697962103153</v>
          </cell>
          <cell r="AF1400">
            <v>0.3062983752002868</v>
          </cell>
          <cell r="AG1400">
            <v>0.27108720322031044</v>
          </cell>
          <cell r="AH1400">
            <v>0.25174021867904184</v>
          </cell>
          <cell r="AI1400">
            <v>0.24513881388357195</v>
          </cell>
          <cell r="AJ1400">
            <v>0.24734918898163816</v>
          </cell>
          <cell r="AK1400">
            <v>0.25451203519746279</v>
          </cell>
          <cell r="AL1400">
            <v>0.26340219889922079</v>
          </cell>
          <cell r="AM1400">
            <v>0.27161487543063689</v>
          </cell>
          <cell r="AN1400">
            <v>0.27751325297176166</v>
          </cell>
          <cell r="AO1400">
            <v>0.28004942264154842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-2.8334251340877969E-2</v>
          </cell>
          <cell r="M1401">
            <v>-0.34601688137168018</v>
          </cell>
          <cell r="N1401">
            <v>-0.71867373751280939</v>
          </cell>
          <cell r="O1401">
            <v>-0.99162964652819152</v>
          </cell>
          <cell r="P1401">
            <v>-1.0836861265187347</v>
          </cell>
          <cell r="Q1401">
            <v>-1.0168559597391713</v>
          </cell>
          <cell r="R1401">
            <v>-0.83907993831600081</v>
          </cell>
          <cell r="S1401">
            <v>-0.62338316209761269</v>
          </cell>
          <cell r="T1401">
            <v>-0.43071670967284037</v>
          </cell>
          <cell r="U1401">
            <v>-0.29250831070113392</v>
          </cell>
          <cell r="V1401">
            <v>-0.20996198740006466</v>
          </cell>
          <cell r="W1401">
            <v>-0.16571346367194595</v>
          </cell>
          <cell r="X1401">
            <v>-0.13863487378680261</v>
          </cell>
          <cell r="Y1401">
            <v>-0.11448446321445926</v>
          </cell>
          <cell r="Z1401">
            <v>-8.835276209385734E-2</v>
          </cell>
          <cell r="AA1401">
            <v>-6.7648222451288653E-2</v>
          </cell>
          <cell r="AB1401">
            <v>-5.766221419544193E-2</v>
          </cell>
          <cell r="AC1401">
            <v>-6.3629317343194547E-2</v>
          </cell>
          <cell r="AD1401">
            <v>-8.6649184975340354E-2</v>
          </cell>
          <cell r="AE1401">
            <v>-0.12337256662636742</v>
          </cell>
          <cell r="AF1401">
            <v>-0.16688485201489245</v>
          </cell>
          <cell r="AG1401">
            <v>-0.20831997269111779</v>
          </cell>
          <cell r="AH1401">
            <v>-0.24139996360705851</v>
          </cell>
          <cell r="AI1401">
            <v>-0.26335085199924446</v>
          </cell>
          <cell r="AJ1401">
            <v>-0.27434864365879497</v>
          </cell>
          <cell r="AK1401">
            <v>-0.27624674955297746</v>
          </cell>
          <cell r="AL1401">
            <v>-0.27131876181620829</v>
          </cell>
          <cell r="AM1401">
            <v>-0.26152495644409246</v>
          </cell>
          <cell r="AN1401">
            <v>-0.24817774166501216</v>
          </cell>
          <cell r="AO1401">
            <v>-0.23200315269381599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8.0281028061390813E-2</v>
          </cell>
          <cell r="M1402">
            <v>0.11690155163655014</v>
          </cell>
          <cell r="N1402">
            <v>9.2440279555239258E-2</v>
          </cell>
          <cell r="O1402">
            <v>2.0646993836570537E-2</v>
          </cell>
          <cell r="P1402">
            <v>-7.1917138108557044E-2</v>
          </cell>
          <cell r="Q1402">
            <v>-0.16041014893715122</v>
          </cell>
          <cell r="R1402">
            <v>-0.22721944400115879</v>
          </cell>
          <cell r="S1402">
            <v>-0.26579770940864389</v>
          </cell>
          <cell r="T1402">
            <v>-0.27896202167784212</v>
          </cell>
          <cell r="U1402">
            <v>-0.27460913449739444</v>
          </cell>
          <cell r="V1402">
            <v>-0.26125282968768593</v>
          </cell>
          <cell r="W1402">
            <v>-0.24499255205371329</v>
          </cell>
          <cell r="X1402">
            <v>-0.22860562756803482</v>
          </cell>
          <cell r="Y1402">
            <v>-0.21232699879816241</v>
          </cell>
          <cell r="Z1402">
            <v>-0.19525606707284648</v>
          </cell>
          <cell r="AA1402">
            <v>-0.1770530577461793</v>
          </cell>
          <cell r="AB1402">
            <v>-0.15820213105188774</v>
          </cell>
          <cell r="AC1402">
            <v>-0.14006026462801691</v>
          </cell>
          <cell r="AD1402">
            <v>-0.1243672748957203</v>
          </cell>
          <cell r="AE1402">
            <v>-0.11270377493809436</v>
          </cell>
          <cell r="AF1402">
            <v>-0.10574907183368287</v>
          </cell>
          <cell r="AG1402">
            <v>-0.10349198393537762</v>
          </cell>
          <cell r="AH1402">
            <v>-0.10513928537501105</v>
          </cell>
          <cell r="AI1402">
            <v>-0.10950675493741624</v>
          </cell>
          <cell r="AJ1402">
            <v>-0.11541412449076471</v>
          </cell>
          <cell r="AK1402">
            <v>-0.12193806538851604</v>
          </cell>
          <cell r="AL1402">
            <v>-0.12848353589126615</v>
          </cell>
          <cell r="AM1402">
            <v>-0.1347272120647891</v>
          </cell>
          <cell r="AN1402">
            <v>-0.14050511102865482</v>
          </cell>
          <cell r="AO1402">
            <v>-0.14570765100292427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22.228269999999611</v>
          </cell>
          <cell r="M1403">
            <v>32.48182000000088</v>
          </cell>
          <cell r="N1403">
            <v>25.781080000000657</v>
          </cell>
          <cell r="O1403">
            <v>5.7810400000016671</v>
          </cell>
          <cell r="P1403">
            <v>-20.231129999996483</v>
          </cell>
          <cell r="Q1403">
            <v>-45.336559999999736</v>
          </cell>
          <cell r="R1403">
            <v>-64.51415999999881</v>
          </cell>
          <cell r="S1403">
            <v>-75.800320000002102</v>
          </cell>
          <cell r="T1403">
            <v>-79.884159999997792</v>
          </cell>
          <cell r="U1403">
            <v>-78.941910000001371</v>
          </cell>
          <cell r="V1403">
            <v>-75.375489999998535</v>
          </cell>
          <cell r="W1403">
            <v>-70.929490000002261</v>
          </cell>
          <cell r="X1403">
            <v>-66.408350000001519</v>
          </cell>
          <cell r="Y1403">
            <v>-61.884480000000622</v>
          </cell>
          <cell r="Z1403">
            <v>-57.071209999998246</v>
          </cell>
          <cell r="AA1403">
            <v>-51.904109999999491</v>
          </cell>
          <cell r="AB1403">
            <v>-46.521709999997256</v>
          </cell>
          <cell r="AC1403">
            <v>-41.319229999997333</v>
          </cell>
          <cell r="AD1403">
            <v>-36.810839999998279</v>
          </cell>
          <cell r="AE1403">
            <v>-33.423810000000231</v>
          </cell>
          <cell r="AF1403">
            <v>-31.424749999998312</v>
          </cell>
          <cell r="AG1403">
            <v>-30.817049999997835</v>
          </cell>
          <cell r="AH1403">
            <v>-31.372480000001815</v>
          </cell>
          <cell r="AI1403">
            <v>-32.744889999998122</v>
          </cell>
          <cell r="AJ1403">
            <v>-34.586250000000291</v>
          </cell>
          <cell r="AK1403">
            <v>-36.62217999999848</v>
          </cell>
          <cell r="AL1403">
            <v>-38.674279999999271</v>
          </cell>
          <cell r="AM1403">
            <v>-40.644459999999526</v>
          </cell>
          <cell r="AN1403">
            <v>-42.482189999998809</v>
          </cell>
          <cell r="AO1403">
            <v>-44.153350000000501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-5.9786109999999948E-2</v>
          </cell>
          <cell r="M1404">
            <v>-8.2251829999999138E-2</v>
          </cell>
          <cell r="N1404">
            <v>-5.9837869999999904E-2</v>
          </cell>
          <cell r="O1404">
            <v>-6.0585499999987746E-3</v>
          </cell>
          <cell r="P1404">
            <v>5.8745840000000438E-2</v>
          </cell>
          <cell r="Q1404">
            <v>0.11751974000000082</v>
          </cell>
          <cell r="R1404">
            <v>0.15913065000000004</v>
          </cell>
          <cell r="S1404">
            <v>0.18053132999999999</v>
          </cell>
          <cell r="T1404">
            <v>0.18496765000000082</v>
          </cell>
          <cell r="U1404">
            <v>0.1786580900000001</v>
          </cell>
          <cell r="V1404">
            <v>0.1676422599999991</v>
          </cell>
          <cell r="W1404">
            <v>0.15584372999999929</v>
          </cell>
          <cell r="X1404">
            <v>0.14470949999999955</v>
          </cell>
          <cell r="Y1404">
            <v>0.13398462000000083</v>
          </cell>
          <cell r="Z1404">
            <v>0.12285158999999907</v>
          </cell>
          <cell r="AA1404">
            <v>0.11088744999999955</v>
          </cell>
          <cell r="AB1404">
            <v>9.8577159999999053E-2</v>
          </cell>
          <cell r="AC1404">
            <v>8.6897550000000767E-2</v>
          </cell>
          <cell r="AD1404">
            <v>7.7049839999999981E-2</v>
          </cell>
          <cell r="AE1404">
            <v>7.0136009999999249E-2</v>
          </cell>
          <cell r="AF1404">
            <v>6.6351220000000766E-2</v>
          </cell>
          <cell r="AG1404">
            <v>6.5675569999999739E-2</v>
          </cell>
          <cell r="AH1404">
            <v>6.746724000000065E-2</v>
          </cell>
          <cell r="AI1404">
            <v>7.0869469999999823E-2</v>
          </cell>
          <cell r="AJ1404">
            <v>7.5083410000000017E-2</v>
          </cell>
          <cell r="AK1404">
            <v>7.9524209999999595E-2</v>
          </cell>
          <cell r="AL1404">
            <v>8.3846149999999842E-2</v>
          </cell>
          <cell r="AM1404">
            <v>8.7884219999999347E-2</v>
          </cell>
          <cell r="AN1404">
            <v>9.1567470000000761E-2</v>
          </cell>
          <cell r="AO1404">
            <v>9.4845699999999977E-2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-3.7269036081109125E-2</v>
          </cell>
          <cell r="M1405">
            <v>2.5572792955400395E-2</v>
          </cell>
          <cell r="N1405">
            <v>0.11789863520631008</v>
          </cell>
          <cell r="O1405">
            <v>0.19497031018344771</v>
          </cell>
          <cell r="P1405">
            <v>0.23063811775613993</v>
          </cell>
          <cell r="Q1405">
            <v>0.22440296782657368</v>
          </cell>
          <cell r="R1405">
            <v>0.18513656460138142</v>
          </cell>
          <cell r="S1405">
            <v>0.12978780870126633</v>
          </cell>
          <cell r="T1405">
            <v>7.4331841633386297E-2</v>
          </cell>
          <cell r="U1405">
            <v>2.8671352380908732E-2</v>
          </cell>
          <cell r="V1405">
            <v>-4.496614413973532E-3</v>
          </cell>
          <cell r="W1405">
            <v>-2.755581014354351E-2</v>
          </cell>
          <cell r="X1405">
            <v>-4.466909633157462E-2</v>
          </cell>
          <cell r="Y1405">
            <v>-5.9111976077728771E-2</v>
          </cell>
          <cell r="Z1405">
            <v>-7.2238130639041248E-2</v>
          </cell>
          <cell r="AA1405">
            <v>-8.3101582371373009E-2</v>
          </cell>
          <cell r="AB1405">
            <v>-9.0387165107517001E-2</v>
          </cell>
          <cell r="AC1405">
            <v>-9.304659200763607E-2</v>
          </cell>
          <cell r="AD1405">
            <v>-9.0883436833291531E-2</v>
          </cell>
          <cell r="AE1405">
            <v>-8.4694161116592198E-2</v>
          </cell>
          <cell r="AF1405">
            <v>-7.6294926192568668E-2</v>
          </cell>
          <cell r="AG1405">
            <v>-6.7935430217038434E-2</v>
          </cell>
          <cell r="AH1405">
            <v>-6.1359573451987871E-2</v>
          </cell>
          <cell r="AI1405">
            <v>-5.7549398788962064E-2</v>
          </cell>
          <cell r="AJ1405">
            <v>-5.6746768313981413E-2</v>
          </cell>
          <cell r="AK1405">
            <v>-5.868866119559165E-2</v>
          </cell>
          <cell r="AL1405">
            <v>-6.2888199880951734E-2</v>
          </cell>
          <cell r="AM1405">
            <v>-6.8830573118417754E-2</v>
          </cell>
          <cell r="AN1405">
            <v>-7.6086563214425654E-2</v>
          </cell>
          <cell r="AO1405">
            <v>-8.4334204959095327E-2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1.601844653170998E-2</v>
          </cell>
          <cell r="M1406">
            <v>2.0943078089669109E-3</v>
          </cell>
          <cell r="N1406">
            <v>-1.4577171708776704E-2</v>
          </cell>
          <cell r="O1406">
            <v>-2.9694863159000252E-2</v>
          </cell>
          <cell r="P1406">
            <v>-4.134690018732963E-2</v>
          </cell>
          <cell r="Q1406">
            <v>-4.8797267440777586E-2</v>
          </cell>
          <cell r="R1406">
            <v>-5.1788918028339466E-2</v>
          </cell>
          <cell r="S1406">
            <v>-5.0627486550629958E-2</v>
          </cell>
          <cell r="T1406">
            <v>-4.601117885898072E-2</v>
          </cell>
          <cell r="U1406">
            <v>-3.8881055847892962E-2</v>
          </cell>
          <cell r="V1406">
            <v>-3.0149023634785076E-2</v>
          </cell>
          <cell r="W1406">
            <v>-2.0633212990161555E-2</v>
          </cell>
          <cell r="X1406">
            <v>-1.1022964654793486E-2</v>
          </cell>
          <cell r="Y1406">
            <v>-1.8580896698285748E-3</v>
          </cell>
          <cell r="Z1406">
            <v>6.4660544561216671E-3</v>
          </cell>
          <cell r="AA1406">
            <v>1.3770908501281078E-2</v>
          </cell>
          <cell r="AB1406">
            <v>1.9925041643117404E-2</v>
          </cell>
          <cell r="AC1406">
            <v>2.492704046552479E-2</v>
          </cell>
          <cell r="AD1406">
            <v>2.8870491656196769E-2</v>
          </cell>
          <cell r="AE1406">
            <v>3.1939879714726685E-2</v>
          </cell>
          <cell r="AF1406">
            <v>3.4324333647109233E-2</v>
          </cell>
          <cell r="AG1406">
            <v>3.6313317895081583E-2</v>
          </cell>
          <cell r="AH1406">
            <v>3.8155880647516849E-2</v>
          </cell>
          <cell r="AI1406">
            <v>4.0084786557553764E-2</v>
          </cell>
          <cell r="AJ1406">
            <v>4.2291498451937568E-2</v>
          </cell>
          <cell r="AK1406">
            <v>4.4916220924500622E-2</v>
          </cell>
          <cell r="AL1406">
            <v>4.8043579276779713E-2</v>
          </cell>
          <cell r="AM1406">
            <v>5.1696899926651808E-2</v>
          </cell>
          <cell r="AN1406">
            <v>5.5851755639060169E-2</v>
          </cell>
          <cell r="AO1406">
            <v>6.0449768754412825E-2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-2.9696130906294721E-2</v>
          </cell>
          <cell r="M1407">
            <v>1.859075377416506E-2</v>
          </cell>
          <cell r="N1407">
            <v>9.539638242418505E-2</v>
          </cell>
          <cell r="O1407">
            <v>0.15903157858439404</v>
          </cell>
          <cell r="P1407">
            <v>0.18474625597197977</v>
          </cell>
          <cell r="Q1407">
            <v>0.17428911557923268</v>
          </cell>
          <cell r="R1407">
            <v>0.1373680214842429</v>
          </cell>
          <cell r="S1407">
            <v>9.1299127452169032E-2</v>
          </cell>
          <cell r="T1407">
            <v>5.128437531989067E-2</v>
          </cell>
          <cell r="U1407">
            <v>2.5459816515147754E-2</v>
          </cell>
          <cell r="V1407">
            <v>1.4402890312827793E-2</v>
          </cell>
          <cell r="W1407">
            <v>1.3735768619312257E-2</v>
          </cell>
          <cell r="X1407">
            <v>1.7754984687047039E-2</v>
          </cell>
          <cell r="Y1407">
            <v>2.2216567157314071E-2</v>
          </cell>
          <cell r="Z1407">
            <v>2.5123652898190359E-2</v>
          </cell>
          <cell r="AA1407">
            <v>2.7816822820523474E-2</v>
          </cell>
          <cell r="AB1407">
            <v>3.1234841731514907E-2</v>
          </cell>
          <cell r="AC1407">
            <v>3.6655464273213909E-2</v>
          </cell>
          <cell r="AD1407">
            <v>4.4552320452413266E-2</v>
          </cell>
          <cell r="AE1407">
            <v>5.4438433228867704E-2</v>
          </cell>
          <cell r="AF1407">
            <v>6.4936245057773873E-2</v>
          </cell>
          <cell r="AG1407">
            <v>7.4286025561704036E-2</v>
          </cell>
          <cell r="AH1407">
            <v>8.1300519598761917E-2</v>
          </cell>
          <cell r="AI1407">
            <v>8.5575709197957081E-2</v>
          </cell>
          <cell r="AJ1407">
            <v>8.7386583638608309E-2</v>
          </cell>
          <cell r="AK1407">
            <v>8.7390450738722841E-2</v>
          </cell>
          <cell r="AL1407">
            <v>8.6314696394006421E-2</v>
          </cell>
          <cell r="AM1407">
            <v>8.4760852950402241E-2</v>
          </cell>
          <cell r="AN1407">
            <v>8.3114892382590233E-2</v>
          </cell>
          <cell r="AO1407">
            <v>8.1557180630498091E-2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-2.9998876375243386E-2</v>
          </cell>
          <cell r="M1408">
            <v>3.0127506354158534E-2</v>
          </cell>
          <cell r="N1408">
            <v>0.22869313373441238</v>
          </cell>
          <cell r="O1408">
            <v>0.39360446564085172</v>
          </cell>
          <cell r="P1408">
            <v>0.4617434163620725</v>
          </cell>
          <cell r="Q1408">
            <v>0.42646947092471676</v>
          </cell>
          <cell r="R1408">
            <v>0.32449619447101274</v>
          </cell>
          <cell r="S1408">
            <v>0.19492107441346287</v>
          </cell>
          <cell r="T1408">
            <v>7.9264883808819603E-2</v>
          </cell>
          <cell r="U1408">
            <v>8.643794368084351E-4</v>
          </cell>
          <cell r="V1408">
            <v>-3.728390065667643E-2</v>
          </cell>
          <cell r="W1408">
            <v>-4.6103120414114906E-2</v>
          </cell>
          <cell r="X1408">
            <v>-4.078935998705277E-2</v>
          </cell>
          <cell r="Y1408">
            <v>-3.3116663168823376E-2</v>
          </cell>
          <cell r="Z1408">
            <v>-2.8446498755147973E-2</v>
          </cell>
          <cell r="AA1408">
            <v>-2.5425805820916345E-2</v>
          </cell>
          <cell r="AB1408">
            <v>-1.9155561031025323E-2</v>
          </cell>
          <cell r="AC1408">
            <v>-7.5860961080326944E-3</v>
          </cell>
          <cell r="AD1408">
            <v>1.0861278554543871E-2</v>
          </cell>
          <cell r="AE1408">
            <v>3.4981229844135639E-2</v>
          </cell>
          <cell r="AF1408">
            <v>6.179533026102052E-2</v>
          </cell>
          <cell r="AG1408">
            <v>8.6911495545327969E-2</v>
          </cell>
          <cell r="AH1408">
            <v>0.10642471692370384</v>
          </cell>
          <cell r="AI1408">
            <v>0.11907339636967572</v>
          </cell>
          <cell r="AJ1408">
            <v>0.12543655453199248</v>
          </cell>
          <cell r="AK1408">
            <v>0.12715008318399218</v>
          </cell>
          <cell r="AL1408">
            <v>0.12604296507446652</v>
          </cell>
          <cell r="AM1408">
            <v>0.12357150816485647</v>
          </cell>
          <cell r="AN1408">
            <v>0.12063836354943863</v>
          </cell>
          <cell r="AO1408">
            <v>0.11764098564069955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-4.9650223913277891E-2</v>
          </cell>
          <cell r="M1409">
            <v>-0.2391807787000988</v>
          </cell>
          <cell r="N1409">
            <v>-0.27805486654396416</v>
          </cell>
          <cell r="O1409">
            <v>-0.12979404230447633</v>
          </cell>
          <cell r="P1409">
            <v>0.15000056804930217</v>
          </cell>
          <cell r="Q1409">
            <v>0.45847617903607141</v>
          </cell>
          <cell r="R1409">
            <v>0.72305805071448681</v>
          </cell>
          <cell r="S1409">
            <v>0.89774824406853027</v>
          </cell>
          <cell r="T1409">
            <v>0.97905946274986499</v>
          </cell>
          <cell r="U1409">
            <v>0.9938263122316715</v>
          </cell>
          <cell r="V1409">
            <v>0.97937758272500508</v>
          </cell>
          <cell r="W1409">
            <v>0.96615019069299368</v>
          </cell>
          <cell r="X1409">
            <v>0.96926570795082823</v>
          </cell>
          <cell r="Y1409">
            <v>0.98931533315381737</v>
          </cell>
          <cell r="Z1409">
            <v>1.0195012430114003</v>
          </cell>
          <cell r="AA1409">
            <v>1.0488837170696708</v>
          </cell>
          <cell r="AB1409">
            <v>1.0751804067502868</v>
          </cell>
          <cell r="AC1409">
            <v>1.0984946710674848</v>
          </cell>
          <cell r="AD1409">
            <v>1.1229273614256963</v>
          </cell>
          <cell r="AE1409">
            <v>1.1563929504667447</v>
          </cell>
          <cell r="AF1409">
            <v>1.1991965221472722</v>
          </cell>
          <cell r="AG1409">
            <v>1.2555522079282566</v>
          </cell>
          <cell r="AH1409">
            <v>1.3230824903889493</v>
          </cell>
          <cell r="AI1409">
            <v>1.3975517174268481</v>
          </cell>
          <cell r="AJ1409">
            <v>1.474628728464078</v>
          </cell>
          <cell r="AK1409">
            <v>1.5511379127837066</v>
          </cell>
          <cell r="AL1409">
            <v>1.6254561435426029</v>
          </cell>
          <cell r="AM1409">
            <v>1.6972164740081008</v>
          </cell>
          <cell r="AN1409">
            <v>1.7667676293069423</v>
          </cell>
          <cell r="AO1409">
            <v>1.8346136851629669</v>
          </cell>
        </row>
        <row r="1410">
          <cell r="C1410" t="str">
            <v>PIB</v>
          </cell>
          <cell r="E1410" t="str">
            <v>GDP_2</v>
          </cell>
          <cell r="F1410">
            <v>2199527.2370000002</v>
          </cell>
          <cell r="G1410">
            <v>2224516.25</v>
          </cell>
          <cell r="H1410">
            <v>2258093.6910000001</v>
          </cell>
          <cell r="I1410">
            <v>2294147.773</v>
          </cell>
          <cell r="J1410">
            <v>2330065.2549999999</v>
          </cell>
          <cell r="K1410">
            <v>2365743.8220000002</v>
          </cell>
          <cell r="L1410">
            <v>2398969.1630000002</v>
          </cell>
          <cell r="M1410">
            <v>2431334.0210000002</v>
          </cell>
          <cell r="N1410">
            <v>2462905.5219999999</v>
          </cell>
          <cell r="O1410">
            <v>2495364.0780000002</v>
          </cell>
          <cell r="P1410">
            <v>2532766.94</v>
          </cell>
          <cell r="Q1410">
            <v>2570708.1150000002</v>
          </cell>
          <cell r="R1410">
            <v>2611239.5189999999</v>
          </cell>
          <cell r="S1410">
            <v>2652969.4449999998</v>
          </cell>
          <cell r="T1410">
            <v>2695231.6069999998</v>
          </cell>
          <cell r="U1410">
            <v>2737755.4330000002</v>
          </cell>
          <cell r="V1410">
            <v>2780582.6979999999</v>
          </cell>
          <cell r="W1410">
            <v>2823931.176</v>
          </cell>
          <cell r="X1410">
            <v>2868037.696</v>
          </cell>
          <cell r="Y1410">
            <v>2913044.4169999999</v>
          </cell>
          <cell r="Z1410">
            <v>2956554.787</v>
          </cell>
          <cell r="AA1410">
            <v>3002903.716</v>
          </cell>
          <cell r="AB1410">
            <v>3050046.7859999998</v>
          </cell>
          <cell r="AC1410">
            <v>3097966.9649999999</v>
          </cell>
          <cell r="AD1410">
            <v>3146514.6549999998</v>
          </cell>
          <cell r="AE1410">
            <v>3187455.5970000001</v>
          </cell>
          <cell r="AF1410">
            <v>3233817.8930000002</v>
          </cell>
          <cell r="AG1410">
            <v>3279927.9670000002</v>
          </cell>
          <cell r="AH1410">
            <v>3326707.8840000001</v>
          </cell>
          <cell r="AI1410">
            <v>3374396.8560000001</v>
          </cell>
          <cell r="AJ1410">
            <v>3422913.179</v>
          </cell>
          <cell r="AK1410">
            <v>3472073.7579999999</v>
          </cell>
          <cell r="AL1410">
            <v>3521741.2990000001</v>
          </cell>
          <cell r="AM1410">
            <v>3571889.9079999998</v>
          </cell>
          <cell r="AN1410">
            <v>3622597.6140000001</v>
          </cell>
          <cell r="AO1410">
            <v>3673991.665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-4.4953596400887363E-8</v>
          </cell>
          <cell r="H1411">
            <v>4.4285131117760557E-8</v>
          </cell>
          <cell r="I1411">
            <v>0</v>
          </cell>
          <cell r="J1411">
            <v>0</v>
          </cell>
          <cell r="K1411">
            <v>4.2269987510223928E-8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-3.6526281999016419E-8</v>
          </cell>
          <cell r="V1411">
            <v>0</v>
          </cell>
          <cell r="W1411">
            <v>0</v>
          </cell>
          <cell r="X1411">
            <v>0</v>
          </cell>
          <cell r="Y1411">
            <v>-3.4328340170475258E-8</v>
          </cell>
          <cell r="Z1411">
            <v>0</v>
          </cell>
          <cell r="AA1411">
            <v>0</v>
          </cell>
          <cell r="AB1411">
            <v>0</v>
          </cell>
          <cell r="AC1411">
            <v>-3.2279223738385099E-8</v>
          </cell>
          <cell r="AD1411">
            <v>-3.17811887917685E-8</v>
          </cell>
          <cell r="AE1411">
            <v>0</v>
          </cell>
          <cell r="AF1411">
            <v>0</v>
          </cell>
          <cell r="AG1411">
            <v>-3.0488478408585706E-8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-2.8395052975582757E-8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1184352.5120000001</v>
          </cell>
          <cell r="G1412">
            <v>1211719.2960000001</v>
          </cell>
          <cell r="H1412">
            <v>1239321.368</v>
          </cell>
          <cell r="I1412">
            <v>1269672.8049999999</v>
          </cell>
          <cell r="J1412">
            <v>1304261.5919999999</v>
          </cell>
          <cell r="K1412">
            <v>1343585.497</v>
          </cell>
          <cell r="L1412">
            <v>1386205.4580000001</v>
          </cell>
          <cell r="M1412">
            <v>1435860.541</v>
          </cell>
          <cell r="N1412">
            <v>1493423.415</v>
          </cell>
          <cell r="O1412">
            <v>1553510.5549999999</v>
          </cell>
          <cell r="P1412">
            <v>1615725.084</v>
          </cell>
          <cell r="Q1412">
            <v>1674430.497</v>
          </cell>
          <cell r="R1412">
            <v>1734111.4240000001</v>
          </cell>
          <cell r="S1412">
            <v>1795951.9820000001</v>
          </cell>
          <cell r="T1412">
            <v>1860765.3470000001</v>
          </cell>
          <cell r="U1412">
            <v>1928711.7649999999</v>
          </cell>
          <cell r="V1412">
            <v>1999404.9979999999</v>
          </cell>
          <cell r="W1412">
            <v>2072207.7860000001</v>
          </cell>
          <cell r="X1412">
            <v>2146568.3420000002</v>
          </cell>
          <cell r="Y1412">
            <v>2222243.92</v>
          </cell>
          <cell r="Z1412">
            <v>2297329.8229999999</v>
          </cell>
          <cell r="AA1412">
            <v>2376685.4330000002</v>
          </cell>
          <cell r="AB1412">
            <v>2457639.9900000002</v>
          </cell>
          <cell r="AC1412">
            <v>2540820.0559999999</v>
          </cell>
          <cell r="AD1412">
            <v>2626901.7779999999</v>
          </cell>
          <cell r="AE1412">
            <v>2709811.3730000001</v>
          </cell>
          <cell r="AF1412">
            <v>2800644.7220000001</v>
          </cell>
          <cell r="AG1412">
            <v>2893328.3280000002</v>
          </cell>
          <cell r="AH1412">
            <v>2987287.6140000001</v>
          </cell>
          <cell r="AI1412">
            <v>3082865.7149999999</v>
          </cell>
          <cell r="AJ1412">
            <v>3180805.0350000001</v>
          </cell>
          <cell r="AK1412">
            <v>3281873.2420000001</v>
          </cell>
          <cell r="AL1412">
            <v>3386582.702</v>
          </cell>
          <cell r="AM1412">
            <v>3495088.4249999998</v>
          </cell>
          <cell r="AN1412">
            <v>3607259.6540000001</v>
          </cell>
          <cell r="AO1412">
            <v>3722850.7420000001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1020616.37</v>
          </cell>
          <cell r="G1413">
            <v>1048020.129</v>
          </cell>
          <cell r="H1413">
            <v>1076024.118</v>
          </cell>
          <cell r="I1413">
            <v>1104393.023</v>
          </cell>
          <cell r="J1413">
            <v>1133606.246</v>
          </cell>
          <cell r="K1413">
            <v>1164626.94</v>
          </cell>
          <cell r="L1413">
            <v>1197962.6769999999</v>
          </cell>
          <cell r="M1413">
            <v>1235274.159</v>
          </cell>
          <cell r="N1413">
            <v>1276516.58</v>
          </cell>
          <cell r="O1413">
            <v>1321511.3659999999</v>
          </cell>
          <cell r="P1413">
            <v>1371247.1229999999</v>
          </cell>
          <cell r="Q1413">
            <v>1422536.9110000001</v>
          </cell>
          <cell r="R1413">
            <v>1476728.67</v>
          </cell>
          <cell r="S1413">
            <v>1533519.8219999999</v>
          </cell>
          <cell r="T1413">
            <v>1592779.1059999999</v>
          </cell>
          <cell r="U1413">
            <v>1654436.7709999999</v>
          </cell>
          <cell r="V1413">
            <v>1718414.8289999999</v>
          </cell>
          <cell r="W1413">
            <v>1784609.632</v>
          </cell>
          <cell r="X1413">
            <v>1852910.5020000001</v>
          </cell>
          <cell r="Y1413">
            <v>1923236.017</v>
          </cell>
          <cell r="Z1413">
            <v>1994007.6310000001</v>
          </cell>
          <cell r="AA1413">
            <v>2068178.2279999999</v>
          </cell>
          <cell r="AB1413">
            <v>2144482.1630000002</v>
          </cell>
          <cell r="AC1413">
            <v>2223085.7039999999</v>
          </cell>
          <cell r="AD1413">
            <v>2304237.648</v>
          </cell>
          <cell r="AE1413">
            <v>2382383.1159999999</v>
          </cell>
          <cell r="AF1413">
            <v>2466738.0869999998</v>
          </cell>
          <cell r="AG1413">
            <v>2553598.7039999999</v>
          </cell>
          <cell r="AH1413">
            <v>2642929.13</v>
          </cell>
          <cell r="AI1413">
            <v>2734816.2910000002</v>
          </cell>
          <cell r="AJ1413">
            <v>2829437.378</v>
          </cell>
          <cell r="AK1413">
            <v>2927033.6460000002</v>
          </cell>
          <cell r="AL1413">
            <v>3027867.3250000002</v>
          </cell>
          <cell r="AM1413">
            <v>3132178.2850000001</v>
          </cell>
          <cell r="AN1413">
            <v>3240156.5550000002</v>
          </cell>
          <cell r="AO1413">
            <v>3351939.432</v>
          </cell>
        </row>
        <row r="1414">
          <cell r="C1414" t="str">
            <v>Solde public</v>
          </cell>
          <cell r="E1414" t="str">
            <v>Bal_G_tot_VAL_2</v>
          </cell>
          <cell r="F1414">
            <v>-62149.696750000003</v>
          </cell>
          <cell r="G1414">
            <v>-59005.23704</v>
          </cell>
          <cell r="H1414">
            <v>-55653.058400000002</v>
          </cell>
          <cell r="I1414">
            <v>-54852.93705</v>
          </cell>
          <cell r="J1414">
            <v>-57485.853329999998</v>
          </cell>
          <cell r="K1414">
            <v>-62914.772019999997</v>
          </cell>
          <cell r="L1414">
            <v>-69053.257370000007</v>
          </cell>
          <cell r="M1414">
            <v>-77944.195689999993</v>
          </cell>
          <cell r="N1414">
            <v>-90367.438909999997</v>
          </cell>
          <cell r="O1414">
            <v>-100941.42110000001</v>
          </cell>
          <cell r="P1414">
            <v>-108373.122</v>
          </cell>
          <cell r="Q1414">
            <v>-110370.0912</v>
          </cell>
          <cell r="R1414">
            <v>-110340.7549</v>
          </cell>
          <cell r="S1414">
            <v>-109873.12270000001</v>
          </cell>
          <cell r="T1414">
            <v>-109933.5478</v>
          </cell>
          <cell r="U1414">
            <v>-110725.6237</v>
          </cell>
          <cell r="V1414">
            <v>-111904.5165</v>
          </cell>
          <cell r="W1414">
            <v>-112917.2764</v>
          </cell>
          <cell r="X1414">
            <v>-113331.0983</v>
          </cell>
          <cell r="Y1414">
            <v>-113014.60649999999</v>
          </cell>
          <cell r="Z1414">
            <v>-111678.1652</v>
          </cell>
          <cell r="AA1414">
            <v>-111279.26949999999</v>
          </cell>
          <cell r="AB1414">
            <v>-110365.9287</v>
          </cell>
          <cell r="AC1414">
            <v>-109424.1577</v>
          </cell>
          <cell r="AD1414">
            <v>-108882.7267</v>
          </cell>
          <cell r="AE1414">
            <v>-108202.71799999999</v>
          </cell>
          <cell r="AF1414">
            <v>-109270.9602</v>
          </cell>
          <cell r="AG1414">
            <v>-109630.4007</v>
          </cell>
          <cell r="AH1414">
            <v>-108777.74099999999</v>
          </cell>
          <cell r="AI1414">
            <v>-107029.7938</v>
          </cell>
          <cell r="AJ1414">
            <v>-104996.5368</v>
          </cell>
          <cell r="AK1414">
            <v>-103218.6488</v>
          </cell>
          <cell r="AL1414">
            <v>-101933.4985</v>
          </cell>
          <cell r="AM1414">
            <v>-101031.5855</v>
          </cell>
          <cell r="AN1414">
            <v>-100172.9651</v>
          </cell>
          <cell r="AO1414">
            <v>-98972.528160000002</v>
          </cell>
        </row>
        <row r="1415">
          <cell r="C1415" t="str">
            <v>Dette publique</v>
          </cell>
          <cell r="E1415" t="str">
            <v>DEBT_G_VAL_2</v>
          </cell>
          <cell r="F1415">
            <v>2093878.6029999999</v>
          </cell>
          <cell r="G1415">
            <v>2152883.84</v>
          </cell>
          <cell r="H1415">
            <v>2208536.8990000002</v>
          </cell>
          <cell r="I1415">
            <v>2263389.8360000001</v>
          </cell>
          <cell r="J1415">
            <v>2320875.6889999998</v>
          </cell>
          <cell r="K1415">
            <v>2383790.4610000001</v>
          </cell>
          <cell r="L1415">
            <v>2452843.7179999999</v>
          </cell>
          <cell r="M1415">
            <v>2530787.9139999999</v>
          </cell>
          <cell r="N1415">
            <v>2621155.3530000001</v>
          </cell>
          <cell r="O1415">
            <v>2722096.7740000002</v>
          </cell>
          <cell r="P1415">
            <v>2830469.8960000002</v>
          </cell>
          <cell r="Q1415">
            <v>2940839.9870000002</v>
          </cell>
          <cell r="R1415">
            <v>3051180.7420000001</v>
          </cell>
          <cell r="S1415">
            <v>3161053.8650000002</v>
          </cell>
          <cell r="T1415">
            <v>3270987.4130000002</v>
          </cell>
          <cell r="U1415">
            <v>3381713.0359999998</v>
          </cell>
          <cell r="V1415">
            <v>3493617.5529999998</v>
          </cell>
          <cell r="W1415">
            <v>3606534.8289999999</v>
          </cell>
          <cell r="X1415">
            <v>3719865.9270000001</v>
          </cell>
          <cell r="Y1415">
            <v>3832880.534</v>
          </cell>
          <cell r="Z1415">
            <v>3944558.699</v>
          </cell>
          <cell r="AA1415">
            <v>4055837.969</v>
          </cell>
          <cell r="AB1415">
            <v>4166203.8969999999</v>
          </cell>
          <cell r="AC1415">
            <v>4275628.0549999997</v>
          </cell>
          <cell r="AD1415">
            <v>4384510.7819999997</v>
          </cell>
          <cell r="AE1415">
            <v>4492713.5</v>
          </cell>
          <cell r="AF1415">
            <v>4601984.46</v>
          </cell>
          <cell r="AG1415">
            <v>4711614.8609999996</v>
          </cell>
          <cell r="AH1415">
            <v>4820392.602</v>
          </cell>
          <cell r="AI1415">
            <v>4927422.3959999997</v>
          </cell>
          <cell r="AJ1415">
            <v>5032418.932</v>
          </cell>
          <cell r="AK1415">
            <v>5135637.5810000002</v>
          </cell>
          <cell r="AL1415">
            <v>5237571.08</v>
          </cell>
          <cell r="AM1415">
            <v>5338602.665</v>
          </cell>
          <cell r="AN1415">
            <v>5438775.6299999999</v>
          </cell>
          <cell r="AO1415">
            <v>5537748.159</v>
          </cell>
        </row>
        <row r="1434">
          <cell r="F1434">
            <v>27376.288509999998</v>
          </cell>
          <cell r="G1434">
            <v>27367.35829</v>
          </cell>
          <cell r="H1434">
            <v>27379.091649999998</v>
          </cell>
          <cell r="I1434">
            <v>27427.834900000002</v>
          </cell>
          <cell r="J1434">
            <v>27502.841369999998</v>
          </cell>
          <cell r="K1434">
            <v>27595.689839999999</v>
          </cell>
          <cell r="L1434">
            <v>27710.3017</v>
          </cell>
          <cell r="M1434">
            <v>27818.101040000001</v>
          </cell>
          <cell r="N1434">
            <v>27915.22508</v>
          </cell>
          <cell r="O1434">
            <v>28005.208200000001</v>
          </cell>
          <cell r="P1434">
            <v>28110.935560000002</v>
          </cell>
          <cell r="Q1434">
            <v>28217.563450000001</v>
          </cell>
          <cell r="R1434">
            <v>28328.37285</v>
          </cell>
          <cell r="S1434">
            <v>28442.248299999999</v>
          </cell>
          <cell r="T1434">
            <v>28556.329300000001</v>
          </cell>
          <cell r="U1434">
            <v>28668.066139999999</v>
          </cell>
          <cell r="V1434">
            <v>28776.174210000001</v>
          </cell>
          <cell r="W1434">
            <v>28880.762879999998</v>
          </cell>
          <cell r="X1434">
            <v>28982.898399999998</v>
          </cell>
          <cell r="Y1434">
            <v>29083.95206</v>
          </cell>
          <cell r="Z1434">
            <v>29171.833610000001</v>
          </cell>
          <cell r="AA1434">
            <v>29263.664150000001</v>
          </cell>
          <cell r="AB1434">
            <v>29359.978500000001</v>
          </cell>
          <cell r="AC1434">
            <v>29459.717420000001</v>
          </cell>
          <cell r="AD1434">
            <v>29561.682840000001</v>
          </cell>
          <cell r="AE1434">
            <v>29622.91203</v>
          </cell>
          <cell r="AF1434">
            <v>29684.91172</v>
          </cell>
          <cell r="AG1434">
            <v>29746.416730000001</v>
          </cell>
          <cell r="AH1434">
            <v>29807.597689999999</v>
          </cell>
          <cell r="AI1434">
            <v>29869.419610000001</v>
          </cell>
          <cell r="AJ1434">
            <v>29932.499800000001</v>
          </cell>
          <cell r="AK1434">
            <v>29996.804940000002</v>
          </cell>
          <cell r="AL1434">
            <v>30061.89832</v>
          </cell>
          <cell r="AM1434">
            <v>30127.321889999999</v>
          </cell>
          <cell r="AN1434">
            <v>30192.85209</v>
          </cell>
          <cell r="AO1434">
            <v>30258.545030000001</v>
          </cell>
        </row>
        <row r="1435">
          <cell r="F1435">
            <v>760.65442880000001</v>
          </cell>
          <cell r="G1435">
            <v>751.86677380000003</v>
          </cell>
          <cell r="H1435">
            <v>739.14441850000003</v>
          </cell>
          <cell r="I1435">
            <v>726.65682819999995</v>
          </cell>
          <cell r="J1435">
            <v>716.63451010000006</v>
          </cell>
          <cell r="K1435">
            <v>709.8275261</v>
          </cell>
          <cell r="L1435">
            <v>705.9513068</v>
          </cell>
          <cell r="M1435">
            <v>704.33183870000005</v>
          </cell>
          <cell r="N1435">
            <v>704.02729829999998</v>
          </cell>
          <cell r="O1435">
            <v>704.07222739999997</v>
          </cell>
          <cell r="P1435">
            <v>704.07380279999995</v>
          </cell>
          <cell r="Q1435">
            <v>703.14757010000005</v>
          </cell>
          <cell r="R1435">
            <v>701.02604220000001</v>
          </cell>
          <cell r="S1435">
            <v>697.68611220000003</v>
          </cell>
          <cell r="T1435">
            <v>693.24903140000004</v>
          </cell>
          <cell r="U1435">
            <v>687.90826679999998</v>
          </cell>
          <cell r="V1435">
            <v>681.88352629999997</v>
          </cell>
          <cell r="W1435">
            <v>675.3951333</v>
          </cell>
          <cell r="X1435">
            <v>668.65016500000002</v>
          </cell>
          <cell r="Y1435">
            <v>661.83318870000005</v>
          </cell>
          <cell r="Z1435">
            <v>654.83878679999998</v>
          </cell>
          <cell r="AA1435">
            <v>648.06001920000006</v>
          </cell>
          <cell r="AB1435">
            <v>641.60474680000004</v>
          </cell>
          <cell r="AC1435">
            <v>635.52100289999998</v>
          </cell>
          <cell r="AD1435">
            <v>629.81219090000002</v>
          </cell>
          <cell r="AE1435">
            <v>623.74785220000001</v>
          </cell>
          <cell r="AF1435">
            <v>617.72340250000002</v>
          </cell>
          <cell r="AG1435">
            <v>611.78167269999994</v>
          </cell>
          <cell r="AH1435">
            <v>605.94534190000002</v>
          </cell>
          <cell r="AI1435">
            <v>600.23173029999998</v>
          </cell>
          <cell r="AJ1435">
            <v>594.65174690000003</v>
          </cell>
          <cell r="AK1435">
            <v>589.20584210000004</v>
          </cell>
          <cell r="AL1435">
            <v>583.88228960000004</v>
          </cell>
          <cell r="AM1435">
            <v>578.65933280000002</v>
          </cell>
          <cell r="AN1435">
            <v>573.51031279999995</v>
          </cell>
          <cell r="AO1435">
            <v>568.40962290000004</v>
          </cell>
        </row>
        <row r="1438">
          <cell r="F1438">
            <v>4367.3694299999997</v>
          </cell>
          <cell r="G1438">
            <v>4419.6921869999996</v>
          </cell>
          <cell r="H1438">
            <v>4498.1569</v>
          </cell>
          <cell r="I1438">
            <v>4564.3065390000002</v>
          </cell>
          <cell r="J1438">
            <v>4605.6991799999996</v>
          </cell>
          <cell r="K1438">
            <v>4626.2455209999998</v>
          </cell>
          <cell r="L1438">
            <v>4613.395184</v>
          </cell>
          <cell r="M1438">
            <v>4594.798213</v>
          </cell>
          <cell r="N1438">
            <v>4578.3932089999998</v>
          </cell>
          <cell r="O1438">
            <v>4566.2123510000001</v>
          </cell>
          <cell r="P1438">
            <v>4590.6260309999998</v>
          </cell>
          <cell r="Q1438">
            <v>4587.5833929999999</v>
          </cell>
          <cell r="R1438">
            <v>4581.6887699999997</v>
          </cell>
          <cell r="S1438">
            <v>4579.9476119999999</v>
          </cell>
          <cell r="T1438">
            <v>4582.5825839999998</v>
          </cell>
          <cell r="U1438">
            <v>4588.0587919999998</v>
          </cell>
          <cell r="V1438">
            <v>4594.98369</v>
          </cell>
          <cell r="W1438">
            <v>4602.6139229999999</v>
          </cell>
          <cell r="X1438">
            <v>4610.7678320000005</v>
          </cell>
          <cell r="Y1438">
            <v>4619.5483190000004</v>
          </cell>
          <cell r="Z1438">
            <v>4608.854405</v>
          </cell>
          <cell r="AA1438">
            <v>4618.8418320000001</v>
          </cell>
          <cell r="AB1438">
            <v>4634.9651139999996</v>
          </cell>
          <cell r="AC1438">
            <v>4651.4872839999998</v>
          </cell>
          <cell r="AD1438">
            <v>4666.7582149999998</v>
          </cell>
          <cell r="AE1438">
            <v>4624.3338039999999</v>
          </cell>
          <cell r="AF1438">
            <v>4613.8213560000004</v>
          </cell>
          <cell r="AG1438">
            <v>4617.1639759999998</v>
          </cell>
          <cell r="AH1438">
            <v>4625.5249309999999</v>
          </cell>
          <cell r="AI1438">
            <v>4635.2488709999998</v>
          </cell>
          <cell r="AJ1438">
            <v>4644.9712929999996</v>
          </cell>
          <cell r="AK1438">
            <v>4654.2036230000003</v>
          </cell>
          <cell r="AL1438">
            <v>4662.7738250000002</v>
          </cell>
          <cell r="AM1438">
            <v>4670.658418</v>
          </cell>
          <cell r="AN1438">
            <v>4677.9431219999997</v>
          </cell>
          <cell r="AO1438">
            <v>4684.7924229999999</v>
          </cell>
        </row>
        <row r="1448">
          <cell r="F1448">
            <v>1770.9867389999999</v>
          </cell>
          <cell r="G1448">
            <v>1831.682266</v>
          </cell>
          <cell r="H1448">
            <v>1919.1808470000001</v>
          </cell>
          <cell r="I1448">
            <v>1991.3999799999999</v>
          </cell>
          <cell r="J1448">
            <v>2035.5293140000001</v>
          </cell>
          <cell r="K1448">
            <v>2055.840964</v>
          </cell>
          <cell r="L1448">
            <v>2041.4871169999999</v>
          </cell>
          <cell r="M1448">
            <v>2021.2026559999999</v>
          </cell>
          <cell r="N1448">
            <v>2003.576724</v>
          </cell>
          <cell r="O1448">
            <v>1990.8225829999999</v>
          </cell>
          <cell r="P1448">
            <v>2012.1306520000001</v>
          </cell>
          <cell r="Q1448">
            <v>2007.504428</v>
          </cell>
          <cell r="R1448">
            <v>2000.738153</v>
          </cell>
          <cell r="S1448">
            <v>1998.322332</v>
          </cell>
          <cell r="T1448">
            <v>2000.4406839999999</v>
          </cell>
          <cell r="U1448">
            <v>2005.6584849999999</v>
          </cell>
          <cell r="V1448">
            <v>2012.6201120000001</v>
          </cell>
          <cell r="W1448">
            <v>2020.495694</v>
          </cell>
          <cell r="X1448">
            <v>2028.9244530000001</v>
          </cell>
          <cell r="Y1448">
            <v>2037.8063870000001</v>
          </cell>
          <cell r="Z1448">
            <v>2028.838913</v>
          </cell>
          <cell r="AA1448">
            <v>2039.1650930000001</v>
          </cell>
          <cell r="AB1448">
            <v>2054.505384</v>
          </cell>
          <cell r="AC1448">
            <v>2069.5443789999999</v>
          </cell>
          <cell r="AD1448">
            <v>2082.8971289999999</v>
          </cell>
          <cell r="AE1448">
            <v>2043.837728</v>
          </cell>
          <cell r="AF1448">
            <v>2035.950002</v>
          </cell>
          <cell r="AG1448">
            <v>2041.0846220000001</v>
          </cell>
          <cell r="AH1448">
            <v>2050.7278609999998</v>
          </cell>
          <cell r="AI1448">
            <v>2061.3647380000002</v>
          </cell>
          <cell r="AJ1448">
            <v>2071.6922340000001</v>
          </cell>
          <cell r="AK1448">
            <v>2081.2876500000002</v>
          </cell>
          <cell r="AL1448">
            <v>2090.0606079999998</v>
          </cell>
          <cell r="AM1448">
            <v>2098.0628470000001</v>
          </cell>
          <cell r="AN1448">
            <v>2105.4264199999998</v>
          </cell>
          <cell r="AO1448">
            <v>2112.3268389999998</v>
          </cell>
        </row>
        <row r="1450">
          <cell r="F1450">
            <v>868.27262640000004</v>
          </cell>
          <cell r="G1450">
            <v>861.8416545</v>
          </cell>
          <cell r="H1450">
            <v>853.60753169999998</v>
          </cell>
          <cell r="I1450">
            <v>846.63249680000001</v>
          </cell>
          <cell r="J1450">
            <v>841.75187029999995</v>
          </cell>
          <cell r="K1450">
            <v>838.86641369999995</v>
          </cell>
          <cell r="L1450">
            <v>837.81744000000003</v>
          </cell>
          <cell r="M1450">
            <v>837.52758730000005</v>
          </cell>
          <cell r="N1450">
            <v>837.458979</v>
          </cell>
          <cell r="O1450">
            <v>837.45372610000004</v>
          </cell>
          <cell r="P1450">
            <v>837.6885896</v>
          </cell>
          <cell r="Q1450">
            <v>838.39367649999997</v>
          </cell>
          <cell r="R1450">
            <v>839.37217969999995</v>
          </cell>
          <cell r="S1450">
            <v>840.48753650000003</v>
          </cell>
          <cell r="T1450">
            <v>841.63650210000003</v>
          </cell>
          <cell r="U1450">
            <v>842.74508530000003</v>
          </cell>
          <cell r="V1450">
            <v>843.77707820000001</v>
          </cell>
          <cell r="W1450">
            <v>844.73565629999996</v>
          </cell>
          <cell r="X1450">
            <v>845.65263579999998</v>
          </cell>
          <cell r="Y1450">
            <v>846.57059360000005</v>
          </cell>
          <cell r="Z1450">
            <v>847.39436880000005</v>
          </cell>
          <cell r="AA1450">
            <v>848.13707260000001</v>
          </cell>
          <cell r="AB1450">
            <v>848.97028390000003</v>
          </cell>
          <cell r="AC1450">
            <v>849.94385590000002</v>
          </cell>
          <cell r="AD1450">
            <v>851.04226779999999</v>
          </cell>
          <cell r="AE1450">
            <v>851.78057709999996</v>
          </cell>
          <cell r="AF1450">
            <v>852.10915379999994</v>
          </cell>
          <cell r="AG1450">
            <v>852.24450879999995</v>
          </cell>
          <cell r="AH1450">
            <v>852.33568720000005</v>
          </cell>
          <cell r="AI1450">
            <v>852.47101729999997</v>
          </cell>
          <cell r="AJ1450">
            <v>852.68841469999995</v>
          </cell>
          <cell r="AK1450">
            <v>852.98875039999996</v>
          </cell>
          <cell r="AL1450">
            <v>853.35307520000003</v>
          </cell>
          <cell r="AM1450">
            <v>853.75880359999996</v>
          </cell>
          <cell r="AN1450">
            <v>854.19027900000003</v>
          </cell>
          <cell r="AO1450">
            <v>854.64206449999995</v>
          </cell>
        </row>
        <row r="1455">
          <cell r="F1455">
            <v>21279.16316</v>
          </cell>
          <cell r="G1455">
            <v>21232.72306</v>
          </cell>
          <cell r="H1455">
            <v>21186.529549999999</v>
          </cell>
          <cell r="I1455">
            <v>21188.15352</v>
          </cell>
          <cell r="J1455">
            <v>21236.160169999999</v>
          </cell>
          <cell r="K1455">
            <v>21317.513340000001</v>
          </cell>
          <cell r="L1455">
            <v>21444.953600000001</v>
          </cell>
          <cell r="M1455">
            <v>21570.442780000001</v>
          </cell>
          <cell r="N1455">
            <v>21683.113150000001</v>
          </cell>
          <cell r="O1455">
            <v>21785.075079999999</v>
          </cell>
          <cell r="P1455">
            <v>21866.619279999999</v>
          </cell>
          <cell r="Q1455">
            <v>21977.3655</v>
          </cell>
          <cell r="R1455">
            <v>22096.21934</v>
          </cell>
          <cell r="S1455">
            <v>22215.030460000002</v>
          </cell>
          <cell r="T1455">
            <v>22330.570619999999</v>
          </cell>
          <cell r="U1455">
            <v>22441.649969999999</v>
          </cell>
          <cell r="V1455">
            <v>22548.180629999999</v>
          </cell>
          <cell r="W1455">
            <v>22650.806059999999</v>
          </cell>
          <cell r="X1455">
            <v>22750.564180000001</v>
          </cell>
          <cell r="Y1455">
            <v>22848.531060000001</v>
          </cell>
          <cell r="Z1455">
            <v>22952.987089999999</v>
          </cell>
          <cell r="AA1455">
            <v>23040.48818</v>
          </cell>
          <cell r="AB1455">
            <v>23125.86537</v>
          </cell>
          <cell r="AC1455">
            <v>23213.731619999999</v>
          </cell>
          <cell r="AD1455">
            <v>23304.579150000001</v>
          </cell>
          <cell r="AE1455">
            <v>23413.230390000001</v>
          </cell>
          <cell r="AF1455">
            <v>23491.18331</v>
          </cell>
          <cell r="AG1455">
            <v>23554.98114</v>
          </cell>
          <cell r="AH1455">
            <v>23613.474190000001</v>
          </cell>
          <cell r="AI1455">
            <v>23671.175640000001</v>
          </cell>
          <cell r="AJ1455">
            <v>23730.00044</v>
          </cell>
          <cell r="AK1455">
            <v>23790.374739999999</v>
          </cell>
          <cell r="AL1455">
            <v>23852.035090000001</v>
          </cell>
          <cell r="AM1455">
            <v>23914.56784</v>
          </cell>
          <cell r="AN1455">
            <v>23977.69096</v>
          </cell>
          <cell r="AO1455">
            <v>24041.319469999999</v>
          </cell>
        </row>
        <row r="1458">
          <cell r="F1458">
            <v>43.676752630000003</v>
          </cell>
          <cell r="G1458">
            <v>44.249539149999997</v>
          </cell>
          <cell r="H1458">
            <v>44.93232441</v>
          </cell>
          <cell r="I1458">
            <v>45.571063500000001</v>
          </cell>
          <cell r="J1458">
            <v>46.125722340000003</v>
          </cell>
          <cell r="K1458">
            <v>46.600582789999997</v>
          </cell>
          <cell r="L1458">
            <v>47.292111050000003</v>
          </cell>
          <cell r="M1458">
            <v>47.822538199999997</v>
          </cell>
          <cell r="N1458">
            <v>48.203392950000001</v>
          </cell>
          <cell r="O1458">
            <v>48.46394987</v>
          </cell>
          <cell r="P1458">
            <v>48.647634009999997</v>
          </cell>
          <cell r="Q1458">
            <v>48.737105870000001</v>
          </cell>
          <cell r="R1458">
            <v>48.756029179999999</v>
          </cell>
          <cell r="S1458">
            <v>48.733489419999998</v>
          </cell>
          <cell r="T1458">
            <v>48.692753619999998</v>
          </cell>
          <cell r="U1458">
            <v>48.646979039999998</v>
          </cell>
          <cell r="V1458">
            <v>48.601082720000001</v>
          </cell>
          <cell r="W1458">
            <v>48.55490708</v>
          </cell>
          <cell r="X1458">
            <v>48.506458600000002</v>
          </cell>
          <cell r="Y1458">
            <v>48.454308470000001</v>
          </cell>
          <cell r="Z1458">
            <v>48.380668999999997</v>
          </cell>
          <cell r="AA1458">
            <v>48.309868860000002</v>
          </cell>
          <cell r="AB1458">
            <v>48.243864090000002</v>
          </cell>
          <cell r="AC1458">
            <v>48.18221132</v>
          </cell>
          <cell r="AD1458">
            <v>48.125161210000002</v>
          </cell>
          <cell r="AE1458">
            <v>48.020883550000001</v>
          </cell>
          <cell r="AF1458">
            <v>47.913745900000002</v>
          </cell>
          <cell r="AG1458">
            <v>47.805133400000003</v>
          </cell>
          <cell r="AH1458">
            <v>47.69054861</v>
          </cell>
          <cell r="AI1458">
            <v>47.56855659</v>
          </cell>
          <cell r="AJ1458">
            <v>47.44134047</v>
          </cell>
          <cell r="AK1458">
            <v>47.312798280000003</v>
          </cell>
          <cell r="AL1458">
            <v>47.186511809999999</v>
          </cell>
          <cell r="AM1458">
            <v>47.064398779999998</v>
          </cell>
          <cell r="AN1458">
            <v>46.946537800000002</v>
          </cell>
          <cell r="AO1458">
            <v>46.831772569999998</v>
          </cell>
        </row>
        <row r="1463">
          <cell r="F1463">
            <v>57.152108140000003</v>
          </cell>
          <cell r="G1463">
            <v>56.985075649999999</v>
          </cell>
          <cell r="H1463">
            <v>56.720925190000003</v>
          </cell>
          <cell r="I1463">
            <v>56.514446149999998</v>
          </cell>
          <cell r="J1463">
            <v>56.469923469999998</v>
          </cell>
          <cell r="K1463">
            <v>56.636463720000002</v>
          </cell>
          <cell r="L1463">
            <v>60.892060229999998</v>
          </cell>
          <cell r="M1463">
            <v>63.178083409999999</v>
          </cell>
          <cell r="N1463">
            <v>64.029052530000001</v>
          </cell>
          <cell r="O1463">
            <v>63.930864049999997</v>
          </cell>
          <cell r="P1463">
            <v>63.280222000000002</v>
          </cell>
          <cell r="Q1463">
            <v>62.336205419999999</v>
          </cell>
          <cell r="R1463">
            <v>61.31049119</v>
          </cell>
          <cell r="S1463">
            <v>60.363085769999998</v>
          </cell>
          <cell r="T1463">
            <v>59.597807250000002</v>
          </cell>
          <cell r="U1463">
            <v>59.057044230000002</v>
          </cell>
          <cell r="V1463">
            <v>58.748202370000001</v>
          </cell>
          <cell r="W1463">
            <v>58.657201010000001</v>
          </cell>
          <cell r="X1463">
            <v>58.757133410000002</v>
          </cell>
          <cell r="Y1463">
            <v>59.014589290000004</v>
          </cell>
          <cell r="Z1463">
            <v>59.378290980000003</v>
          </cell>
          <cell r="AA1463">
            <v>59.827179889999996</v>
          </cell>
          <cell r="AB1463">
            <v>60.329128179999998</v>
          </cell>
          <cell r="AC1463">
            <v>60.851445259999998</v>
          </cell>
          <cell r="AD1463">
            <v>61.365856729999997</v>
          </cell>
          <cell r="AE1463">
            <v>61.79852313</v>
          </cell>
          <cell r="AF1463">
            <v>62.16075171</v>
          </cell>
          <cell r="AG1463">
            <v>62.440303200000002</v>
          </cell>
          <cell r="AH1463">
            <v>62.626999300000001</v>
          </cell>
          <cell r="AI1463">
            <v>62.723797699999999</v>
          </cell>
          <cell r="AJ1463">
            <v>62.746563090000002</v>
          </cell>
          <cell r="AK1463">
            <v>62.719182099999998</v>
          </cell>
          <cell r="AL1463">
            <v>62.667532970000003</v>
          </cell>
          <cell r="AM1463">
            <v>62.613090030000002</v>
          </cell>
          <cell r="AN1463">
            <v>62.570875860000001</v>
          </cell>
          <cell r="AO1463">
            <v>62.549682359999998</v>
          </cell>
        </row>
        <row r="1473">
          <cell r="F1473">
            <v>27376.288509999998</v>
          </cell>
          <cell r="G1473">
            <v>27367.35829</v>
          </cell>
          <cell r="H1473">
            <v>27379.091649999998</v>
          </cell>
          <cell r="I1473">
            <v>27427.834900000002</v>
          </cell>
          <cell r="J1473">
            <v>27502.841369999998</v>
          </cell>
          <cell r="K1473">
            <v>27595.689839999999</v>
          </cell>
          <cell r="L1473">
            <v>27688.07343</v>
          </cell>
          <cell r="M1473">
            <v>27785.61922</v>
          </cell>
          <cell r="N1473">
            <v>27889.444</v>
          </cell>
          <cell r="O1473">
            <v>27999.427159999999</v>
          </cell>
          <cell r="P1473">
            <v>28131.166689999998</v>
          </cell>
          <cell r="Q1473">
            <v>28262.900010000001</v>
          </cell>
          <cell r="R1473">
            <v>28392.887009999999</v>
          </cell>
          <cell r="S1473">
            <v>28518.048620000001</v>
          </cell>
          <cell r="T1473">
            <v>28636.213459999999</v>
          </cell>
          <cell r="U1473">
            <v>28747.00805</v>
          </cell>
          <cell r="V1473">
            <v>28851.5497</v>
          </cell>
          <cell r="W1473">
            <v>28951.692370000001</v>
          </cell>
          <cell r="X1473">
            <v>29049.30675</v>
          </cell>
          <cell r="Y1473">
            <v>29145.83654</v>
          </cell>
          <cell r="Z1473">
            <v>29228.90482</v>
          </cell>
          <cell r="AA1473">
            <v>29315.56826</v>
          </cell>
          <cell r="AB1473">
            <v>29406.500209999998</v>
          </cell>
          <cell r="AC1473">
            <v>29501.036649999998</v>
          </cell>
          <cell r="AD1473">
            <v>29598.49368</v>
          </cell>
          <cell r="AE1473">
            <v>29656.33584</v>
          </cell>
          <cell r="AF1473">
            <v>29716.336469999998</v>
          </cell>
          <cell r="AG1473">
            <v>29777.233779999999</v>
          </cell>
          <cell r="AH1473">
            <v>29838.970170000001</v>
          </cell>
          <cell r="AI1473">
            <v>29902.164499999999</v>
          </cell>
          <cell r="AJ1473">
            <v>29967.086050000002</v>
          </cell>
          <cell r="AK1473">
            <v>30033.42712</v>
          </cell>
          <cell r="AL1473">
            <v>30100.5726</v>
          </cell>
          <cell r="AM1473">
            <v>30167.966349999999</v>
          </cell>
          <cell r="AN1473">
            <v>30235.334279999999</v>
          </cell>
          <cell r="AO1473">
            <v>30302.698380000002</v>
          </cell>
        </row>
        <row r="1474">
          <cell r="F1474">
            <v>760.65442880000001</v>
          </cell>
          <cell r="G1474">
            <v>751.86677380000003</v>
          </cell>
          <cell r="H1474">
            <v>739.14441850000003</v>
          </cell>
          <cell r="I1474">
            <v>726.65682819999995</v>
          </cell>
          <cell r="J1474">
            <v>716.63451010000006</v>
          </cell>
          <cell r="K1474">
            <v>709.8275261</v>
          </cell>
          <cell r="L1474">
            <v>705.77329280000004</v>
          </cell>
          <cell r="M1474">
            <v>703.77033110000002</v>
          </cell>
          <cell r="N1474">
            <v>702.96255770000005</v>
          </cell>
          <cell r="O1474">
            <v>702.54167359999997</v>
          </cell>
          <cell r="P1474">
            <v>702.2619191</v>
          </cell>
          <cell r="Q1474">
            <v>701.30111739999995</v>
          </cell>
          <cell r="R1474">
            <v>699.38010499999996</v>
          </cell>
          <cell r="S1474">
            <v>696.40474759999995</v>
          </cell>
          <cell r="T1474">
            <v>692.40494390000003</v>
          </cell>
          <cell r="U1474">
            <v>687.4971329</v>
          </cell>
          <cell r="V1474">
            <v>681.85522490000005</v>
          </cell>
          <cell r="W1474">
            <v>675.68388670000002</v>
          </cell>
          <cell r="X1474">
            <v>669.19286199999999</v>
          </cell>
          <cell r="Y1474">
            <v>662.57432440000002</v>
          </cell>
          <cell r="Z1474">
            <v>655.7269794</v>
          </cell>
          <cell r="AA1474">
            <v>649.04128249999997</v>
          </cell>
          <cell r="AB1474">
            <v>642.62141359999998</v>
          </cell>
          <cell r="AC1474">
            <v>636.51366110000004</v>
          </cell>
          <cell r="AD1474">
            <v>630.72490519999997</v>
          </cell>
          <cell r="AE1474">
            <v>624.53335779999998</v>
          </cell>
          <cell r="AF1474">
            <v>618.35058049999998</v>
          </cell>
          <cell r="AG1474">
            <v>612.23788200000001</v>
          </cell>
          <cell r="AH1474">
            <v>606.23525329999995</v>
          </cell>
          <cell r="AI1474">
            <v>600.37338609999995</v>
          </cell>
          <cell r="AJ1474">
            <v>594.67161209999995</v>
          </cell>
          <cell r="AK1474">
            <v>589.13425870000003</v>
          </cell>
          <cell r="AL1474">
            <v>583.7500311</v>
          </cell>
          <cell r="AM1474">
            <v>578.49534589999996</v>
          </cell>
          <cell r="AN1474">
            <v>573.34034459999998</v>
          </cell>
          <cell r="AO1474">
            <v>568.25536309999995</v>
          </cell>
        </row>
        <row r="1477">
          <cell r="F1477">
            <v>4367.3694299999997</v>
          </cell>
          <cell r="G1477">
            <v>4419.6921869999996</v>
          </cell>
          <cell r="H1477">
            <v>4498.1569</v>
          </cell>
          <cell r="I1477">
            <v>4564.3065390000002</v>
          </cell>
          <cell r="J1477">
            <v>4605.6991799999996</v>
          </cell>
          <cell r="K1477">
            <v>4626.2455209999998</v>
          </cell>
          <cell r="L1477">
            <v>4611.3000110000003</v>
          </cell>
          <cell r="M1477">
            <v>4592.6953579999999</v>
          </cell>
          <cell r="N1477">
            <v>4579.7358240000003</v>
          </cell>
          <cell r="O1477">
            <v>4573.5946940000003</v>
          </cell>
          <cell r="P1477">
            <v>4604.6356960000003</v>
          </cell>
          <cell r="Q1477">
            <v>4607.088229</v>
          </cell>
          <cell r="R1477">
            <v>4604.3420180000003</v>
          </cell>
          <cell r="S1477">
            <v>4603.138645</v>
          </cell>
          <cell r="T1477">
            <v>4604.2153939999998</v>
          </cell>
          <cell r="U1477">
            <v>4606.9325799999997</v>
          </cell>
          <cell r="V1477">
            <v>4610.7641720000001</v>
          </cell>
          <cell r="W1477">
            <v>4615.5367679999999</v>
          </cell>
          <cell r="X1477">
            <v>4621.2799869999999</v>
          </cell>
          <cell r="Y1477">
            <v>4628.0456770000001</v>
          </cell>
          <cell r="Z1477">
            <v>4615.5631910000002</v>
          </cell>
          <cell r="AA1477">
            <v>4623.8889079999999</v>
          </cell>
          <cell r="AB1477">
            <v>4638.4611720000003</v>
          </cell>
          <cell r="AC1477">
            <v>4653.6105749999997</v>
          </cell>
          <cell r="AD1477">
            <v>4667.8012040000003</v>
          </cell>
          <cell r="AE1477">
            <v>4624.6934929999998</v>
          </cell>
          <cell r="AF1477">
            <v>4613.922759</v>
          </cell>
          <cell r="AG1477">
            <v>4617.3994560000001</v>
          </cell>
          <cell r="AH1477">
            <v>4626.182194</v>
          </cell>
          <cell r="AI1477">
            <v>4636.481006</v>
          </cell>
          <cell r="AJ1477">
            <v>4646.8074829999996</v>
          </cell>
          <cell r="AK1477">
            <v>4656.584578</v>
          </cell>
          <cell r="AL1477">
            <v>4665.5926550000004</v>
          </cell>
          <cell r="AM1477">
            <v>4673.7938469999999</v>
          </cell>
          <cell r="AN1477">
            <v>4681.2790100000002</v>
          </cell>
          <cell r="AO1477">
            <v>4688.2240400000001</v>
          </cell>
        </row>
        <row r="1487">
          <cell r="F1487">
            <v>1770.9867389999999</v>
          </cell>
          <cell r="G1487">
            <v>1831.682266</v>
          </cell>
          <cell r="H1487">
            <v>1919.1808470000001</v>
          </cell>
          <cell r="I1487">
            <v>1991.3999799999999</v>
          </cell>
          <cell r="J1487">
            <v>2035.5293140000001</v>
          </cell>
          <cell r="K1487">
            <v>2055.840964</v>
          </cell>
          <cell r="L1487">
            <v>2040.295001</v>
          </cell>
          <cell r="M1487">
            <v>2020.1453429999999</v>
          </cell>
          <cell r="N1487">
            <v>2004.6790779999999</v>
          </cell>
          <cell r="O1487">
            <v>1995.3806729999999</v>
          </cell>
          <cell r="P1487">
            <v>2020.0572050000001</v>
          </cell>
          <cell r="Q1487">
            <v>2017.7113469999999</v>
          </cell>
          <cell r="R1487">
            <v>2011.50531</v>
          </cell>
          <cell r="S1487">
            <v>2007.958161</v>
          </cell>
          <cell r="T1487">
            <v>2007.7678410000001</v>
          </cell>
          <cell r="U1487">
            <v>2010.200728</v>
          </cell>
          <cell r="V1487">
            <v>2014.5126749999999</v>
          </cell>
          <cell r="W1487">
            <v>2020.23207</v>
          </cell>
          <cell r="X1487">
            <v>2027.0858539999999</v>
          </cell>
          <cell r="Y1487">
            <v>2034.87769</v>
          </cell>
          <cell r="Z1487">
            <v>2025.1400570000001</v>
          </cell>
          <cell r="AA1487">
            <v>2034.8924589999999</v>
          </cell>
          <cell r="AB1487">
            <v>2049.8081419999999</v>
          </cell>
          <cell r="AC1487">
            <v>2064.5817539999998</v>
          </cell>
          <cell r="AD1487">
            <v>2077.8704720000001</v>
          </cell>
          <cell r="AE1487">
            <v>2038.99604</v>
          </cell>
          <cell r="AF1487">
            <v>2031.512385</v>
          </cell>
          <cell r="AG1487">
            <v>2037.229022</v>
          </cell>
          <cell r="AH1487">
            <v>2047.5496860000001</v>
          </cell>
          <cell r="AI1487">
            <v>2058.865679</v>
          </cell>
          <cell r="AJ1487">
            <v>2069.7969320000002</v>
          </cell>
          <cell r="AK1487">
            <v>2079.8753860000002</v>
          </cell>
          <cell r="AL1487">
            <v>2088.9978339999998</v>
          </cell>
          <cell r="AM1487">
            <v>2097.2274419999999</v>
          </cell>
          <cell r="AN1487">
            <v>2104.7201690000002</v>
          </cell>
          <cell r="AO1487">
            <v>2111.6773459999999</v>
          </cell>
        </row>
        <row r="1489">
          <cell r="F1489">
            <v>868.27262640000004</v>
          </cell>
          <cell r="G1489">
            <v>861.8416545</v>
          </cell>
          <cell r="H1489">
            <v>853.60753169999998</v>
          </cell>
          <cell r="I1489">
            <v>846.63249680000001</v>
          </cell>
          <cell r="J1489">
            <v>841.75187029999995</v>
          </cell>
          <cell r="K1489">
            <v>838.86641369999995</v>
          </cell>
          <cell r="L1489">
            <v>837.48523139999998</v>
          </cell>
          <cell r="M1489">
            <v>837.07854540000005</v>
          </cell>
          <cell r="N1489">
            <v>837.32217070000002</v>
          </cell>
          <cell r="O1489">
            <v>838.02550810000002</v>
          </cell>
          <cell r="P1489">
            <v>839.18781130000002</v>
          </cell>
          <cell r="Q1489">
            <v>840.82723699999997</v>
          </cell>
          <cell r="R1489">
            <v>842.57480499999997</v>
          </cell>
          <cell r="S1489">
            <v>844.2037163</v>
          </cell>
          <cell r="T1489">
            <v>845.60505620000004</v>
          </cell>
          <cell r="U1489">
            <v>846.75662899999998</v>
          </cell>
          <cell r="V1489">
            <v>847.69421490000002</v>
          </cell>
          <cell r="W1489">
            <v>848.48276729999998</v>
          </cell>
          <cell r="X1489">
            <v>849.19156139999996</v>
          </cell>
          <cell r="Y1489">
            <v>849.87794459999998</v>
          </cell>
          <cell r="Z1489">
            <v>850.44740379999996</v>
          </cell>
          <cell r="AA1489">
            <v>850.91776140000002</v>
          </cell>
          <cell r="AB1489">
            <v>851.46933349999995</v>
          </cell>
          <cell r="AC1489">
            <v>852.16758349999998</v>
          </cell>
          <cell r="AD1489">
            <v>853.01618159999998</v>
          </cell>
          <cell r="AE1489">
            <v>853.54592660000003</v>
          </cell>
          <cell r="AF1489">
            <v>853.72041830000001</v>
          </cell>
          <cell r="AG1489">
            <v>853.75840359999995</v>
          </cell>
          <cell r="AH1489">
            <v>853.80267449999997</v>
          </cell>
          <cell r="AI1489">
            <v>853.9301438</v>
          </cell>
          <cell r="AJ1489">
            <v>854.16588309999997</v>
          </cell>
          <cell r="AK1489">
            <v>854.49925859999996</v>
          </cell>
          <cell r="AL1489">
            <v>854.90241430000003</v>
          </cell>
          <cell r="AM1489">
            <v>855.34648089999996</v>
          </cell>
          <cell r="AN1489">
            <v>855.81149860000005</v>
          </cell>
          <cell r="AO1489">
            <v>856.28892689999998</v>
          </cell>
        </row>
        <row r="1494">
          <cell r="F1494">
            <v>21279.16316</v>
          </cell>
          <cell r="G1494">
            <v>21232.72306</v>
          </cell>
          <cell r="H1494">
            <v>21186.529549999999</v>
          </cell>
          <cell r="I1494">
            <v>21188.15352</v>
          </cell>
          <cell r="J1494">
            <v>21236.160169999999</v>
          </cell>
          <cell r="K1494">
            <v>21317.513340000001</v>
          </cell>
          <cell r="L1494">
            <v>21429.525900000001</v>
          </cell>
          <cell r="M1494">
            <v>21547.231189999999</v>
          </cell>
          <cell r="N1494">
            <v>21663.658289999999</v>
          </cell>
          <cell r="O1494">
            <v>21778.567330000002</v>
          </cell>
          <cell r="P1494">
            <v>21877.45045</v>
          </cell>
          <cell r="Q1494">
            <v>22005.22005</v>
          </cell>
          <cell r="R1494">
            <v>22137.42642</v>
          </cell>
          <cell r="S1494">
            <v>22264.5854</v>
          </cell>
          <cell r="T1494">
            <v>22383.88191</v>
          </cell>
          <cell r="U1494">
            <v>22495.498769999998</v>
          </cell>
          <cell r="V1494">
            <v>22600.8665</v>
          </cell>
          <cell r="W1494">
            <v>22701.721130000002</v>
          </cell>
          <cell r="X1494">
            <v>22799.5861</v>
          </cell>
          <cell r="Y1494">
            <v>22895.554510000002</v>
          </cell>
          <cell r="Z1494">
            <v>22997.699280000001</v>
          </cell>
          <cell r="AA1494">
            <v>23082.53616</v>
          </cell>
          <cell r="AB1494">
            <v>23164.98414</v>
          </cell>
          <cell r="AC1494">
            <v>23249.921330000001</v>
          </cell>
          <cell r="AD1494">
            <v>23338.181509999999</v>
          </cell>
          <cell r="AE1494">
            <v>23444.85945</v>
          </cell>
          <cell r="AF1494">
            <v>23521.65194</v>
          </cell>
          <cell r="AG1494">
            <v>23585.115590000001</v>
          </cell>
          <cell r="AH1494">
            <v>23643.973880000001</v>
          </cell>
          <cell r="AI1494">
            <v>23702.54377</v>
          </cell>
          <cell r="AJ1494">
            <v>23762.544989999999</v>
          </cell>
          <cell r="AK1494">
            <v>23824.254290000001</v>
          </cell>
          <cell r="AL1494">
            <v>23887.316159999998</v>
          </cell>
          <cell r="AM1494">
            <v>23951.268250000001</v>
          </cell>
          <cell r="AN1494">
            <v>24015.801909999998</v>
          </cell>
          <cell r="AO1494">
            <v>24080.81006</v>
          </cell>
        </row>
        <row r="1497">
          <cell r="F1497">
            <v>43.676752630000003</v>
          </cell>
          <cell r="G1497">
            <v>44.249539149999997</v>
          </cell>
          <cell r="H1497">
            <v>44.93232441</v>
          </cell>
          <cell r="I1497">
            <v>45.571063500000001</v>
          </cell>
          <cell r="J1497">
            <v>46.125722340000003</v>
          </cell>
          <cell r="K1497">
            <v>46.600582789999997</v>
          </cell>
          <cell r="L1497">
            <v>46.990494900000002</v>
          </cell>
          <cell r="M1497">
            <v>47.315732099999998</v>
          </cell>
          <cell r="N1497">
            <v>47.588645380000003</v>
          </cell>
          <cell r="O1497">
            <v>47.814484139999998</v>
          </cell>
          <cell r="P1497">
            <v>48.0222488</v>
          </cell>
          <cell r="Q1497">
            <v>48.183535740000003</v>
          </cell>
          <cell r="R1497">
            <v>48.306576200000002</v>
          </cell>
          <cell r="S1497">
            <v>48.400161779999998</v>
          </cell>
          <cell r="T1497">
            <v>48.467042530000001</v>
          </cell>
          <cell r="U1497">
            <v>48.505547700000001</v>
          </cell>
          <cell r="V1497">
            <v>48.513194810000002</v>
          </cell>
          <cell r="W1497">
            <v>48.48952087</v>
          </cell>
          <cell r="X1497">
            <v>48.437306130000003</v>
          </cell>
          <cell r="Y1497">
            <v>48.362206190000002</v>
          </cell>
          <cell r="Z1497">
            <v>48.253694109999998</v>
          </cell>
          <cell r="AA1497">
            <v>48.140457300000001</v>
          </cell>
          <cell r="AB1497">
            <v>48.027826699999999</v>
          </cell>
          <cell r="AC1497">
            <v>47.917579359999998</v>
          </cell>
          <cell r="AD1497">
            <v>47.81158611</v>
          </cell>
          <cell r="AE1497">
            <v>47.660199429999999</v>
          </cell>
          <cell r="AF1497">
            <v>47.50873867</v>
          </cell>
          <cell r="AG1497">
            <v>47.360249330000002</v>
          </cell>
          <cell r="AH1497">
            <v>47.211573700000002</v>
          </cell>
          <cell r="AI1497">
            <v>47.061770330000002</v>
          </cell>
          <cell r="AJ1497">
            <v>46.91256516</v>
          </cell>
          <cell r="AK1497">
            <v>46.766599540000001</v>
          </cell>
          <cell r="AL1497">
            <v>46.625706889999996</v>
          </cell>
          <cell r="AM1497">
            <v>46.4900381</v>
          </cell>
          <cell r="AN1497">
            <v>46.35815118</v>
          </cell>
          <cell r="AO1497">
            <v>46.227674409999999</v>
          </cell>
        </row>
        <row r="1502">
          <cell r="F1502">
            <v>57.152108140000003</v>
          </cell>
          <cell r="G1502">
            <v>56.985075649999999</v>
          </cell>
          <cell r="H1502">
            <v>56.720925190000003</v>
          </cell>
          <cell r="I1502">
            <v>56.514446149999998</v>
          </cell>
          <cell r="J1502">
            <v>56.469923469999998</v>
          </cell>
          <cell r="K1502">
            <v>56.636463720000002</v>
          </cell>
          <cell r="L1502">
            <v>56.99849674</v>
          </cell>
          <cell r="M1502">
            <v>57.528065599999998</v>
          </cell>
          <cell r="N1502">
            <v>58.176509699999997</v>
          </cell>
          <cell r="O1502">
            <v>58.883463499999998</v>
          </cell>
          <cell r="P1502">
            <v>59.60855789</v>
          </cell>
          <cell r="Q1502">
            <v>60.279840810000003</v>
          </cell>
          <cell r="R1502">
            <v>60.857084380000003</v>
          </cell>
          <cell r="S1502">
            <v>61.315951720000001</v>
          </cell>
          <cell r="T1502">
            <v>61.63912131</v>
          </cell>
          <cell r="U1502">
            <v>61.817383919999997</v>
          </cell>
          <cell r="V1502">
            <v>61.856394719999997</v>
          </cell>
          <cell r="W1502">
            <v>61.778289960000002</v>
          </cell>
          <cell r="X1502">
            <v>61.618936859999998</v>
          </cell>
          <cell r="Y1502">
            <v>61.421883729999998</v>
          </cell>
          <cell r="Z1502">
            <v>61.214269129999998</v>
          </cell>
          <cell r="AA1502">
            <v>61.043692069999999</v>
          </cell>
          <cell r="AB1502">
            <v>60.93632436</v>
          </cell>
          <cell r="AC1502">
            <v>60.905914109999998</v>
          </cell>
          <cell r="AD1502">
            <v>60.958295560000003</v>
          </cell>
          <cell r="AE1502">
            <v>61.043406160000004</v>
          </cell>
          <cell r="AF1502">
            <v>61.182041009999999</v>
          </cell>
          <cell r="AG1502">
            <v>61.3621993</v>
          </cell>
          <cell r="AH1502">
            <v>61.564593960000003</v>
          </cell>
          <cell r="AI1502">
            <v>61.774420450000001</v>
          </cell>
          <cell r="AJ1502">
            <v>61.983523730000002</v>
          </cell>
          <cell r="AK1502">
            <v>62.188133929999999</v>
          </cell>
          <cell r="AL1502">
            <v>62.38563422</v>
          </cell>
          <cell r="AM1502">
            <v>62.572384909999997</v>
          </cell>
          <cell r="AN1502">
            <v>62.74336667</v>
          </cell>
          <cell r="AO1502">
            <v>62.892315490000001</v>
          </cell>
        </row>
        <row r="1512">
          <cell r="F1512">
            <v>1963076.189</v>
          </cell>
          <cell r="G1512">
            <v>1984402.6629999999</v>
          </cell>
          <cell r="H1512">
            <v>2013387.311</v>
          </cell>
          <cell r="I1512">
            <v>2045258.89</v>
          </cell>
          <cell r="J1512">
            <v>2077587.906</v>
          </cell>
          <cell r="K1512">
            <v>2109984.4309999999</v>
          </cell>
          <cell r="L1512">
            <v>2140466.2439999999</v>
          </cell>
          <cell r="M1512">
            <v>2170037.2259999998</v>
          </cell>
          <cell r="N1512">
            <v>2198723.608</v>
          </cell>
          <cell r="O1512">
            <v>2228023.4270000001</v>
          </cell>
          <cell r="P1512">
            <v>2261113.0780000002</v>
          </cell>
          <cell r="Q1512">
            <v>2295314.531</v>
          </cell>
          <cell r="R1512">
            <v>2331606.696</v>
          </cell>
          <cell r="S1512">
            <v>2368865.3250000002</v>
          </cell>
          <cell r="T1512">
            <v>2406566.531</v>
          </cell>
          <cell r="U1512">
            <v>2444498.398</v>
          </cell>
          <cell r="V1512">
            <v>2482708.145</v>
          </cell>
          <cell r="W1512">
            <v>2521393.1510000001</v>
          </cell>
          <cell r="X1512">
            <v>2560768.057</v>
          </cell>
          <cell r="Y1512">
            <v>2600965.477</v>
          </cell>
          <cell r="Z1512">
            <v>2640208.645</v>
          </cell>
          <cell r="AA1512">
            <v>2681484.7289999998</v>
          </cell>
          <cell r="AB1512">
            <v>2723574.5649999999</v>
          </cell>
          <cell r="AC1512">
            <v>2766450.6690000002</v>
          </cell>
          <cell r="AD1512">
            <v>2809947.8590000002</v>
          </cell>
          <cell r="AE1512">
            <v>2847808.6869999999</v>
          </cell>
          <cell r="AF1512">
            <v>2889241.986</v>
          </cell>
          <cell r="AG1512">
            <v>2930502.2889999999</v>
          </cell>
          <cell r="AH1512">
            <v>2972429.38</v>
          </cell>
          <cell r="AI1512">
            <v>3015216.6439999999</v>
          </cell>
          <cell r="AJ1512">
            <v>3058778.5639999998</v>
          </cell>
          <cell r="AK1512">
            <v>3102944.48</v>
          </cell>
          <cell r="AL1512">
            <v>3147585.3530000001</v>
          </cell>
          <cell r="AM1512">
            <v>3192670.8670000001</v>
          </cell>
          <cell r="AN1512">
            <v>3238263.9580000001</v>
          </cell>
          <cell r="AO1512">
            <v>3284473.5959999999</v>
          </cell>
        </row>
        <row r="1513">
          <cell r="F1513">
            <v>35265.972959999999</v>
          </cell>
          <cell r="G1513">
            <v>34925.68118</v>
          </cell>
          <cell r="H1513">
            <v>34784.940750000002</v>
          </cell>
          <cell r="I1513">
            <v>34775.886380000004</v>
          </cell>
          <cell r="J1513">
            <v>34887.569790000001</v>
          </cell>
          <cell r="K1513">
            <v>35100.115579999998</v>
          </cell>
          <cell r="L1513">
            <v>35388.202310000001</v>
          </cell>
          <cell r="M1513">
            <v>35688.159119999997</v>
          </cell>
          <cell r="N1513">
            <v>35992.993459999998</v>
          </cell>
          <cell r="O1513">
            <v>36293.118880000002</v>
          </cell>
          <cell r="P1513">
            <v>36625.412100000001</v>
          </cell>
          <cell r="Q1513">
            <v>36911.226869999999</v>
          </cell>
          <cell r="R1513">
            <v>37167.523280000001</v>
          </cell>
          <cell r="S1513">
            <v>37388.074589999997</v>
          </cell>
          <cell r="T1513">
            <v>37571.795319999997</v>
          </cell>
          <cell r="U1513">
            <v>37722.762020000002</v>
          </cell>
          <cell r="V1513">
            <v>37848.927839999997</v>
          </cell>
          <cell r="W1513">
            <v>37960.004710000001</v>
          </cell>
          <cell r="X1513">
            <v>38065.381200000003</v>
          </cell>
          <cell r="Y1513">
            <v>38172.641680000001</v>
          </cell>
          <cell r="Z1513">
            <v>38255.573689999997</v>
          </cell>
          <cell r="AA1513">
            <v>38370.882799999999</v>
          </cell>
          <cell r="AB1513">
            <v>38500.402110000003</v>
          </cell>
          <cell r="AC1513">
            <v>38644.055740000003</v>
          </cell>
          <cell r="AD1513">
            <v>38800.037839999997</v>
          </cell>
          <cell r="AE1513">
            <v>38876.634859999998</v>
          </cell>
          <cell r="AF1513">
            <v>38987.663589999996</v>
          </cell>
          <cell r="AG1513">
            <v>39103.354979999996</v>
          </cell>
          <cell r="AH1513">
            <v>39226.695359999998</v>
          </cell>
          <cell r="AI1513">
            <v>39358.088259999997</v>
          </cell>
          <cell r="AJ1513">
            <v>39495.88839</v>
          </cell>
          <cell r="AK1513">
            <v>39637.555319999999</v>
          </cell>
          <cell r="AL1513">
            <v>39780.716610000003</v>
          </cell>
          <cell r="AM1513">
            <v>39923.759570000002</v>
          </cell>
          <cell r="AN1513">
            <v>40065.942369999997</v>
          </cell>
          <cell r="AO1513">
            <v>40207.135690000003</v>
          </cell>
        </row>
        <row r="1516">
          <cell r="F1516">
            <v>336030.82380000001</v>
          </cell>
          <cell r="G1516">
            <v>345232.66749999998</v>
          </cell>
          <cell r="H1516">
            <v>355006.76610000001</v>
          </cell>
          <cell r="I1516">
            <v>361851.34139999998</v>
          </cell>
          <cell r="J1516">
            <v>367217.25069999998</v>
          </cell>
          <cell r="K1516">
            <v>372080.8763</v>
          </cell>
          <cell r="L1516">
            <v>374256.40909999999</v>
          </cell>
          <cell r="M1516">
            <v>377933.76860000001</v>
          </cell>
          <cell r="N1516">
            <v>381904.50349999999</v>
          </cell>
          <cell r="O1516">
            <v>386115.39889999997</v>
          </cell>
          <cell r="P1516">
            <v>394955.05930000002</v>
          </cell>
          <cell r="Q1516">
            <v>397190.52370000002</v>
          </cell>
          <cell r="R1516">
            <v>401802.51659999997</v>
          </cell>
          <cell r="S1516">
            <v>407066.1274</v>
          </cell>
          <cell r="T1516">
            <v>412551.59710000001</v>
          </cell>
          <cell r="U1516">
            <v>418119.3064</v>
          </cell>
          <cell r="V1516">
            <v>423741.90010000003</v>
          </cell>
          <cell r="W1516">
            <v>429445.88799999998</v>
          </cell>
          <cell r="X1516">
            <v>435273.03200000001</v>
          </cell>
          <cell r="Y1516">
            <v>441254.87520000001</v>
          </cell>
          <cell r="Z1516">
            <v>444333.03580000001</v>
          </cell>
          <cell r="AA1516">
            <v>452449.74900000001</v>
          </cell>
          <cell r="AB1516">
            <v>459432.82089999999</v>
          </cell>
          <cell r="AC1516">
            <v>466189.6986</v>
          </cell>
          <cell r="AD1516">
            <v>472933.17680000002</v>
          </cell>
          <cell r="AE1516">
            <v>470715.1629</v>
          </cell>
          <cell r="AF1516">
            <v>479207.8651</v>
          </cell>
          <cell r="AG1516">
            <v>486173.11080000002</v>
          </cell>
          <cell r="AH1516">
            <v>492876.02990000002</v>
          </cell>
          <cell r="AI1516">
            <v>499594.94819999998</v>
          </cell>
          <cell r="AJ1516">
            <v>506389.22289999999</v>
          </cell>
          <cell r="AK1516">
            <v>513256.29340000002</v>
          </cell>
          <cell r="AL1516">
            <v>520182.1214</v>
          </cell>
          <cell r="AM1516">
            <v>527161.79740000004</v>
          </cell>
          <cell r="AN1516">
            <v>534204.1091</v>
          </cell>
          <cell r="AO1516">
            <v>541326.25490000006</v>
          </cell>
        </row>
        <row r="1526">
          <cell r="F1526">
            <v>108219.8881</v>
          </cell>
          <cell r="G1526">
            <v>116368.70759999999</v>
          </cell>
          <cell r="H1526">
            <v>123622.292</v>
          </cell>
          <cell r="I1526">
            <v>127633.0177</v>
          </cell>
          <cell r="J1526">
            <v>130035.4379</v>
          </cell>
          <cell r="K1526">
            <v>131825.93229999999</v>
          </cell>
          <cell r="L1526">
            <v>131055.71829999999</v>
          </cell>
          <cell r="M1526">
            <v>131875.5404</v>
          </cell>
          <cell r="N1526">
            <v>133029.7494</v>
          </cell>
          <cell r="O1526">
            <v>134388.0655</v>
          </cell>
          <cell r="P1526">
            <v>139682.84640000001</v>
          </cell>
          <cell r="Q1526">
            <v>138899.19870000001</v>
          </cell>
          <cell r="R1526">
            <v>140297.77050000001</v>
          </cell>
          <cell r="S1526">
            <v>142252.80110000001</v>
          </cell>
          <cell r="T1526">
            <v>144407.63560000001</v>
          </cell>
          <cell r="U1526">
            <v>146648.14929999999</v>
          </cell>
          <cell r="V1526">
            <v>148940.682</v>
          </cell>
          <cell r="W1526">
            <v>151287.78390000001</v>
          </cell>
          <cell r="X1526">
            <v>153703.3634</v>
          </cell>
          <cell r="Y1526">
            <v>156197.57209999999</v>
          </cell>
          <cell r="Z1526">
            <v>156131.8903</v>
          </cell>
          <cell r="AA1526">
            <v>160521.7335</v>
          </cell>
          <cell r="AB1526">
            <v>163728.01519999999</v>
          </cell>
          <cell r="AC1526">
            <v>166651.5649</v>
          </cell>
          <cell r="AD1526">
            <v>169497.55309999999</v>
          </cell>
          <cell r="AE1526">
            <v>164603.886</v>
          </cell>
          <cell r="AF1526">
            <v>169391.28899999999</v>
          </cell>
          <cell r="AG1526">
            <v>172630.60860000001</v>
          </cell>
          <cell r="AH1526">
            <v>175560.25709999999</v>
          </cell>
          <cell r="AI1526">
            <v>178425.5871</v>
          </cell>
          <cell r="AJ1526">
            <v>181285.80489999999</v>
          </cell>
          <cell r="AK1526">
            <v>184152.0099</v>
          </cell>
          <cell r="AL1526">
            <v>187023.90179999999</v>
          </cell>
          <cell r="AM1526">
            <v>189903.4884</v>
          </cell>
          <cell r="AN1526">
            <v>192798.484</v>
          </cell>
          <cell r="AO1526">
            <v>195719.93100000001</v>
          </cell>
        </row>
        <row r="1528">
          <cell r="F1528">
            <v>52107.03355</v>
          </cell>
          <cell r="G1528">
            <v>52135.159119999997</v>
          </cell>
          <cell r="H1528">
            <v>52439.811889999997</v>
          </cell>
          <cell r="I1528">
            <v>52908.136059999997</v>
          </cell>
          <cell r="J1528">
            <v>53465.843930000003</v>
          </cell>
          <cell r="K1528">
            <v>54078.464829999997</v>
          </cell>
          <cell r="L1528">
            <v>54748.937469999997</v>
          </cell>
          <cell r="M1528">
            <v>55374.964870000003</v>
          </cell>
          <cell r="N1528">
            <v>55987.1898</v>
          </cell>
          <cell r="O1528">
            <v>56616.495210000001</v>
          </cell>
          <cell r="P1528">
            <v>57312.917719999998</v>
          </cell>
          <cell r="Q1528">
            <v>58066.280890000002</v>
          </cell>
          <cell r="R1528">
            <v>58848.399230000003</v>
          </cell>
          <cell r="S1528">
            <v>59650.103109999996</v>
          </cell>
          <cell r="T1528">
            <v>60463.260249999999</v>
          </cell>
          <cell r="U1528">
            <v>61283.545389999999</v>
          </cell>
          <cell r="V1528">
            <v>62111.316409999999</v>
          </cell>
          <cell r="W1528">
            <v>62950.096109999999</v>
          </cell>
          <cell r="X1528">
            <v>63804.124170000003</v>
          </cell>
          <cell r="Y1528">
            <v>64676.343860000001</v>
          </cell>
          <cell r="Z1528">
            <v>65541.945619999999</v>
          </cell>
          <cell r="AA1528">
            <v>66426.687590000001</v>
          </cell>
          <cell r="AB1528">
            <v>67339.882509999996</v>
          </cell>
          <cell r="AC1528">
            <v>68275.300560000003</v>
          </cell>
          <cell r="AD1528">
            <v>69227.484280000004</v>
          </cell>
          <cell r="AE1528">
            <v>70107.239849999998</v>
          </cell>
          <cell r="AF1528">
            <v>70987.341839999994</v>
          </cell>
          <cell r="AG1528">
            <v>71882.355970000004</v>
          </cell>
          <cell r="AH1528">
            <v>72797.633830000006</v>
          </cell>
          <cell r="AI1528">
            <v>73734.125079999998</v>
          </cell>
          <cell r="AJ1528">
            <v>74689.601880000002</v>
          </cell>
          <cell r="AK1528">
            <v>75660.51195</v>
          </cell>
          <cell r="AL1528">
            <v>76643.993520000004</v>
          </cell>
          <cell r="AM1528">
            <v>77638.996750000006</v>
          </cell>
          <cell r="AN1528">
            <v>78646.297130000006</v>
          </cell>
          <cell r="AO1528">
            <v>79667.70117</v>
          </cell>
        </row>
        <row r="1533">
          <cell r="F1533">
            <v>1522054.7109999999</v>
          </cell>
          <cell r="G1533">
            <v>1534222.62</v>
          </cell>
          <cell r="H1533">
            <v>1553098.8189999999</v>
          </cell>
          <cell r="I1533">
            <v>1577444.1950000001</v>
          </cell>
          <cell r="J1533">
            <v>1603452.29</v>
          </cell>
          <cell r="K1533">
            <v>1629814.139</v>
          </cell>
          <cell r="L1533">
            <v>1660001.4920000001</v>
          </cell>
          <cell r="M1533">
            <v>1685177.92</v>
          </cell>
          <cell r="N1533">
            <v>1708868.835</v>
          </cell>
          <cell r="O1533">
            <v>1732931.6780000001</v>
          </cell>
          <cell r="P1533">
            <v>1756078.308</v>
          </cell>
          <cell r="Q1533">
            <v>1786973.9350000001</v>
          </cell>
          <cell r="R1533">
            <v>1817575.5160000001</v>
          </cell>
          <cell r="S1533">
            <v>1848482.45</v>
          </cell>
          <cell r="T1533">
            <v>1879599.5160000001</v>
          </cell>
          <cell r="U1533">
            <v>1910854.6</v>
          </cell>
          <cell r="V1533">
            <v>1942313.1810000001</v>
          </cell>
          <cell r="W1533">
            <v>1974134.487</v>
          </cell>
          <cell r="X1533">
            <v>2006481.004</v>
          </cell>
          <cell r="Y1533">
            <v>2039447.317</v>
          </cell>
          <cell r="Z1533">
            <v>2074384.7949999999</v>
          </cell>
          <cell r="AA1533">
            <v>2106230.571</v>
          </cell>
          <cell r="AB1533">
            <v>2139972.52</v>
          </cell>
          <cell r="AC1533">
            <v>2174684.9169999999</v>
          </cell>
          <cell r="AD1533">
            <v>2210000.6770000001</v>
          </cell>
          <cell r="AE1533">
            <v>2248841.7680000002</v>
          </cell>
          <cell r="AF1533">
            <v>2280482.4350000001</v>
          </cell>
          <cell r="AG1533">
            <v>2313480.7379999999</v>
          </cell>
          <cell r="AH1533">
            <v>2347401.1060000001</v>
          </cell>
          <cell r="AI1533">
            <v>2382152.0860000001</v>
          </cell>
          <cell r="AJ1533">
            <v>2417586.5359999998</v>
          </cell>
          <cell r="AK1533">
            <v>2453536.3020000001</v>
          </cell>
          <cell r="AL1533">
            <v>2489886.4270000001</v>
          </cell>
          <cell r="AM1533">
            <v>2526611.1540000001</v>
          </cell>
          <cell r="AN1533">
            <v>2563762.8139999998</v>
          </cell>
          <cell r="AO1533">
            <v>2601430.5260000001</v>
          </cell>
        </row>
        <row r="1536">
          <cell r="F1536">
            <v>3886.8471530000002</v>
          </cell>
          <cell r="G1536">
            <v>4081.94506</v>
          </cell>
          <cell r="H1536">
            <v>4162.0760499999997</v>
          </cell>
          <cell r="I1536">
            <v>4243.0255729999999</v>
          </cell>
          <cell r="J1536">
            <v>4328.7872939999997</v>
          </cell>
          <cell r="K1536">
            <v>4416.3300909999998</v>
          </cell>
          <cell r="L1536">
            <v>4583.5624090000001</v>
          </cell>
          <cell r="M1536">
            <v>4641.1713970000001</v>
          </cell>
          <cell r="N1536">
            <v>4715.6634450000001</v>
          </cell>
          <cell r="O1536">
            <v>4789.4933559999999</v>
          </cell>
          <cell r="P1536">
            <v>4867.4667520000003</v>
          </cell>
          <cell r="Q1536">
            <v>4924.7774319999999</v>
          </cell>
          <cell r="R1536">
            <v>4985.2534699999997</v>
          </cell>
          <cell r="S1536">
            <v>5046.599655</v>
          </cell>
          <cell r="T1536">
            <v>5108.2800980000002</v>
          </cell>
          <cell r="U1536">
            <v>5169.6646419999997</v>
          </cell>
          <cell r="V1536">
            <v>5230.4272220000003</v>
          </cell>
          <cell r="W1536">
            <v>5290.4274420000002</v>
          </cell>
          <cell r="X1536">
            <v>5349.78557</v>
          </cell>
          <cell r="Y1536">
            <v>5408.8633229999996</v>
          </cell>
          <cell r="Z1536">
            <v>5460.1895729999997</v>
          </cell>
          <cell r="AA1536">
            <v>5523.8765110000004</v>
          </cell>
          <cell r="AB1536">
            <v>5584.610651</v>
          </cell>
          <cell r="AC1536">
            <v>5645.4119680000003</v>
          </cell>
          <cell r="AD1536">
            <v>5707.2490079999998</v>
          </cell>
          <cell r="AE1536">
            <v>5746.038423</v>
          </cell>
          <cell r="AF1536">
            <v>5811.38</v>
          </cell>
          <cell r="AG1536">
            <v>5870.1011470000003</v>
          </cell>
          <cell r="AH1536">
            <v>5926.2439629999999</v>
          </cell>
          <cell r="AI1536">
            <v>5981.9211230000001</v>
          </cell>
          <cell r="AJ1536">
            <v>6038.1708349999999</v>
          </cell>
          <cell r="AK1536">
            <v>6095.4662179999996</v>
          </cell>
          <cell r="AL1536">
            <v>6153.9028390000003</v>
          </cell>
          <cell r="AM1536">
            <v>6213.2935900000002</v>
          </cell>
          <cell r="AN1536">
            <v>6273.3859439999997</v>
          </cell>
          <cell r="AO1536">
            <v>6333.9964010000003</v>
          </cell>
        </row>
        <row r="1541">
          <cell r="F1541">
            <v>13730.800649999999</v>
          </cell>
          <cell r="G1541">
            <v>13804.590249999999</v>
          </cell>
          <cell r="H1541">
            <v>13894.897000000001</v>
          </cell>
          <cell r="I1541">
            <v>14036.305399999999</v>
          </cell>
          <cell r="J1541">
            <v>14236.16509</v>
          </cell>
          <cell r="K1541">
            <v>14494.505429999999</v>
          </cell>
          <cell r="L1541">
            <v>11487.6412</v>
          </cell>
          <cell r="M1541">
            <v>11221.241980000001</v>
          </cell>
          <cell r="N1541">
            <v>11254.42316</v>
          </cell>
          <cell r="O1541">
            <v>11277.24209</v>
          </cell>
          <cell r="P1541">
            <v>11273.914570000001</v>
          </cell>
          <cell r="Q1541">
            <v>11247.78666</v>
          </cell>
          <cell r="R1541">
            <v>11227.48755</v>
          </cell>
          <cell r="S1541">
            <v>11231.970069999999</v>
          </cell>
          <cell r="T1541">
            <v>11272.08151</v>
          </cell>
          <cell r="U1541">
            <v>11348.519840000001</v>
          </cell>
          <cell r="V1541">
            <v>11462.392889999999</v>
          </cell>
          <cell r="W1541">
            <v>11612.24778</v>
          </cell>
          <cell r="X1541">
            <v>11794.72992</v>
          </cell>
          <cell r="Y1541">
            <v>12005.43633</v>
          </cell>
          <cell r="Z1541">
            <v>12233.10547</v>
          </cell>
          <cell r="AA1541">
            <v>12482.96271</v>
          </cell>
          <cell r="AB1541">
            <v>12744.329369999999</v>
          </cell>
          <cell r="AC1541">
            <v>13011.28485</v>
          </cell>
          <cell r="AD1541">
            <v>13279.234060000001</v>
          </cell>
          <cell r="AE1541">
            <v>13521.842420000001</v>
          </cell>
          <cell r="AF1541">
            <v>13765.3001</v>
          </cell>
          <cell r="AG1541">
            <v>13992.627689999999</v>
          </cell>
          <cell r="AH1541">
            <v>14201.670760000001</v>
          </cell>
          <cell r="AI1541">
            <v>14395.475130000001</v>
          </cell>
          <cell r="AJ1541">
            <v>14579.143889999999</v>
          </cell>
          <cell r="AK1541">
            <v>14758.351489999999</v>
          </cell>
          <cell r="AL1541">
            <v>14938.191930000001</v>
          </cell>
          <cell r="AM1541">
            <v>15121.86521</v>
          </cell>
          <cell r="AN1541">
            <v>15311.4092</v>
          </cell>
          <cell r="AO1541">
            <v>15507.98127</v>
          </cell>
        </row>
        <row r="1551">
          <cell r="F1551">
            <v>1963076.189</v>
          </cell>
          <cell r="G1551">
            <v>1984402.6629999999</v>
          </cell>
          <cell r="H1551">
            <v>2013387.311</v>
          </cell>
          <cell r="I1551">
            <v>2045258.89</v>
          </cell>
          <cell r="J1551">
            <v>2077587.906</v>
          </cell>
          <cell r="K1551">
            <v>2109984.4309999999</v>
          </cell>
          <cell r="L1551">
            <v>2141062.4750000001</v>
          </cell>
          <cell r="M1551">
            <v>2172585.233</v>
          </cell>
          <cell r="N1551">
            <v>2204549.844</v>
          </cell>
          <cell r="O1551">
            <v>2237365.9950000001</v>
          </cell>
          <cell r="P1551">
            <v>2273083.2429999998</v>
          </cell>
          <cell r="Q1551">
            <v>2308550.372</v>
          </cell>
          <cell r="R1551">
            <v>2344673.9550000001</v>
          </cell>
          <cell r="S1551">
            <v>2380737.3429999999</v>
          </cell>
          <cell r="T1551">
            <v>2416805.0630000001</v>
          </cell>
          <cell r="U1551">
            <v>2453180.3560000001</v>
          </cell>
          <cell r="V1551">
            <v>2490200.4890000001</v>
          </cell>
          <cell r="W1551">
            <v>2528113.875</v>
          </cell>
          <cell r="X1551">
            <v>2567029.702</v>
          </cell>
          <cell r="Y1551">
            <v>2606931.639</v>
          </cell>
          <cell r="Z1551">
            <v>2645916.04</v>
          </cell>
          <cell r="AA1551">
            <v>2686992.4619999998</v>
          </cell>
          <cell r="AB1551">
            <v>2728955.96</v>
          </cell>
          <cell r="AC1551">
            <v>2771843.4270000001</v>
          </cell>
          <cell r="AD1551">
            <v>2815542.3470000001</v>
          </cell>
          <cell r="AE1551">
            <v>2853790.8820000002</v>
          </cell>
          <cell r="AF1551">
            <v>2895794.41</v>
          </cell>
          <cell r="AG1551">
            <v>2937714.1949999998</v>
          </cell>
          <cell r="AH1551">
            <v>2980305.0260000001</v>
          </cell>
          <cell r="AI1551">
            <v>3023695.6749999998</v>
          </cell>
          <cell r="AJ1551">
            <v>3067767.6359999999</v>
          </cell>
          <cell r="AK1551">
            <v>3112346.2170000002</v>
          </cell>
          <cell r="AL1551">
            <v>3157316.602</v>
          </cell>
          <cell r="AM1551">
            <v>3202670.0639999998</v>
          </cell>
          <cell r="AN1551">
            <v>3248488.9339999999</v>
          </cell>
          <cell r="AO1551">
            <v>3294894.28</v>
          </cell>
        </row>
        <row r="1552">
          <cell r="F1552">
            <v>35265.972959999999</v>
          </cell>
          <cell r="G1552">
            <v>34925.68118</v>
          </cell>
          <cell r="H1552">
            <v>34784.940750000002</v>
          </cell>
          <cell r="I1552">
            <v>34775.886380000004</v>
          </cell>
          <cell r="J1552">
            <v>34887.569790000001</v>
          </cell>
          <cell r="K1552">
            <v>35100.115579999998</v>
          </cell>
          <cell r="L1552">
            <v>35361.17366</v>
          </cell>
          <cell r="M1552">
            <v>35658.776120000002</v>
          </cell>
          <cell r="N1552">
            <v>35969.42353</v>
          </cell>
          <cell r="O1552">
            <v>36275.162069999998</v>
          </cell>
          <cell r="P1552">
            <v>36605.812180000001</v>
          </cell>
          <cell r="Q1552">
            <v>36880.267760000002</v>
          </cell>
          <cell r="R1552">
            <v>37116.932520000002</v>
          </cell>
          <cell r="S1552">
            <v>37313.89574</v>
          </cell>
          <cell r="T1552">
            <v>37475.663460000003</v>
          </cell>
          <cell r="U1552">
            <v>37610.980439999999</v>
          </cell>
          <cell r="V1552">
            <v>37730.058949999999</v>
          </cell>
          <cell r="W1552">
            <v>37842.304300000003</v>
          </cell>
          <cell r="X1552">
            <v>37955.01771</v>
          </cell>
          <cell r="Y1552">
            <v>38073.055800000002</v>
          </cell>
          <cell r="Z1552">
            <v>38167.7523</v>
          </cell>
          <cell r="AA1552">
            <v>38294.303310000003</v>
          </cell>
          <cell r="AB1552">
            <v>38433.766680000001</v>
          </cell>
          <cell r="AC1552">
            <v>38585.84332</v>
          </cell>
          <cell r="AD1552">
            <v>38748.78946</v>
          </cell>
          <cell r="AE1552">
            <v>38831.03155</v>
          </cell>
          <cell r="AF1552">
            <v>38946.362849999998</v>
          </cell>
          <cell r="AG1552">
            <v>39064.839449999999</v>
          </cell>
          <cell r="AH1552">
            <v>39189.33999</v>
          </cell>
          <cell r="AI1552">
            <v>39320.35716</v>
          </cell>
          <cell r="AJ1552">
            <v>39456.579669999999</v>
          </cell>
          <cell r="AK1552">
            <v>39595.979399999997</v>
          </cell>
          <cell r="AL1552">
            <v>39736.751250000001</v>
          </cell>
          <cell r="AM1552">
            <v>39877.802159999999</v>
          </cell>
          <cell r="AN1552">
            <v>40018.76728</v>
          </cell>
          <cell r="AO1552">
            <v>40159.700210000003</v>
          </cell>
        </row>
        <row r="1555">
          <cell r="F1555">
            <v>336030.82380000001</v>
          </cell>
          <cell r="G1555">
            <v>345232.66749999998</v>
          </cell>
          <cell r="H1555">
            <v>355006.76610000001</v>
          </cell>
          <cell r="I1555">
            <v>361851.34139999998</v>
          </cell>
          <cell r="J1555">
            <v>367217.25069999998</v>
          </cell>
          <cell r="K1555">
            <v>372080.8763</v>
          </cell>
          <cell r="L1555">
            <v>373966.10430000001</v>
          </cell>
          <cell r="M1555">
            <v>377868.2647</v>
          </cell>
          <cell r="N1555">
            <v>382345.91440000001</v>
          </cell>
          <cell r="O1555">
            <v>387120.68650000001</v>
          </cell>
          <cell r="P1555">
            <v>396380.18440000003</v>
          </cell>
          <cell r="Q1555">
            <v>398804.37829999998</v>
          </cell>
          <cell r="R1555">
            <v>403365.15720000002</v>
          </cell>
          <cell r="S1555">
            <v>408395.59</v>
          </cell>
          <cell r="T1555">
            <v>413565.63069999998</v>
          </cell>
          <cell r="U1555">
            <v>418826.68479999999</v>
          </cell>
          <cell r="V1555">
            <v>424204.56459999998</v>
          </cell>
          <cell r="W1555">
            <v>429735.98300000001</v>
          </cell>
          <cell r="X1555">
            <v>435443.84149999998</v>
          </cell>
          <cell r="Y1555">
            <v>441331.79269999999</v>
          </cell>
          <cell r="Z1555">
            <v>444318.40010000003</v>
          </cell>
          <cell r="AA1555">
            <v>452343.58760000003</v>
          </cell>
          <cell r="AB1555">
            <v>459241.076</v>
          </cell>
          <cell r="AC1555">
            <v>465928.92859999998</v>
          </cell>
          <cell r="AD1555">
            <v>472631.22820000001</v>
          </cell>
          <cell r="AE1555">
            <v>470406.07610000001</v>
          </cell>
          <cell r="AF1555">
            <v>478921.0355</v>
          </cell>
          <cell r="AG1555">
            <v>485927.96189999999</v>
          </cell>
          <cell r="AH1555">
            <v>492677.81430000003</v>
          </cell>
          <cell r="AI1555">
            <v>499437.56410000002</v>
          </cell>
          <cell r="AJ1555">
            <v>506260.2121</v>
          </cell>
          <cell r="AK1555">
            <v>513141.8137</v>
          </cell>
          <cell r="AL1555">
            <v>520070.29300000001</v>
          </cell>
          <cell r="AM1555">
            <v>527044.16029999999</v>
          </cell>
          <cell r="AN1555">
            <v>534075.36730000004</v>
          </cell>
          <cell r="AO1555">
            <v>541182.97030000004</v>
          </cell>
        </row>
        <row r="1565">
          <cell r="F1565">
            <v>108219.8881</v>
          </cell>
          <cell r="G1565">
            <v>116368.70759999999</v>
          </cell>
          <cell r="H1565">
            <v>123622.292</v>
          </cell>
          <cell r="I1565">
            <v>127633.0177</v>
          </cell>
          <cell r="J1565">
            <v>130035.4379</v>
          </cell>
          <cell r="K1565">
            <v>131825.93229999999</v>
          </cell>
          <cell r="L1565">
            <v>130913.79369999999</v>
          </cell>
          <cell r="M1565">
            <v>131847.19149999999</v>
          </cell>
          <cell r="N1565">
            <v>133257.4393</v>
          </cell>
          <cell r="O1565">
            <v>134890.8751</v>
          </cell>
          <cell r="P1565">
            <v>140372.71849999999</v>
          </cell>
          <cell r="Q1565">
            <v>139649.2641</v>
          </cell>
          <cell r="R1565">
            <v>140982.08559999999</v>
          </cell>
          <cell r="S1565">
            <v>142777.70009999999</v>
          </cell>
          <cell r="T1565">
            <v>144734.61900000001</v>
          </cell>
          <cell r="U1565">
            <v>146787.58360000001</v>
          </cell>
          <cell r="V1565">
            <v>148930.66889999999</v>
          </cell>
          <cell r="W1565">
            <v>151171.07070000001</v>
          </cell>
          <cell r="X1565">
            <v>153512.3898</v>
          </cell>
          <cell r="Y1565">
            <v>155950.283</v>
          </cell>
          <cell r="Z1565">
            <v>155835.14989999999</v>
          </cell>
          <cell r="AA1565">
            <v>160180.01730000001</v>
          </cell>
          <cell r="AB1565">
            <v>163350.9442</v>
          </cell>
          <cell r="AC1565">
            <v>166253.2151</v>
          </cell>
          <cell r="AD1565">
            <v>169097.1746</v>
          </cell>
          <cell r="AE1565">
            <v>164223.69219999999</v>
          </cell>
          <cell r="AF1565">
            <v>169047.6802</v>
          </cell>
          <cell r="AG1565">
            <v>172335.29</v>
          </cell>
          <cell r="AH1565">
            <v>175315.72519999999</v>
          </cell>
          <cell r="AI1565">
            <v>178227.2335</v>
          </cell>
          <cell r="AJ1565">
            <v>181124.87940000001</v>
          </cell>
          <cell r="AK1565">
            <v>184018.5502</v>
          </cell>
          <cell r="AL1565">
            <v>186908.80069999999</v>
          </cell>
          <cell r="AM1565">
            <v>189799.5097</v>
          </cell>
          <cell r="AN1565">
            <v>192700.34839999999</v>
          </cell>
          <cell r="AO1565">
            <v>195623.8315</v>
          </cell>
        </row>
        <row r="1567">
          <cell r="F1567">
            <v>52107.03355</v>
          </cell>
          <cell r="G1567">
            <v>52135.159119999997</v>
          </cell>
          <cell r="H1567">
            <v>52439.811889999997</v>
          </cell>
          <cell r="I1567">
            <v>52908.136059999997</v>
          </cell>
          <cell r="J1567">
            <v>53465.843930000003</v>
          </cell>
          <cell r="K1567">
            <v>54078.464829999997</v>
          </cell>
          <cell r="L1567">
            <v>54714.439149999998</v>
          </cell>
          <cell r="M1567">
            <v>55367.195729999999</v>
          </cell>
          <cell r="N1567">
            <v>56043.923589999999</v>
          </cell>
          <cell r="O1567">
            <v>56750.069020000003</v>
          </cell>
          <cell r="P1567">
            <v>57512.224699999999</v>
          </cell>
          <cell r="Q1567">
            <v>58307.713239999997</v>
          </cell>
          <cell r="R1567">
            <v>59104.586580000003</v>
          </cell>
          <cell r="S1567">
            <v>59898.969100000002</v>
          </cell>
          <cell r="T1567">
            <v>60692.47337</v>
          </cell>
          <cell r="U1567">
            <v>61490.131419999998</v>
          </cell>
          <cell r="V1567">
            <v>62298.158660000001</v>
          </cell>
          <cell r="W1567">
            <v>63121.715259999997</v>
          </cell>
          <cell r="X1567">
            <v>63963.69829</v>
          </cell>
          <cell r="Y1567">
            <v>64824.737110000002</v>
          </cell>
          <cell r="Z1567">
            <v>65678.033030000006</v>
          </cell>
          <cell r="AA1567">
            <v>66550.032380000004</v>
          </cell>
          <cell r="AB1567">
            <v>67450.776159999994</v>
          </cell>
          <cell r="AC1567">
            <v>68375.694799999997</v>
          </cell>
          <cell r="AD1567">
            <v>69320.805510000006</v>
          </cell>
          <cell r="AE1567">
            <v>70197.377890000003</v>
          </cell>
          <cell r="AF1567">
            <v>71078.461660000001</v>
          </cell>
          <cell r="AG1567">
            <v>71977.171019999994</v>
          </cell>
          <cell r="AH1567">
            <v>72897.383619999993</v>
          </cell>
          <cell r="AI1567">
            <v>73838.786940000005</v>
          </cell>
          <cell r="AJ1567">
            <v>74798.373779999994</v>
          </cell>
          <cell r="AK1567">
            <v>75772.304329999999</v>
          </cell>
          <cell r="AL1567">
            <v>76757.762050000005</v>
          </cell>
          <cell r="AM1567">
            <v>77753.884019999998</v>
          </cell>
          <cell r="AN1567">
            <v>78761.615449999998</v>
          </cell>
          <cell r="AO1567">
            <v>79782.829029999994</v>
          </cell>
        </row>
        <row r="1572">
          <cell r="F1572">
            <v>1522054.7109999999</v>
          </cell>
          <cell r="G1572">
            <v>1534222.62</v>
          </cell>
          <cell r="H1572">
            <v>1553098.8189999999</v>
          </cell>
          <cell r="I1572">
            <v>1577444.1950000001</v>
          </cell>
          <cell r="J1572">
            <v>1603452.29</v>
          </cell>
          <cell r="K1572">
            <v>1629814.139</v>
          </cell>
          <cell r="L1572">
            <v>1657728.8640000001</v>
          </cell>
          <cell r="M1572">
            <v>1683976.35</v>
          </cell>
          <cell r="N1572">
            <v>1710030.622</v>
          </cell>
          <cell r="O1572">
            <v>1736608.4469999999</v>
          </cell>
          <cell r="P1572">
            <v>1761508.267</v>
          </cell>
          <cell r="Q1572">
            <v>1793054.9539999999</v>
          </cell>
          <cell r="R1572">
            <v>1823174.699</v>
          </cell>
          <cell r="S1572">
            <v>1852833.328</v>
          </cell>
          <cell r="T1572">
            <v>1882427.23</v>
          </cell>
          <cell r="U1572">
            <v>1912298.2150000001</v>
          </cell>
          <cell r="V1572">
            <v>1942738.2420000001</v>
          </cell>
          <cell r="W1572">
            <v>1973936.0789999999</v>
          </cell>
          <cell r="X1572">
            <v>2005955.831</v>
          </cell>
          <cell r="Y1572">
            <v>2038758.78</v>
          </cell>
          <cell r="Z1572">
            <v>2073583.274</v>
          </cell>
          <cell r="AA1572">
            <v>2105376.5060000001</v>
          </cell>
          <cell r="AB1572">
            <v>2139123.5049999999</v>
          </cell>
          <cell r="AC1572">
            <v>2173942.0860000001</v>
          </cell>
          <cell r="AD1572">
            <v>2209498.2859999998</v>
          </cell>
          <cell r="AE1572">
            <v>2248706.3990000002</v>
          </cell>
          <cell r="AF1572">
            <v>2280832.5159999998</v>
          </cell>
          <cell r="AG1572">
            <v>2314355.3790000002</v>
          </cell>
          <cell r="AH1572">
            <v>2348774.2599999998</v>
          </cell>
          <cell r="AI1572">
            <v>2383950.497</v>
          </cell>
          <cell r="AJ1572">
            <v>2419716.193</v>
          </cell>
          <cell r="AK1572">
            <v>2455906.4049999998</v>
          </cell>
          <cell r="AL1572">
            <v>2492424.2340000002</v>
          </cell>
          <cell r="AM1572">
            <v>2529266.824</v>
          </cell>
          <cell r="AN1572">
            <v>2566506.872</v>
          </cell>
          <cell r="AO1572">
            <v>2604247.5780000002</v>
          </cell>
        </row>
        <row r="1575">
          <cell r="F1575">
            <v>3886.8471530000002</v>
          </cell>
          <cell r="G1575">
            <v>4081.94506</v>
          </cell>
          <cell r="H1575">
            <v>4162.0760499999997</v>
          </cell>
          <cell r="I1575">
            <v>4243.0255729999999</v>
          </cell>
          <cell r="J1575">
            <v>4328.7872939999997</v>
          </cell>
          <cell r="K1575">
            <v>4416.3300909999998</v>
          </cell>
          <cell r="L1575">
            <v>4496.1462860000001</v>
          </cell>
          <cell r="M1575">
            <v>4578.3671260000001</v>
          </cell>
          <cell r="N1575">
            <v>4658.2517660000003</v>
          </cell>
          <cell r="O1575">
            <v>4734.8362790000001</v>
          </cell>
          <cell r="P1575">
            <v>4818.6575929999999</v>
          </cell>
          <cell r="Q1575">
            <v>4884.9665590000004</v>
          </cell>
          <cell r="R1575">
            <v>4955.3736040000003</v>
          </cell>
          <cell r="S1575">
            <v>5025.3747309999999</v>
          </cell>
          <cell r="T1575">
            <v>5093.1115449999998</v>
          </cell>
          <cell r="U1575">
            <v>5157.887205</v>
          </cell>
          <cell r="V1575">
            <v>5219.7168179999999</v>
          </cell>
          <cell r="W1575">
            <v>5279.091367</v>
          </cell>
          <cell r="X1575">
            <v>5336.772688</v>
          </cell>
          <cell r="Y1575">
            <v>5393.5686759999999</v>
          </cell>
          <cell r="Z1575">
            <v>5442.3456399999995</v>
          </cell>
          <cell r="AA1575">
            <v>5502.7190700000001</v>
          </cell>
          <cell r="AB1575">
            <v>5559.788579</v>
          </cell>
          <cell r="AC1575">
            <v>5616.6142659999996</v>
          </cell>
          <cell r="AD1575">
            <v>5674.3232719999996</v>
          </cell>
          <cell r="AE1575">
            <v>5709.3631800000003</v>
          </cell>
          <cell r="AF1575">
            <v>5770.9474870000004</v>
          </cell>
          <cell r="AG1575">
            <v>5826.5535129999998</v>
          </cell>
          <cell r="AH1575">
            <v>5880.2555849999999</v>
          </cell>
          <cell r="AI1575">
            <v>5934.0769019999998</v>
          </cell>
          <cell r="AJ1575">
            <v>5988.9010109999999</v>
          </cell>
          <cell r="AK1575">
            <v>6045.005615</v>
          </cell>
          <cell r="AL1575">
            <v>6102.2861199999998</v>
          </cell>
          <cell r="AM1575">
            <v>6160.4274079999996</v>
          </cell>
          <cell r="AN1575">
            <v>6219.0793139999996</v>
          </cell>
          <cell r="AO1575">
            <v>6277.9620750000004</v>
          </cell>
        </row>
        <row r="1580">
          <cell r="F1580">
            <v>13730.800649999999</v>
          </cell>
          <cell r="G1580">
            <v>13804.590249999999</v>
          </cell>
          <cell r="H1580">
            <v>13894.897000000001</v>
          </cell>
          <cell r="I1580">
            <v>14036.305399999999</v>
          </cell>
          <cell r="J1580">
            <v>14236.16509</v>
          </cell>
          <cell r="K1580">
            <v>14494.505429999999</v>
          </cell>
          <cell r="L1580">
            <v>14795.74792</v>
          </cell>
          <cell r="M1580">
            <v>15136.279109999999</v>
          </cell>
          <cell r="N1580">
            <v>15501.708420000001</v>
          </cell>
          <cell r="O1580">
            <v>15876.79423</v>
          </cell>
          <cell r="P1580">
            <v>16258.096530000001</v>
          </cell>
          <cell r="Q1580">
            <v>16618.09188</v>
          </cell>
          <cell r="R1580">
            <v>16957.206099999999</v>
          </cell>
          <cell r="S1580">
            <v>17270.1855</v>
          </cell>
          <cell r="T1580">
            <v>17550.954259999999</v>
          </cell>
          <cell r="U1580">
            <v>17796.457630000001</v>
          </cell>
          <cell r="V1580">
            <v>18009.747469999998</v>
          </cell>
          <cell r="W1580">
            <v>18198.702819999999</v>
          </cell>
          <cell r="X1580">
            <v>18374.540379999999</v>
          </cell>
          <cell r="Y1580">
            <v>18549.704160000001</v>
          </cell>
          <cell r="Z1580">
            <v>18726.23472</v>
          </cell>
          <cell r="AA1580">
            <v>18925.31421</v>
          </cell>
          <cell r="AB1580">
            <v>19147.04724</v>
          </cell>
          <cell r="AC1580">
            <v>19394.260030000001</v>
          </cell>
          <cell r="AD1580">
            <v>19668.91445</v>
          </cell>
          <cell r="AE1580">
            <v>19940.633860000002</v>
          </cell>
          <cell r="AF1580">
            <v>20245.085770000002</v>
          </cell>
          <cell r="AG1580">
            <v>20562.289710000001</v>
          </cell>
          <cell r="AH1580">
            <v>20885.97263</v>
          </cell>
          <cell r="AI1580">
            <v>21214.393199999999</v>
          </cell>
          <cell r="AJ1580">
            <v>21547.37645</v>
          </cell>
          <cell r="AK1580">
            <v>21884.7088</v>
          </cell>
          <cell r="AL1580">
            <v>22225.27476</v>
          </cell>
          <cell r="AM1580">
            <v>22566.965550000001</v>
          </cell>
          <cell r="AN1580">
            <v>22907.233100000001</v>
          </cell>
          <cell r="AO1580">
            <v>23243.2402</v>
          </cell>
        </row>
        <row r="1600">
          <cell r="F1600">
            <v>474303.56479999999</v>
          </cell>
          <cell r="G1600">
            <v>480425.25510000001</v>
          </cell>
          <cell r="H1600">
            <v>487426.28820000001</v>
          </cell>
          <cell r="I1600">
            <v>495497.03039999999</v>
          </cell>
          <cell r="J1600">
            <v>503962.68430000002</v>
          </cell>
          <cell r="K1600">
            <v>512350.60550000001</v>
          </cell>
          <cell r="L1600">
            <v>521068.09250000003</v>
          </cell>
          <cell r="M1600">
            <v>528560.35049999994</v>
          </cell>
          <cell r="N1600">
            <v>535130.52619999996</v>
          </cell>
          <cell r="O1600">
            <v>541515.9706</v>
          </cell>
          <cell r="P1600">
            <v>548236.28410000005</v>
          </cell>
          <cell r="Q1600">
            <v>556267.90619999997</v>
          </cell>
          <cell r="R1600">
            <v>565026.16359999997</v>
          </cell>
          <cell r="S1600">
            <v>574218.98080000002</v>
          </cell>
          <cell r="T1600">
            <v>583657.74199999997</v>
          </cell>
          <cell r="U1600">
            <v>593244.81920000003</v>
          </cell>
          <cell r="V1600">
            <v>602977.24769999995</v>
          </cell>
          <cell r="W1600">
            <v>612917.25809999998</v>
          </cell>
          <cell r="X1600">
            <v>623144.59299999999</v>
          </cell>
          <cell r="Y1600">
            <v>633714.52850000001</v>
          </cell>
          <cell r="Z1600">
            <v>644653.90520000004</v>
          </cell>
          <cell r="AA1600">
            <v>655579.95290000003</v>
          </cell>
          <cell r="AB1600">
            <v>666850.05350000004</v>
          </cell>
          <cell r="AC1600">
            <v>678457.37580000004</v>
          </cell>
          <cell r="AD1600">
            <v>690309.69629999995</v>
          </cell>
          <cell r="AE1600">
            <v>702238.49899999995</v>
          </cell>
          <cell r="AF1600">
            <v>713527.73450000002</v>
          </cell>
          <cell r="AG1600">
            <v>724792.44200000004</v>
          </cell>
          <cell r="AH1600">
            <v>736269.0392</v>
          </cell>
          <cell r="AI1600">
            <v>748017.85149999999</v>
          </cell>
          <cell r="AJ1600">
            <v>760003.04469999997</v>
          </cell>
          <cell r="AK1600">
            <v>772149.33629999997</v>
          </cell>
          <cell r="AL1600">
            <v>784390.29249999998</v>
          </cell>
          <cell r="AM1600">
            <v>796696.43319999997</v>
          </cell>
          <cell r="AN1600">
            <v>809079.29819999996</v>
          </cell>
          <cell r="AO1600">
            <v>821576.33510000003</v>
          </cell>
        </row>
        <row r="1601">
          <cell r="F1601">
            <v>12210.834849999999</v>
          </cell>
          <cell r="G1601">
            <v>12225.33928</v>
          </cell>
          <cell r="H1601">
            <v>12197.58367</v>
          </cell>
          <cell r="I1601">
            <v>12177.213390000001</v>
          </cell>
          <cell r="J1601">
            <v>12181.342640000001</v>
          </cell>
          <cell r="K1601">
            <v>12212.85576</v>
          </cell>
          <cell r="L1601">
            <v>12267.08655</v>
          </cell>
          <cell r="M1601">
            <v>12327.26643</v>
          </cell>
          <cell r="N1601">
            <v>12390.097529999999</v>
          </cell>
          <cell r="O1601">
            <v>12455.09222</v>
          </cell>
          <cell r="P1601">
            <v>12531.28635</v>
          </cell>
          <cell r="Q1601">
            <v>12604.41869</v>
          </cell>
          <cell r="R1601">
            <v>12669.51425</v>
          </cell>
          <cell r="S1601">
            <v>12722.3974</v>
          </cell>
          <cell r="T1601">
            <v>12760.72193</v>
          </cell>
          <cell r="U1601">
            <v>12784.575629999999</v>
          </cell>
          <cell r="V1601">
            <v>12796.187330000001</v>
          </cell>
          <cell r="W1601">
            <v>12799.03895</v>
          </cell>
          <cell r="X1601">
            <v>12796.85677</v>
          </cell>
          <cell r="Y1601">
            <v>12792.83893</v>
          </cell>
          <cell r="Z1601">
            <v>12782.50994</v>
          </cell>
          <cell r="AA1601">
            <v>12775.63451</v>
          </cell>
          <cell r="AB1601">
            <v>12773.22825</v>
          </cell>
          <cell r="AC1601">
            <v>12775.217140000001</v>
          </cell>
          <cell r="AD1601">
            <v>12781.06689</v>
          </cell>
          <cell r="AE1601">
            <v>12771.41424</v>
          </cell>
          <cell r="AF1601">
            <v>12760.987230000001</v>
          </cell>
          <cell r="AG1601">
            <v>12752.299660000001</v>
          </cell>
          <cell r="AH1601">
            <v>12746.64363</v>
          </cell>
          <cell r="AI1601">
            <v>12744.32107</v>
          </cell>
          <cell r="AJ1601">
            <v>12744.79567</v>
          </cell>
          <cell r="AK1601">
            <v>12747.134410000001</v>
          </cell>
          <cell r="AL1601">
            <v>12750.468580000001</v>
          </cell>
          <cell r="AM1601">
            <v>12754.26671</v>
          </cell>
          <cell r="AN1601">
            <v>12758.376340000001</v>
          </cell>
          <cell r="AO1601">
            <v>12762.893760000001</v>
          </cell>
        </row>
        <row r="1604">
          <cell r="F1604">
            <v>67524.766570000007</v>
          </cell>
          <cell r="G1604">
            <v>68562.654420000006</v>
          </cell>
          <cell r="H1604">
            <v>69823.082410000003</v>
          </cell>
          <cell r="I1604">
            <v>71087.387359999993</v>
          </cell>
          <cell r="J1604">
            <v>72270.038839999994</v>
          </cell>
          <cell r="K1604">
            <v>73378.754109999994</v>
          </cell>
          <cell r="L1604">
            <v>74301.52893</v>
          </cell>
          <cell r="M1604">
            <v>75163.284580000007</v>
          </cell>
          <cell r="N1604">
            <v>76002.316479999994</v>
          </cell>
          <cell r="O1604">
            <v>76854.408230000001</v>
          </cell>
          <cell r="P1604">
            <v>78022.461620000002</v>
          </cell>
          <cell r="Q1604">
            <v>78997.554740000007</v>
          </cell>
          <cell r="R1604">
            <v>79999.80674</v>
          </cell>
          <cell r="S1604">
            <v>81064.946739999999</v>
          </cell>
          <cell r="T1604">
            <v>82172.621419999996</v>
          </cell>
          <cell r="U1604">
            <v>83301.639729999995</v>
          </cell>
          <cell r="V1604">
            <v>84443.083740000002</v>
          </cell>
          <cell r="W1604">
            <v>85599.080600000001</v>
          </cell>
          <cell r="X1604">
            <v>86777.265480000002</v>
          </cell>
          <cell r="Y1604">
            <v>87985.304730000003</v>
          </cell>
          <cell r="Z1604">
            <v>89033.78903</v>
          </cell>
          <cell r="AA1604">
            <v>90303.116819999996</v>
          </cell>
          <cell r="AB1604">
            <v>91643.983120000004</v>
          </cell>
          <cell r="AC1604">
            <v>93008.202839999998</v>
          </cell>
          <cell r="AD1604">
            <v>94386.133199999997</v>
          </cell>
          <cell r="AE1604">
            <v>95203.993130000003</v>
          </cell>
          <cell r="AF1604">
            <v>96355.951939999999</v>
          </cell>
          <cell r="AG1604">
            <v>97627.069229999994</v>
          </cell>
          <cell r="AH1604">
            <v>98940.512220000004</v>
          </cell>
          <cell r="AI1604">
            <v>100280.08530000001</v>
          </cell>
          <cell r="AJ1604">
            <v>101642.1251</v>
          </cell>
          <cell r="AK1604">
            <v>103022.65549999999</v>
          </cell>
          <cell r="AL1604">
            <v>104417.2172</v>
          </cell>
          <cell r="AM1604">
            <v>105823.14139999999</v>
          </cell>
          <cell r="AN1604">
            <v>107240.715</v>
          </cell>
          <cell r="AO1604">
            <v>108672.6093</v>
          </cell>
        </row>
        <row r="1614">
          <cell r="F1614">
            <v>7540.9816810000002</v>
          </cell>
          <cell r="G1614">
            <v>7945.290035</v>
          </cell>
          <cell r="H1614">
            <v>8461.7781149999992</v>
          </cell>
          <cell r="I1614">
            <v>8888.4597460000005</v>
          </cell>
          <cell r="J1614">
            <v>9194.24136</v>
          </cell>
          <cell r="K1614">
            <v>9414.3663190000007</v>
          </cell>
          <cell r="L1614">
            <v>9479.74892</v>
          </cell>
          <cell r="M1614">
            <v>9537.6292909999993</v>
          </cell>
          <cell r="N1614">
            <v>9610.3522730000004</v>
          </cell>
          <cell r="O1614">
            <v>9699.3103580000006</v>
          </cell>
          <cell r="P1614">
            <v>9972.7617119999995</v>
          </cell>
          <cell r="Q1614">
            <v>10065.739879999999</v>
          </cell>
          <cell r="R1614">
            <v>10159.78089</v>
          </cell>
          <cell r="S1614">
            <v>10284.732889999999</v>
          </cell>
          <cell r="T1614">
            <v>10432.56799</v>
          </cell>
          <cell r="U1614">
            <v>10593.094719999999</v>
          </cell>
          <cell r="V1614">
            <v>10760.50308</v>
          </cell>
          <cell r="W1614">
            <v>10932.91049</v>
          </cell>
          <cell r="X1614">
            <v>11110.555109999999</v>
          </cell>
          <cell r="Y1614">
            <v>11294.18614</v>
          </cell>
          <cell r="Z1614">
            <v>11364.42756</v>
          </cell>
          <cell r="AA1614">
            <v>11579.22741</v>
          </cell>
          <cell r="AB1614">
            <v>11815.7857</v>
          </cell>
          <cell r="AC1614">
            <v>12044.95673</v>
          </cell>
          <cell r="AD1614">
            <v>12265.714190000001</v>
          </cell>
          <cell r="AE1614">
            <v>12129.10742</v>
          </cell>
          <cell r="AF1614">
            <v>12256.978730000001</v>
          </cell>
          <cell r="AG1614">
            <v>12454.62708</v>
          </cell>
          <cell r="AH1614">
            <v>12663.055340000001</v>
          </cell>
          <cell r="AI1614">
            <v>12870.88876</v>
          </cell>
          <cell r="AJ1614">
            <v>13077.63227</v>
          </cell>
          <cell r="AK1614">
            <v>13283.940720000001</v>
          </cell>
          <cell r="AL1614">
            <v>13490.066279999999</v>
          </cell>
          <cell r="AM1614">
            <v>13696.21284</v>
          </cell>
          <cell r="AN1614">
            <v>13902.909089999999</v>
          </cell>
          <cell r="AO1614">
            <v>14111.00362</v>
          </cell>
        </row>
        <row r="1616">
          <cell r="F1616">
            <v>15691.204729999999</v>
          </cell>
          <cell r="G1616">
            <v>15813.92043</v>
          </cell>
          <cell r="H1616">
            <v>15942.07627</v>
          </cell>
          <cell r="I1616">
            <v>16099.803830000001</v>
          </cell>
          <cell r="J1616">
            <v>16280.563239999999</v>
          </cell>
          <cell r="K1616">
            <v>16474.531060000001</v>
          </cell>
          <cell r="L1616">
            <v>16677.24107</v>
          </cell>
          <cell r="M1616">
            <v>16865.512719999999</v>
          </cell>
          <cell r="N1616">
            <v>17041.443240000001</v>
          </cell>
          <cell r="O1616">
            <v>17216.26554</v>
          </cell>
          <cell r="P1616">
            <v>17408.905269999999</v>
          </cell>
          <cell r="Q1616">
            <v>17621.459729999999</v>
          </cell>
          <cell r="R1616">
            <v>17850.0923</v>
          </cell>
          <cell r="S1616">
            <v>18090.45739</v>
          </cell>
          <cell r="T1616">
            <v>18338.57805</v>
          </cell>
          <cell r="U1616">
            <v>18591.87515</v>
          </cell>
          <cell r="V1616">
            <v>18849.65684</v>
          </cell>
          <cell r="W1616">
            <v>19112.75921</v>
          </cell>
          <cell r="X1616">
            <v>19382.665919999999</v>
          </cell>
          <cell r="Y1616">
            <v>19660.61232</v>
          </cell>
          <cell r="Z1616">
            <v>19940.79333</v>
          </cell>
          <cell r="AA1616">
            <v>20228.000169999999</v>
          </cell>
          <cell r="AB1616">
            <v>20524.6489</v>
          </cell>
          <cell r="AC1616">
            <v>20829.983769999999</v>
          </cell>
          <cell r="AD1616">
            <v>21142.174330000002</v>
          </cell>
          <cell r="AE1616">
            <v>21439.593140000001</v>
          </cell>
          <cell r="AF1616">
            <v>21732.084169999998</v>
          </cell>
          <cell r="AG1616">
            <v>22026.475829999999</v>
          </cell>
          <cell r="AH1616">
            <v>22326.506679999999</v>
          </cell>
          <cell r="AI1616">
            <v>22633.505020000001</v>
          </cell>
          <cell r="AJ1616">
            <v>22947.04578</v>
          </cell>
          <cell r="AK1616">
            <v>23265.798449999998</v>
          </cell>
          <cell r="AL1616">
            <v>23588.419330000001</v>
          </cell>
          <cell r="AM1616">
            <v>23914.167420000002</v>
          </cell>
          <cell r="AN1616">
            <v>24243.08538</v>
          </cell>
          <cell r="AO1616">
            <v>24575.790809999999</v>
          </cell>
        </row>
        <row r="1621">
          <cell r="F1621">
            <v>368210.87560000003</v>
          </cell>
          <cell r="G1621">
            <v>372979.59590000001</v>
          </cell>
          <cell r="H1621">
            <v>378438.89260000002</v>
          </cell>
          <cell r="I1621">
            <v>384921.16129999998</v>
          </cell>
          <cell r="J1621">
            <v>391816.75520000001</v>
          </cell>
          <cell r="K1621">
            <v>398645.4657</v>
          </cell>
          <cell r="L1621">
            <v>405871.91639999999</v>
          </cell>
          <cell r="M1621">
            <v>411965.40899999999</v>
          </cell>
          <cell r="N1621">
            <v>417229.82870000001</v>
          </cell>
          <cell r="O1621">
            <v>422345.06030000001</v>
          </cell>
          <cell r="P1621">
            <v>427484.00469999999</v>
          </cell>
          <cell r="Q1621">
            <v>434140.50760000001</v>
          </cell>
          <cell r="R1621">
            <v>441503.85810000001</v>
          </cell>
          <cell r="S1621">
            <v>449238.8345</v>
          </cell>
          <cell r="T1621">
            <v>457171.03230000002</v>
          </cell>
          <cell r="U1621">
            <v>465220.43079999997</v>
          </cell>
          <cell r="V1621">
            <v>473388.5981</v>
          </cell>
          <cell r="W1621">
            <v>481730.63919999998</v>
          </cell>
          <cell r="X1621">
            <v>490314.2401</v>
          </cell>
          <cell r="Y1621">
            <v>499184.22110000002</v>
          </cell>
          <cell r="Z1621">
            <v>508574.31679999997</v>
          </cell>
          <cell r="AA1621">
            <v>517703.28159999999</v>
          </cell>
          <cell r="AB1621">
            <v>527077.36</v>
          </cell>
          <cell r="AC1621">
            <v>536742.62100000004</v>
          </cell>
          <cell r="AD1621">
            <v>546622.27280000004</v>
          </cell>
          <cell r="AE1621">
            <v>557182.47739999997</v>
          </cell>
          <cell r="AF1621">
            <v>566778.05980000005</v>
          </cell>
          <cell r="AG1621">
            <v>576233.15209999995</v>
          </cell>
          <cell r="AH1621">
            <v>585860.05839999998</v>
          </cell>
          <cell r="AI1621">
            <v>595734.701</v>
          </cell>
          <cell r="AJ1621">
            <v>605824.16099999996</v>
          </cell>
          <cell r="AK1621">
            <v>616056.09499999997</v>
          </cell>
          <cell r="AL1621">
            <v>626366.99930000002</v>
          </cell>
          <cell r="AM1621">
            <v>636728.30830000003</v>
          </cell>
          <cell r="AN1621">
            <v>647149.30169999995</v>
          </cell>
          <cell r="AO1621">
            <v>657662.77170000004</v>
          </cell>
        </row>
        <row r="1624">
          <cell r="F1624">
            <v>3914.7565989999998</v>
          </cell>
          <cell r="G1624">
            <v>4036.8389280000001</v>
          </cell>
          <cell r="H1624">
            <v>4169.0218850000001</v>
          </cell>
          <cell r="I1624">
            <v>4295.9447419999997</v>
          </cell>
          <cell r="J1624">
            <v>4416.5444969999999</v>
          </cell>
          <cell r="K1624">
            <v>4532.6234400000003</v>
          </cell>
          <cell r="L1624">
            <v>4685.9589550000001</v>
          </cell>
          <cell r="M1624">
            <v>4816.2093409999998</v>
          </cell>
          <cell r="N1624">
            <v>4930.7839350000004</v>
          </cell>
          <cell r="O1624">
            <v>5035.1859930000001</v>
          </cell>
          <cell r="P1624">
            <v>5134.0020530000002</v>
          </cell>
          <cell r="Q1624">
            <v>5223.7193420000003</v>
          </cell>
          <cell r="R1624">
            <v>5306.2191700000003</v>
          </cell>
          <cell r="S1624">
            <v>5384.0686679999999</v>
          </cell>
          <cell r="T1624">
            <v>5459.1832350000004</v>
          </cell>
          <cell r="U1624">
            <v>5532.4855280000002</v>
          </cell>
          <cell r="V1624">
            <v>5604.2564050000001</v>
          </cell>
          <cell r="W1624">
            <v>5674.4534400000002</v>
          </cell>
          <cell r="X1624">
            <v>5742.9821069999998</v>
          </cell>
          <cell r="Y1624">
            <v>5809.8782970000002</v>
          </cell>
          <cell r="Z1624">
            <v>5872.8659539999999</v>
          </cell>
          <cell r="AA1624">
            <v>5935.5994909999999</v>
          </cell>
          <cell r="AB1624">
            <v>5998.2431049999996</v>
          </cell>
          <cell r="AC1624">
            <v>6060.6739209999996</v>
          </cell>
          <cell r="AD1624">
            <v>6123.000403</v>
          </cell>
          <cell r="AE1624">
            <v>6177.6513670000004</v>
          </cell>
          <cell r="AF1624">
            <v>6231.8919029999997</v>
          </cell>
          <cell r="AG1624">
            <v>6285.5541839999996</v>
          </cell>
          <cell r="AH1624">
            <v>6337.7470039999998</v>
          </cell>
          <cell r="AI1624">
            <v>6388.3192410000001</v>
          </cell>
          <cell r="AJ1624">
            <v>6437.6976629999999</v>
          </cell>
          <cell r="AK1624">
            <v>6486.5157250000002</v>
          </cell>
          <cell r="AL1624">
            <v>6535.3347400000002</v>
          </cell>
          <cell r="AM1624">
            <v>6584.4829959999997</v>
          </cell>
          <cell r="AN1624">
            <v>6634.0604300000005</v>
          </cell>
          <cell r="AO1624">
            <v>6684.0288110000001</v>
          </cell>
        </row>
        <row r="1629">
          <cell r="F1629">
            <v>6751.126467</v>
          </cell>
          <cell r="G1629">
            <v>6806.9061600000005</v>
          </cell>
          <cell r="H1629">
            <v>6855.6313410000002</v>
          </cell>
          <cell r="I1629">
            <v>6915.5197710000002</v>
          </cell>
          <cell r="J1629">
            <v>6997.4398170000004</v>
          </cell>
          <cell r="K1629">
            <v>7106.3754159999999</v>
          </cell>
          <cell r="L1629">
            <v>7264.3605989999996</v>
          </cell>
          <cell r="M1629">
            <v>7422.6684100000002</v>
          </cell>
          <cell r="N1629">
            <v>7536.0563819999998</v>
          </cell>
          <cell r="O1629">
            <v>7609.9583329999996</v>
          </cell>
          <cell r="P1629">
            <v>7655.6241470000004</v>
          </cell>
          <cell r="Q1629">
            <v>7680.2460520000004</v>
          </cell>
          <cell r="R1629">
            <v>7696.6730680000001</v>
          </cell>
          <cell r="S1629">
            <v>7718.2760920000001</v>
          </cell>
          <cell r="T1629">
            <v>7755.6049819999998</v>
          </cell>
          <cell r="U1629">
            <v>7813.8124029999999</v>
          </cell>
          <cell r="V1629">
            <v>7895.4653179999996</v>
          </cell>
          <cell r="W1629">
            <v>8001.2867059999999</v>
          </cell>
          <cell r="X1629">
            <v>8130.5826379999999</v>
          </cell>
          <cell r="Y1629">
            <v>8281.6730970000008</v>
          </cell>
          <cell r="Z1629">
            <v>8449.6301769999991</v>
          </cell>
          <cell r="AA1629">
            <v>8634.3203620000004</v>
          </cell>
          <cell r="AB1629">
            <v>8832.5900860000002</v>
          </cell>
          <cell r="AC1629">
            <v>9040.6770820000002</v>
          </cell>
          <cell r="AD1629">
            <v>9255.0487489999996</v>
          </cell>
          <cell r="AE1629">
            <v>9463.3696980000004</v>
          </cell>
          <cell r="AF1629">
            <v>9668.7594470000004</v>
          </cell>
          <cell r="AG1629">
            <v>9867.8910830000004</v>
          </cell>
          <cell r="AH1629">
            <v>10057.571169999999</v>
          </cell>
          <cell r="AI1629">
            <v>10236.91995</v>
          </cell>
          <cell r="AJ1629">
            <v>10407.219510000001</v>
          </cell>
          <cell r="AK1629">
            <v>10571.13718</v>
          </cell>
          <cell r="AL1629">
            <v>10731.853349999999</v>
          </cell>
          <cell r="AM1629">
            <v>10892.066349999999</v>
          </cell>
          <cell r="AN1629">
            <v>11053.759389999999</v>
          </cell>
          <cell r="AO1629">
            <v>11218.240690000001</v>
          </cell>
        </row>
        <row r="1639">
          <cell r="F1639">
            <v>474303.56479999999</v>
          </cell>
          <cell r="G1639">
            <v>480425.25510000001</v>
          </cell>
          <cell r="H1639">
            <v>487426.28820000001</v>
          </cell>
          <cell r="I1639">
            <v>495497.03039999999</v>
          </cell>
          <cell r="J1639">
            <v>503962.68430000002</v>
          </cell>
          <cell r="K1639">
            <v>512350.60550000001</v>
          </cell>
          <cell r="L1639">
            <v>520600.68560000003</v>
          </cell>
          <cell r="M1639">
            <v>528467.65079999994</v>
          </cell>
          <cell r="N1639">
            <v>536148.33739999996</v>
          </cell>
          <cell r="O1639">
            <v>543892.08970000001</v>
          </cell>
          <cell r="P1639">
            <v>551723.07070000004</v>
          </cell>
          <cell r="Q1639">
            <v>560348.96010000003</v>
          </cell>
          <cell r="R1639">
            <v>569092.55370000005</v>
          </cell>
          <cell r="S1639">
            <v>577770.87589999998</v>
          </cell>
          <cell r="T1639">
            <v>586412.6152</v>
          </cell>
          <cell r="U1639">
            <v>595140.39520000003</v>
          </cell>
          <cell r="V1639">
            <v>604100.29379999998</v>
          </cell>
          <cell r="W1639">
            <v>613411.44990000001</v>
          </cell>
          <cell r="X1639">
            <v>623139.82960000006</v>
          </cell>
          <cell r="Y1639">
            <v>633296.40960000001</v>
          </cell>
          <cell r="Z1639">
            <v>643864.23450000002</v>
          </cell>
          <cell r="AA1639">
            <v>654459.46409999998</v>
          </cell>
          <cell r="AB1639">
            <v>665446.89560000005</v>
          </cell>
          <cell r="AC1639">
            <v>676844.48609999998</v>
          </cell>
          <cell r="AD1639">
            <v>688584.18689999997</v>
          </cell>
          <cell r="AE1639">
            <v>700505.81689999998</v>
          </cell>
          <cell r="AF1639">
            <v>711889.57649999997</v>
          </cell>
          <cell r="AG1639">
            <v>723315.1483</v>
          </cell>
          <cell r="AH1639">
            <v>734979.7415</v>
          </cell>
          <cell r="AI1639">
            <v>746909.86179999996</v>
          </cell>
          <cell r="AJ1639">
            <v>759047.26009999996</v>
          </cell>
          <cell r="AK1639">
            <v>771306.63939999999</v>
          </cell>
          <cell r="AL1639">
            <v>783620.99710000004</v>
          </cell>
          <cell r="AM1639">
            <v>795965.75470000005</v>
          </cell>
          <cell r="AN1639">
            <v>808358.75060000003</v>
          </cell>
          <cell r="AO1639">
            <v>820842.37439999997</v>
          </cell>
        </row>
        <row r="1640">
          <cell r="F1640">
            <v>12210.834849999999</v>
          </cell>
          <cell r="G1640">
            <v>12225.33928</v>
          </cell>
          <cell r="H1640">
            <v>12197.58367</v>
          </cell>
          <cell r="I1640">
            <v>12177.213390000001</v>
          </cell>
          <cell r="J1640">
            <v>12181.342640000001</v>
          </cell>
          <cell r="K1640">
            <v>12212.85576</v>
          </cell>
          <cell r="L1640">
            <v>12263.08244</v>
          </cell>
          <cell r="M1640">
            <v>12326.08598</v>
          </cell>
          <cell r="N1640">
            <v>12396.136140000001</v>
          </cell>
          <cell r="O1640">
            <v>12467.636130000001</v>
          </cell>
          <cell r="P1640">
            <v>12544.977639999999</v>
          </cell>
          <cell r="Q1640">
            <v>12612.1247</v>
          </cell>
          <cell r="R1640">
            <v>12664.51785</v>
          </cell>
          <cell r="S1640">
            <v>12700.55226</v>
          </cell>
          <cell r="T1640">
            <v>12721.30766</v>
          </cell>
          <cell r="U1640">
            <v>12729.822029999999</v>
          </cell>
          <cell r="V1640">
            <v>12729.998579999999</v>
          </cell>
          <cell r="W1640">
            <v>12725.622160000001</v>
          </cell>
          <cell r="X1640">
            <v>12719.75215</v>
          </cell>
          <cell r="Y1640">
            <v>12714.52209</v>
          </cell>
          <cell r="Z1640">
            <v>12704.466399999999</v>
          </cell>
          <cell r="AA1640">
            <v>12698.72796</v>
          </cell>
          <cell r="AB1640">
            <v>12697.95282</v>
          </cell>
          <cell r="AC1640">
            <v>12701.94173</v>
          </cell>
          <cell r="AD1640">
            <v>12710.110909999999</v>
          </cell>
          <cell r="AE1640">
            <v>12703.099749999999</v>
          </cell>
          <cell r="AF1640">
            <v>12695.371440000001</v>
          </cell>
          <cell r="AG1640">
            <v>12689.11824</v>
          </cell>
          <cell r="AH1640">
            <v>12685.360430000001</v>
          </cell>
          <cell r="AI1640">
            <v>12684.254290000001</v>
          </cell>
          <cell r="AJ1640">
            <v>12685.27269</v>
          </cell>
          <cell r="AK1640">
            <v>12687.62177</v>
          </cell>
          <cell r="AL1640">
            <v>12690.643309999999</v>
          </cell>
          <cell r="AM1640">
            <v>12694.02853</v>
          </cell>
          <cell r="AN1640">
            <v>12697.81164</v>
          </cell>
          <cell r="AO1640">
            <v>12702.212799999999</v>
          </cell>
        </row>
        <row r="1643">
          <cell r="F1643">
            <v>67524.766570000007</v>
          </cell>
          <cell r="G1643">
            <v>68562.654420000006</v>
          </cell>
          <cell r="H1643">
            <v>69823.082410000003</v>
          </cell>
          <cell r="I1643">
            <v>71087.387359999993</v>
          </cell>
          <cell r="J1643">
            <v>72270.038839999994</v>
          </cell>
          <cell r="K1643">
            <v>73378.754109999994</v>
          </cell>
          <cell r="L1643">
            <v>74270.301259999993</v>
          </cell>
          <cell r="M1643">
            <v>75155.762210000001</v>
          </cell>
          <cell r="N1643">
            <v>76080.66201</v>
          </cell>
          <cell r="O1643">
            <v>77048.252059999999</v>
          </cell>
          <cell r="P1643">
            <v>78318.60557</v>
          </cell>
          <cell r="Q1643">
            <v>79353.916190000004</v>
          </cell>
          <cell r="R1643">
            <v>80362.135169999994</v>
          </cell>
          <cell r="S1643">
            <v>81385.353950000004</v>
          </cell>
          <cell r="T1643">
            <v>82421.259309999994</v>
          </cell>
          <cell r="U1643">
            <v>83469.065499999997</v>
          </cell>
          <cell r="V1643">
            <v>84535.105360000001</v>
          </cell>
          <cell r="W1643">
            <v>85628.387000000002</v>
          </cell>
          <cell r="X1643">
            <v>86756.110570000004</v>
          </cell>
          <cell r="Y1643">
            <v>87921.637640000001</v>
          </cell>
          <cell r="Z1643">
            <v>88930.960779999994</v>
          </cell>
          <cell r="AA1643">
            <v>90162.227910000001</v>
          </cell>
          <cell r="AB1643">
            <v>91466.431779999999</v>
          </cell>
          <cell r="AC1643">
            <v>92797.468240000002</v>
          </cell>
          <cell r="AD1643">
            <v>94148.273419999998</v>
          </cell>
          <cell r="AE1643">
            <v>94948.289730000004</v>
          </cell>
          <cell r="AF1643">
            <v>96089.762100000007</v>
          </cell>
          <cell r="AG1643">
            <v>97356.437149999998</v>
          </cell>
          <cell r="AH1643">
            <v>98668.912100000001</v>
          </cell>
          <cell r="AI1643">
            <v>100008.31909999999</v>
          </cell>
          <cell r="AJ1643">
            <v>101369.0425</v>
          </cell>
          <cell r="AK1643">
            <v>102746.13400000001</v>
          </cell>
          <cell r="AL1643">
            <v>104134.9712</v>
          </cell>
          <cell r="AM1643">
            <v>105533.197</v>
          </cell>
          <cell r="AN1643">
            <v>106941.5298</v>
          </cell>
          <cell r="AO1643">
            <v>108362.93520000001</v>
          </cell>
        </row>
        <row r="1653">
          <cell r="F1653">
            <v>7540.9816810000002</v>
          </cell>
          <cell r="G1653">
            <v>7945.290035</v>
          </cell>
          <cell r="H1653">
            <v>8461.7781149999992</v>
          </cell>
          <cell r="I1653">
            <v>8888.4597460000005</v>
          </cell>
          <cell r="J1653">
            <v>9194.24136</v>
          </cell>
          <cell r="K1653">
            <v>9414.3663190000007</v>
          </cell>
          <cell r="L1653">
            <v>9473.8324940000002</v>
          </cell>
          <cell r="M1653">
            <v>9537.5541709999998</v>
          </cell>
          <cell r="N1653">
            <v>9628.6620440000006</v>
          </cell>
          <cell r="O1653">
            <v>9741.3426949999994</v>
          </cell>
          <cell r="P1653">
            <v>10034.864380000001</v>
          </cell>
          <cell r="Q1653">
            <v>10138.166300000001</v>
          </cell>
          <cell r="R1653">
            <v>10230.69903</v>
          </cell>
          <cell r="S1653">
            <v>10343.971579999999</v>
          </cell>
          <cell r="T1653">
            <v>10473.98955</v>
          </cell>
          <cell r="U1653">
            <v>10615.064130000001</v>
          </cell>
          <cell r="V1653">
            <v>10764.771860000001</v>
          </cell>
          <cell r="W1653">
            <v>10922.795</v>
          </cell>
          <cell r="X1653">
            <v>11089.344090000001</v>
          </cell>
          <cell r="Y1653">
            <v>11264.294400000001</v>
          </cell>
          <cell r="Z1653">
            <v>11327.44952</v>
          </cell>
          <cell r="AA1653">
            <v>11535.97977</v>
          </cell>
          <cell r="AB1653">
            <v>11767.283369999999</v>
          </cell>
          <cell r="AC1653">
            <v>11992.619339999999</v>
          </cell>
          <cell r="AD1653">
            <v>12211.40106</v>
          </cell>
          <cell r="AE1653">
            <v>12075.726049999999</v>
          </cell>
          <cell r="AF1653">
            <v>12205.843929999999</v>
          </cell>
          <cell r="AG1653">
            <v>12407.01936</v>
          </cell>
          <cell r="AH1653">
            <v>12619.66589</v>
          </cell>
          <cell r="AI1653">
            <v>12831.721219999999</v>
          </cell>
          <cell r="AJ1653">
            <v>13042.170109999999</v>
          </cell>
          <cell r="AK1653">
            <v>13251.397919999999</v>
          </cell>
          <cell r="AL1653">
            <v>13459.608130000001</v>
          </cell>
          <cell r="AM1653">
            <v>13667.09916</v>
          </cell>
          <cell r="AN1653">
            <v>13874.552019999999</v>
          </cell>
          <cell r="AO1653">
            <v>14082.96048</v>
          </cell>
        </row>
        <row r="1655">
          <cell r="F1655">
            <v>15691.204729999999</v>
          </cell>
          <cell r="G1655">
            <v>15813.92043</v>
          </cell>
          <cell r="H1655">
            <v>15942.07627</v>
          </cell>
          <cell r="I1655">
            <v>16099.803830000001</v>
          </cell>
          <cell r="J1655">
            <v>16280.563239999999</v>
          </cell>
          <cell r="K1655">
            <v>16474.531060000001</v>
          </cell>
          <cell r="L1655">
            <v>16672.186969999999</v>
          </cell>
          <cell r="M1655">
            <v>16870.273010000001</v>
          </cell>
          <cell r="N1655">
            <v>17071.0389</v>
          </cell>
          <cell r="O1655">
            <v>17277.901389999999</v>
          </cell>
          <cell r="P1655">
            <v>17500.048940000001</v>
          </cell>
          <cell r="Q1655">
            <v>17733.01802</v>
          </cell>
          <cell r="R1655">
            <v>17969.946800000002</v>
          </cell>
          <cell r="S1655">
            <v>18207.58509</v>
          </cell>
          <cell r="T1655">
            <v>18445.68491</v>
          </cell>
          <cell r="U1655">
            <v>18685.991239999999</v>
          </cell>
          <cell r="V1655">
            <v>18931.119739999998</v>
          </cell>
          <cell r="W1655">
            <v>19183.508620000001</v>
          </cell>
          <cell r="X1655">
            <v>19444.739750000001</v>
          </cell>
          <cell r="Y1655">
            <v>19715.34736</v>
          </cell>
          <cell r="Z1655">
            <v>19988.667099999999</v>
          </cell>
          <cell r="AA1655">
            <v>20269.381389999999</v>
          </cell>
          <cell r="AB1655">
            <v>20560.061310000001</v>
          </cell>
          <cell r="AC1655">
            <v>20860.468089999998</v>
          </cell>
          <cell r="AD1655">
            <v>21169.341110000001</v>
          </cell>
          <cell r="AE1655">
            <v>21465.344829999998</v>
          </cell>
          <cell r="AF1655">
            <v>21758.373820000001</v>
          </cell>
          <cell r="AG1655">
            <v>22054.757679999999</v>
          </cell>
          <cell r="AH1655">
            <v>22357.546170000001</v>
          </cell>
          <cell r="AI1655">
            <v>22667.40266</v>
          </cell>
          <cell r="AJ1655">
            <v>22983.410110000001</v>
          </cell>
          <cell r="AK1655">
            <v>23303.969560000001</v>
          </cell>
          <cell r="AL1655">
            <v>23627.658650000001</v>
          </cell>
          <cell r="AM1655">
            <v>23953.77619</v>
          </cell>
          <cell r="AN1655">
            <v>24282.447349999999</v>
          </cell>
          <cell r="AO1655">
            <v>24614.3613</v>
          </cell>
        </row>
        <row r="1660">
          <cell r="F1660">
            <v>368210.87560000003</v>
          </cell>
          <cell r="G1660">
            <v>372979.59590000001</v>
          </cell>
          <cell r="H1660">
            <v>378438.89260000002</v>
          </cell>
          <cell r="I1660">
            <v>384921.16129999998</v>
          </cell>
          <cell r="J1660">
            <v>391816.75520000001</v>
          </cell>
          <cell r="K1660">
            <v>398645.4657</v>
          </cell>
          <cell r="L1660">
            <v>405511.56270000001</v>
          </cell>
          <cell r="M1660">
            <v>411968.16960000002</v>
          </cell>
          <cell r="N1660">
            <v>418174.03700000001</v>
          </cell>
          <cell r="O1660">
            <v>424383.81280000001</v>
          </cell>
          <cell r="P1660">
            <v>430348.58870000002</v>
          </cell>
          <cell r="Q1660">
            <v>437347.91769999999</v>
          </cell>
          <cell r="R1660">
            <v>444512.16350000002</v>
          </cell>
          <cell r="S1660">
            <v>451624.02340000001</v>
          </cell>
          <cell r="T1660">
            <v>458717.36359999998</v>
          </cell>
          <cell r="U1660">
            <v>465914.29430000001</v>
          </cell>
          <cell r="V1660">
            <v>473349.45329999999</v>
          </cell>
          <cell r="W1660">
            <v>481125.39270000003</v>
          </cell>
          <cell r="X1660">
            <v>489292.26240000001</v>
          </cell>
          <cell r="Y1660">
            <v>497849.22090000001</v>
          </cell>
          <cell r="Z1660">
            <v>506984.42989999999</v>
          </cell>
          <cell r="AA1660">
            <v>515910.80900000001</v>
          </cell>
          <cell r="AB1660">
            <v>525134.73529999994</v>
          </cell>
          <cell r="AC1660">
            <v>534718.18359999999</v>
          </cell>
          <cell r="AD1660">
            <v>544599.96750000003</v>
          </cell>
          <cell r="AE1660">
            <v>555246.84680000006</v>
          </cell>
          <cell r="AF1660">
            <v>565008.69629999995</v>
          </cell>
          <cell r="AG1660">
            <v>574674.39639999997</v>
          </cell>
          <cell r="AH1660">
            <v>584519.93819999998</v>
          </cell>
          <cell r="AI1660">
            <v>594591.73919999995</v>
          </cell>
          <cell r="AJ1660">
            <v>604839.00589999999</v>
          </cell>
          <cell r="AK1660">
            <v>615183.61699999997</v>
          </cell>
          <cell r="AL1660">
            <v>625565.34089999995</v>
          </cell>
          <cell r="AM1660">
            <v>635963.6531</v>
          </cell>
          <cell r="AN1660">
            <v>646396.7548</v>
          </cell>
          <cell r="AO1660">
            <v>656904.81480000005</v>
          </cell>
        </row>
        <row r="1663">
          <cell r="F1663">
            <v>3914.7565989999998</v>
          </cell>
          <cell r="G1663">
            <v>4036.8389280000001</v>
          </cell>
          <cell r="H1663">
            <v>4169.0218850000001</v>
          </cell>
          <cell r="I1663">
            <v>4295.9447419999997</v>
          </cell>
          <cell r="J1663">
            <v>4416.5444969999999</v>
          </cell>
          <cell r="K1663">
            <v>4532.6234400000003</v>
          </cell>
          <cell r="L1663">
            <v>4643.4033030000001</v>
          </cell>
          <cell r="M1663">
            <v>4750.591058</v>
          </cell>
          <cell r="N1663">
            <v>4854.7357480000001</v>
          </cell>
          <cell r="O1663">
            <v>4955.6404970000003</v>
          </cell>
          <cell r="P1663">
            <v>5056.1352500000003</v>
          </cell>
          <cell r="Q1663">
            <v>5152.1097229999996</v>
          </cell>
          <cell r="R1663">
            <v>5244.2785130000002</v>
          </cell>
          <cell r="S1663">
            <v>5333.343648</v>
          </cell>
          <cell r="T1663">
            <v>5419.2155069999999</v>
          </cell>
          <cell r="U1663">
            <v>5501.3826429999999</v>
          </cell>
          <cell r="V1663">
            <v>5579.3726360000001</v>
          </cell>
          <cell r="W1663">
            <v>5653.0338680000004</v>
          </cell>
          <cell r="X1663">
            <v>5722.6253550000001</v>
          </cell>
          <cell r="Y1663">
            <v>5788.7460940000001</v>
          </cell>
          <cell r="Z1663">
            <v>5849.7222449999999</v>
          </cell>
          <cell r="AA1663">
            <v>5909.4551750000001</v>
          </cell>
          <cell r="AB1663">
            <v>5968.3791869999995</v>
          </cell>
          <cell r="AC1663">
            <v>6026.584331</v>
          </cell>
          <cell r="AD1663">
            <v>6084.3782330000004</v>
          </cell>
          <cell r="AE1663">
            <v>6134.5348139999996</v>
          </cell>
          <cell r="AF1663">
            <v>6184.435125</v>
          </cell>
          <cell r="AG1663">
            <v>6234.1925279999996</v>
          </cell>
          <cell r="AH1663">
            <v>6283.145109</v>
          </cell>
          <cell r="AI1663">
            <v>6331.2424209999999</v>
          </cell>
          <cell r="AJ1663">
            <v>6378.8795929999997</v>
          </cell>
          <cell r="AK1663">
            <v>6426.548366</v>
          </cell>
          <cell r="AL1663">
            <v>6474.5960189999996</v>
          </cell>
          <cell r="AM1663">
            <v>6523.131907</v>
          </cell>
          <cell r="AN1663">
            <v>6572.0598620000001</v>
          </cell>
          <cell r="AO1663">
            <v>6621.1668200000004</v>
          </cell>
        </row>
        <row r="1668">
          <cell r="F1668">
            <v>6751.126467</v>
          </cell>
          <cell r="G1668">
            <v>6806.9061600000005</v>
          </cell>
          <cell r="H1668">
            <v>6855.6313410000002</v>
          </cell>
          <cell r="I1668">
            <v>6915.5197710000002</v>
          </cell>
          <cell r="J1668">
            <v>6997.4398170000004</v>
          </cell>
          <cell r="K1668">
            <v>7106.3754159999999</v>
          </cell>
          <cell r="L1668">
            <v>7240.1489430000001</v>
          </cell>
          <cell r="M1668">
            <v>7396.7689760000003</v>
          </cell>
          <cell r="N1668">
            <v>7571.7276019999999</v>
          </cell>
          <cell r="O1668">
            <v>7758.8467600000004</v>
          </cell>
          <cell r="P1668">
            <v>7954.7145479999999</v>
          </cell>
          <cell r="Q1668">
            <v>8149.8738089999997</v>
          </cell>
          <cell r="R1668">
            <v>8339.5118010000006</v>
          </cell>
          <cell r="S1668">
            <v>8520.0175199999994</v>
          </cell>
          <cell r="T1668">
            <v>8687.7841609999996</v>
          </cell>
          <cell r="U1668">
            <v>8839.8394979999994</v>
          </cell>
          <cell r="V1668">
            <v>8975.2440900000001</v>
          </cell>
          <cell r="W1668">
            <v>9095.5055460000003</v>
          </cell>
          <cell r="X1668">
            <v>9204.3394129999997</v>
          </cell>
          <cell r="Y1668">
            <v>9306.9355429999996</v>
          </cell>
          <cell r="Z1668">
            <v>9405.9881239999995</v>
          </cell>
          <cell r="AA1668">
            <v>9508.8626949999998</v>
          </cell>
          <cell r="AB1668">
            <v>9619.3352589999995</v>
          </cell>
          <cell r="AC1668">
            <v>9739.8401940000003</v>
          </cell>
          <cell r="AD1668">
            <v>9872.1157050000002</v>
          </cell>
          <cell r="AE1668">
            <v>10007.70097</v>
          </cell>
          <cell r="AF1668">
            <v>10152.93771</v>
          </cell>
          <cell r="AG1668">
            <v>10306.246289999999</v>
          </cell>
          <cell r="AH1668">
            <v>10464.839449999999</v>
          </cell>
          <cell r="AI1668">
            <v>10626.904119999999</v>
          </cell>
          <cell r="AJ1668">
            <v>10791.649299999999</v>
          </cell>
          <cell r="AK1668">
            <v>10958.74864</v>
          </cell>
          <cell r="AL1668">
            <v>11127.787</v>
          </cell>
          <cell r="AM1668">
            <v>11297.9681</v>
          </cell>
          <cell r="AN1668">
            <v>11468.14716</v>
          </cell>
          <cell r="AO1668">
            <v>11636.883529999999</v>
          </cell>
        </row>
        <row r="1702">
          <cell r="F1702">
            <v>1209846.2930000001</v>
          </cell>
          <cell r="G1702">
            <v>1224268.696</v>
          </cell>
          <cell r="H1702">
            <v>1243902.1769999999</v>
          </cell>
          <cell r="I1702">
            <v>1263252.7239999999</v>
          </cell>
          <cell r="J1702">
            <v>1280189.68</v>
          </cell>
          <cell r="K1702">
            <v>1295678.1710000001</v>
          </cell>
          <cell r="L1702">
            <v>1309890.2</v>
          </cell>
          <cell r="M1702">
            <v>1323518.31</v>
          </cell>
          <cell r="N1702">
            <v>1337465.7339999999</v>
          </cell>
          <cell r="O1702">
            <v>1353120.34</v>
          </cell>
          <cell r="P1702">
            <v>1372010.598</v>
          </cell>
          <cell r="Q1702">
            <v>1393233.351</v>
          </cell>
          <cell r="R1702">
            <v>1416248.564</v>
          </cell>
          <cell r="S1702">
            <v>1439989.2080000001</v>
          </cell>
          <cell r="T1702">
            <v>1463921.811</v>
          </cell>
          <cell r="U1702">
            <v>1487849.263</v>
          </cell>
          <cell r="V1702">
            <v>1511806.5160000001</v>
          </cell>
          <cell r="W1702">
            <v>1535928.41</v>
          </cell>
          <cell r="X1702">
            <v>1560329.9140000001</v>
          </cell>
          <cell r="Y1702">
            <v>1585040.753</v>
          </cell>
          <cell r="Z1702">
            <v>1608967.4779999999</v>
          </cell>
          <cell r="AA1702">
            <v>1633578.784</v>
          </cell>
          <cell r="AB1702">
            <v>1658567.6410000001</v>
          </cell>
          <cell r="AC1702">
            <v>1683727.746</v>
          </cell>
          <cell r="AD1702">
            <v>1708975.9410000001</v>
          </cell>
          <cell r="AE1702">
            <v>1729983.987</v>
          </cell>
          <cell r="AF1702">
            <v>1753901.7919999999</v>
          </cell>
          <cell r="AG1702">
            <v>1777614.577</v>
          </cell>
          <cell r="AH1702">
            <v>1801589.7919999999</v>
          </cell>
          <cell r="AI1702">
            <v>1825955.1780000001</v>
          </cell>
          <cell r="AJ1702">
            <v>1850639.898</v>
          </cell>
          <cell r="AK1702">
            <v>1875531.044</v>
          </cell>
          <cell r="AL1702">
            <v>1900574.2520000001</v>
          </cell>
          <cell r="AM1702">
            <v>1925802.656</v>
          </cell>
          <cell r="AN1702">
            <v>1951311.814</v>
          </cell>
          <cell r="AO1702">
            <v>1977209.074</v>
          </cell>
        </row>
        <row r="1731">
          <cell r="F1731">
            <v>1209846.2930000001</v>
          </cell>
          <cell r="G1731">
            <v>1224268.696</v>
          </cell>
          <cell r="H1731">
            <v>1243902.1769999999</v>
          </cell>
          <cell r="I1731">
            <v>1263252.7239999999</v>
          </cell>
          <cell r="J1731">
            <v>1280189.68</v>
          </cell>
          <cell r="K1731">
            <v>1295678.1710000001</v>
          </cell>
          <cell r="L1731">
            <v>1309763.4709999999</v>
          </cell>
          <cell r="M1731">
            <v>1324679.0209999999</v>
          </cell>
          <cell r="N1731">
            <v>1340616.115</v>
          </cell>
          <cell r="O1731">
            <v>1357917.0160000001</v>
          </cell>
          <cell r="P1731">
            <v>1377322.088</v>
          </cell>
          <cell r="Q1731">
            <v>1397864.773</v>
          </cell>
          <cell r="R1731">
            <v>1419239.865</v>
          </cell>
          <cell r="S1731">
            <v>1440932.44</v>
          </cell>
          <cell r="T1731">
            <v>1462972.5789999999</v>
          </cell>
          <cell r="U1731">
            <v>1485540.713</v>
          </cell>
          <cell r="V1731">
            <v>1508792.736</v>
          </cell>
          <cell r="W1731">
            <v>1532773.6669999999</v>
          </cell>
          <cell r="X1731">
            <v>1557407.102</v>
          </cell>
          <cell r="Y1731">
            <v>1582537.493</v>
          </cell>
          <cell r="Z1731">
            <v>1606942.361</v>
          </cell>
          <cell r="AA1731">
            <v>1632088.2990000001</v>
          </cell>
          <cell r="AB1731">
            <v>1657659.0290000001</v>
          </cell>
          <cell r="AC1731">
            <v>1683471.368</v>
          </cell>
          <cell r="AD1731">
            <v>1709445.35</v>
          </cell>
          <cell r="AE1731">
            <v>1731220.4850000001</v>
          </cell>
          <cell r="AF1731">
            <v>1755892.92</v>
          </cell>
          <cell r="AG1731">
            <v>1780264.554</v>
          </cell>
          <cell r="AH1731">
            <v>1804746.1340000001</v>
          </cell>
          <cell r="AI1731">
            <v>1829441.2139999999</v>
          </cell>
          <cell r="AJ1731">
            <v>1854289.129</v>
          </cell>
          <cell r="AK1731">
            <v>1879211.382</v>
          </cell>
          <cell r="AL1731">
            <v>1904197.9850000001</v>
          </cell>
          <cell r="AM1731">
            <v>1929325.0279999999</v>
          </cell>
          <cell r="AN1731">
            <v>1954722.0859999999</v>
          </cell>
          <cell r="AO1731">
            <v>1980519.0490000001</v>
          </cell>
        </row>
        <row r="1760">
          <cell r="F1760">
            <v>0.99469770400000002</v>
          </cell>
          <cell r="G1760">
            <v>1.0064190399999999</v>
          </cell>
          <cell r="H1760">
            <v>1.0176969199999999</v>
          </cell>
          <cell r="I1760">
            <v>1.029669556</v>
          </cell>
          <cell r="J1760">
            <v>1.0431002549999999</v>
          </cell>
          <cell r="K1760">
            <v>1.058355146</v>
          </cell>
          <cell r="L1760">
            <v>1.0757442530000001</v>
          </cell>
          <cell r="M1760">
            <v>1.097668973</v>
          </cell>
          <cell r="N1760">
            <v>1.121972183</v>
          </cell>
          <cell r="O1760">
            <v>1.1471905099999999</v>
          </cell>
          <cell r="P1760">
            <v>1.172000803</v>
          </cell>
          <cell r="Q1760">
            <v>1.1968026009999999</v>
          </cell>
          <cell r="R1760">
            <v>1.2219563579999999</v>
          </cell>
          <cell r="S1760">
            <v>1.247862619</v>
          </cell>
          <cell r="T1760">
            <v>1.274743666</v>
          </cell>
          <cell r="U1760">
            <v>1.3025881079999999</v>
          </cell>
          <cell r="V1760">
            <v>1.331200003</v>
          </cell>
          <cell r="W1760">
            <v>1.360316901</v>
          </cell>
          <cell r="X1760">
            <v>1.389727237</v>
          </cell>
          <cell r="Y1760">
            <v>1.4193406690000001</v>
          </cell>
          <cell r="Z1760">
            <v>1.449405982</v>
          </cell>
          <cell r="AA1760">
            <v>1.4796784810000001</v>
          </cell>
          <cell r="AB1760">
            <v>1.5102619850000001</v>
          </cell>
          <cell r="AC1760">
            <v>1.541375736</v>
          </cell>
          <cell r="AD1760">
            <v>1.5732283760000001</v>
          </cell>
          <cell r="AE1760">
            <v>1.606460942</v>
          </cell>
          <cell r="AF1760">
            <v>1.6404343560000001</v>
          </cell>
          <cell r="AG1760">
            <v>1.6747058399999999</v>
          </cell>
          <cell r="AH1760">
            <v>1.7091610349999999</v>
          </cell>
          <cell r="AI1760">
            <v>1.7439116240000001</v>
          </cell>
          <cell r="AJ1760">
            <v>1.7791893729999999</v>
          </cell>
          <cell r="AK1760">
            <v>1.8152249490000001</v>
          </cell>
          <cell r="AL1760">
            <v>1.852161556</v>
          </cell>
          <cell r="AM1760">
            <v>1.890029161</v>
          </cell>
          <cell r="AN1760">
            <v>1.92877101</v>
          </cell>
          <cell r="AO1760">
            <v>1.968300162</v>
          </cell>
        </row>
        <row r="1789">
          <cell r="F1789">
            <v>0.99469770400000002</v>
          </cell>
          <cell r="G1789">
            <v>1.0064190399999999</v>
          </cell>
          <cell r="H1789">
            <v>1.0176969199999999</v>
          </cell>
          <cell r="I1789">
            <v>1.029669556</v>
          </cell>
          <cell r="J1789">
            <v>1.0431002549999999</v>
          </cell>
          <cell r="K1789">
            <v>1.058355146</v>
          </cell>
          <cell r="L1789">
            <v>1.075379866</v>
          </cell>
          <cell r="M1789">
            <v>1.0941775730000001</v>
          </cell>
          <cell r="N1789">
            <v>1.114303979</v>
          </cell>
          <cell r="O1789">
            <v>1.135479363</v>
          </cell>
          <cell r="P1789">
            <v>1.1573562829999999</v>
          </cell>
          <cell r="Q1789">
            <v>1.1805331450000001</v>
          </cell>
          <cell r="R1789">
            <v>1.2053729929999999</v>
          </cell>
          <cell r="S1789">
            <v>1.23187902</v>
          </cell>
          <cell r="T1789">
            <v>1.2597972420000001</v>
          </cell>
          <cell r="U1789">
            <v>1.2887510280000001</v>
          </cell>
          <cell r="V1789">
            <v>1.318374916</v>
          </cell>
          <cell r="W1789">
            <v>1.3484073759999999</v>
          </cell>
          <cell r="X1789">
            <v>1.378720401</v>
          </cell>
          <cell r="Y1789">
            <v>1.409297217</v>
          </cell>
          <cell r="Z1789">
            <v>1.4404118050000001</v>
          </cell>
          <cell r="AA1789">
            <v>1.4717094470000001</v>
          </cell>
          <cell r="AB1789">
            <v>1.5032163460000001</v>
          </cell>
          <cell r="AC1789">
            <v>1.5350438310000001</v>
          </cell>
          <cell r="AD1789">
            <v>1.5673287600000001</v>
          </cell>
          <cell r="AE1789">
            <v>1.6006932</v>
          </cell>
          <cell r="AF1789">
            <v>1.63453325</v>
          </cell>
          <cell r="AG1789">
            <v>1.6685054580000001</v>
          </cell>
          <cell r="AH1789">
            <v>1.7025876010000001</v>
          </cell>
          <cell r="AI1789">
            <v>1.736963772</v>
          </cell>
          <cell r="AJ1789">
            <v>1.771910627</v>
          </cell>
          <cell r="AK1789">
            <v>1.80768079</v>
          </cell>
          <cell r="AL1789">
            <v>1.844426388</v>
          </cell>
          <cell r="AM1789">
            <v>1.882181117</v>
          </cell>
          <cell r="AN1789">
            <v>1.9208926980000001</v>
          </cell>
          <cell r="AO1789">
            <v>1.9604812389999999</v>
          </cell>
        </row>
      </sheetData>
      <sheetData sheetId="7"/>
      <sheetData sheetId="8">
        <row r="820">
          <cell r="B820">
            <v>352.41218830000003</v>
          </cell>
          <cell r="C820">
            <v>354.24761139999998</v>
          </cell>
          <cell r="D820">
            <v>356.16947119999998</v>
          </cell>
          <cell r="E820">
            <v>358.45450449999998</v>
          </cell>
          <cell r="F820">
            <v>361.24571070000002</v>
          </cell>
          <cell r="G820">
            <v>364.62746499999997</v>
          </cell>
          <cell r="H820">
            <v>368.14126379999999</v>
          </cell>
          <cell r="I820">
            <v>372.16778249999999</v>
          </cell>
          <cell r="J820">
            <v>376.57082320000001</v>
          </cell>
          <cell r="K820">
            <v>381.18904270000002</v>
          </cell>
          <cell r="L820">
            <v>386.50365190000002</v>
          </cell>
          <cell r="M820">
            <v>391.25512620000001</v>
          </cell>
          <cell r="N820">
            <v>396.04449039999997</v>
          </cell>
          <cell r="O820">
            <v>400.90188590000002</v>
          </cell>
          <cell r="P820">
            <v>405.74885330000001</v>
          </cell>
          <cell r="Q820">
            <v>410.51323380000002</v>
          </cell>
          <cell r="R820">
            <v>415.15422080000002</v>
          </cell>
          <cell r="S820">
            <v>419.66554239999999</v>
          </cell>
          <cell r="T820">
            <v>424.06933739999999</v>
          </cell>
          <cell r="U820">
            <v>428.40440189999998</v>
          </cell>
          <cell r="V820">
            <v>432.2699935</v>
          </cell>
          <cell r="W820">
            <v>436.58415710000003</v>
          </cell>
          <cell r="X820">
            <v>440.956367</v>
          </cell>
          <cell r="Y820">
            <v>445.34216249999997</v>
          </cell>
          <cell r="Z820">
            <v>449.77159510000001</v>
          </cell>
          <cell r="AA820">
            <v>452.9192281</v>
          </cell>
          <cell r="AB820">
            <v>456.96169400000002</v>
          </cell>
          <cell r="AC820">
            <v>461.12640679999998</v>
          </cell>
          <cell r="AD820">
            <v>465.25422650000002</v>
          </cell>
          <cell r="AE820">
            <v>469.35654019999998</v>
          </cell>
          <cell r="AF820">
            <v>473.47183790000003</v>
          </cell>
          <cell r="AG820">
            <v>477.62833360000002</v>
          </cell>
          <cell r="AH820">
            <v>481.83523589999999</v>
          </cell>
          <cell r="AI820">
            <v>486.08479290000002</v>
          </cell>
          <cell r="AJ820">
            <v>490.35966459999997</v>
          </cell>
          <cell r="AK820">
            <v>494.64095370000001</v>
          </cell>
        </row>
        <row r="821">
          <cell r="B821">
            <v>185.06591950000001</v>
          </cell>
          <cell r="C821">
            <v>186.23173539999999</v>
          </cell>
          <cell r="D821">
            <v>187.63961409999999</v>
          </cell>
          <cell r="E821">
            <v>189.37105969999999</v>
          </cell>
          <cell r="F821">
            <v>191.50191530000001</v>
          </cell>
          <cell r="G821">
            <v>194.09038630000001</v>
          </cell>
          <cell r="H821">
            <v>196.86256470000001</v>
          </cell>
          <cell r="I821">
            <v>200.01867329999999</v>
          </cell>
          <cell r="J821">
            <v>203.4370194</v>
          </cell>
          <cell r="K821">
            <v>206.9917615</v>
          </cell>
          <cell r="L821">
            <v>210.9240423</v>
          </cell>
          <cell r="M821">
            <v>214.5452315</v>
          </cell>
          <cell r="N821">
            <v>218.20553860000001</v>
          </cell>
          <cell r="O821">
            <v>221.90942770000001</v>
          </cell>
          <cell r="P821">
            <v>225.5974933</v>
          </cell>
          <cell r="Q821">
            <v>229.20873359999999</v>
          </cell>
          <cell r="R821">
            <v>232.70416080000001</v>
          </cell>
          <cell r="S821">
            <v>236.07562619999999</v>
          </cell>
          <cell r="T821">
            <v>239.3438022</v>
          </cell>
          <cell r="U821">
            <v>242.54815429999999</v>
          </cell>
          <cell r="V821">
            <v>245.4844429</v>
          </cell>
          <cell r="W821">
            <v>248.67853640000001</v>
          </cell>
          <cell r="X821">
            <v>251.92454649999999</v>
          </cell>
          <cell r="Y821">
            <v>255.21741420000001</v>
          </cell>
          <cell r="Z821">
            <v>258.5867705</v>
          </cell>
          <cell r="AA821">
            <v>261.27337619999997</v>
          </cell>
          <cell r="AB821">
            <v>264.52022870000002</v>
          </cell>
          <cell r="AC821">
            <v>267.85447950000002</v>
          </cell>
          <cell r="AD821">
            <v>271.19442470000001</v>
          </cell>
          <cell r="AE821">
            <v>274.55752560000002</v>
          </cell>
          <cell r="AF821">
            <v>277.98032819999997</v>
          </cell>
          <cell r="AG821">
            <v>281.49160260000002</v>
          </cell>
          <cell r="AH821">
            <v>285.10239510000002</v>
          </cell>
          <cell r="AI821">
            <v>288.80599810000001</v>
          </cell>
          <cell r="AJ821">
            <v>292.58447200000001</v>
          </cell>
          <cell r="AK821">
            <v>296.41704099999998</v>
          </cell>
        </row>
        <row r="822">
          <cell r="B822">
            <v>2.7559079440000001</v>
          </cell>
          <cell r="C822">
            <v>2.7433408300000002</v>
          </cell>
          <cell r="D822">
            <v>2.7371381000000001</v>
          </cell>
          <cell r="E822">
            <v>2.74107675</v>
          </cell>
          <cell r="F822">
            <v>2.75498778</v>
          </cell>
          <cell r="G822">
            <v>2.7773807289999999</v>
          </cell>
          <cell r="H822">
            <v>2.805256924</v>
          </cell>
          <cell r="I822">
            <v>2.8358389220000002</v>
          </cell>
          <cell r="J822">
            <v>2.86745903</v>
          </cell>
          <cell r="K822">
            <v>2.8986958889999999</v>
          </cell>
          <cell r="L822">
            <v>2.9298813539999999</v>
          </cell>
          <cell r="M822">
            <v>2.959598964</v>
          </cell>
          <cell r="N822">
            <v>2.9857736739999998</v>
          </cell>
          <cell r="O822">
            <v>3.008477198</v>
          </cell>
          <cell r="P822">
            <v>3.028122626</v>
          </cell>
          <cell r="Q822">
            <v>3.045375613</v>
          </cell>
          <cell r="R822">
            <v>3.061012356</v>
          </cell>
          <cell r="S822">
            <v>3.0757830149999998</v>
          </cell>
          <cell r="T822">
            <v>3.0903171390000002</v>
          </cell>
          <cell r="U822">
            <v>3.105081953</v>
          </cell>
          <cell r="V822">
            <v>3.1191911939999999</v>
          </cell>
          <cell r="W822">
            <v>3.1337315120000002</v>
          </cell>
          <cell r="X822">
            <v>3.1496938380000001</v>
          </cell>
          <cell r="Y822">
            <v>3.1669263029999999</v>
          </cell>
          <cell r="Z822">
            <v>3.1852409150000001</v>
          </cell>
          <cell r="AA822">
            <v>3.2008377050000001</v>
          </cell>
          <cell r="AB822">
            <v>3.2152008689999998</v>
          </cell>
          <cell r="AC822">
            <v>3.2299915719999999</v>
          </cell>
          <cell r="AD822">
            <v>3.2453737380000001</v>
          </cell>
          <cell r="AE822">
            <v>3.2613771210000002</v>
          </cell>
          <cell r="AF822">
            <v>3.2779172769999998</v>
          </cell>
          <cell r="AG822">
            <v>3.2948533000000002</v>
          </cell>
          <cell r="AH822">
            <v>3.312046901</v>
          </cell>
          <cell r="AI822">
            <v>3.329399467</v>
          </cell>
          <cell r="AJ822">
            <v>3.3468606109999999</v>
          </cell>
          <cell r="AK822">
            <v>3.3644146940000001</v>
          </cell>
        </row>
        <row r="823">
          <cell r="B823">
            <v>49.278433769999999</v>
          </cell>
          <cell r="C823">
            <v>50.242450859999998</v>
          </cell>
          <cell r="D823">
            <v>51.364972989999998</v>
          </cell>
          <cell r="E823">
            <v>52.409916889999998</v>
          </cell>
          <cell r="F823">
            <v>53.356515420000001</v>
          </cell>
          <cell r="G823">
            <v>54.254546210000001</v>
          </cell>
          <cell r="H823">
            <v>54.988550510000003</v>
          </cell>
          <cell r="I823">
            <v>55.769376260000001</v>
          </cell>
          <cell r="J823">
            <v>56.60472248</v>
          </cell>
          <cell r="K823">
            <v>57.474330860000002</v>
          </cell>
          <cell r="L823">
            <v>58.593008359999999</v>
          </cell>
          <cell r="M823">
            <v>59.45028482</v>
          </cell>
          <cell r="N823">
            <v>60.301835570000001</v>
          </cell>
          <cell r="O823">
            <v>61.178733700000002</v>
          </cell>
          <cell r="P823">
            <v>62.066756089999998</v>
          </cell>
          <cell r="Q823">
            <v>62.957740919999999</v>
          </cell>
          <cell r="R823">
            <v>63.852173309999998</v>
          </cell>
          <cell r="S823">
            <v>64.75463723</v>
          </cell>
          <cell r="T823">
            <v>65.670279089999994</v>
          </cell>
          <cell r="U823">
            <v>66.603040030000003</v>
          </cell>
          <cell r="V823">
            <v>67.387247770000002</v>
          </cell>
          <cell r="W823">
            <v>68.385047619999995</v>
          </cell>
          <cell r="X823">
            <v>69.419113629999998</v>
          </cell>
          <cell r="Y823">
            <v>70.455990049999997</v>
          </cell>
          <cell r="Z823">
            <v>71.500826009999997</v>
          </cell>
          <cell r="AA823">
            <v>72.062404389999998</v>
          </cell>
          <cell r="AB823">
            <v>73.012402260000002</v>
          </cell>
          <cell r="AC823">
            <v>74.049239150000005</v>
          </cell>
          <cell r="AD823">
            <v>75.095487039999995</v>
          </cell>
          <cell r="AE823">
            <v>76.146088320000004</v>
          </cell>
          <cell r="AF823">
            <v>77.204670759999999</v>
          </cell>
          <cell r="AG823">
            <v>78.272312049999996</v>
          </cell>
          <cell r="AH823">
            <v>79.348185959999995</v>
          </cell>
          <cell r="AI823">
            <v>80.431430289999994</v>
          </cell>
          <cell r="AJ823">
            <v>81.522132709999994</v>
          </cell>
          <cell r="AK823">
            <v>82.62128688</v>
          </cell>
        </row>
        <row r="824">
          <cell r="B824">
            <v>115.311927</v>
          </cell>
          <cell r="C824">
            <v>115.0300843</v>
          </cell>
          <cell r="D824">
            <v>114.427746</v>
          </cell>
          <cell r="E824">
            <v>113.93245109999999</v>
          </cell>
          <cell r="F824">
            <v>113.63229219999999</v>
          </cell>
          <cell r="G824">
            <v>113.5051517</v>
          </cell>
          <cell r="H824">
            <v>113.48489170000001</v>
          </cell>
          <cell r="I824">
            <v>113.54389399999999</v>
          </cell>
          <cell r="J824">
            <v>113.6616223</v>
          </cell>
          <cell r="K824">
            <v>113.8242544</v>
          </cell>
          <cell r="L824">
            <v>114.0567199</v>
          </cell>
          <cell r="M824">
            <v>114.3000109</v>
          </cell>
          <cell r="N824">
            <v>114.5513425</v>
          </cell>
          <cell r="O824">
            <v>114.8052474</v>
          </cell>
          <cell r="P824">
            <v>115.0564813</v>
          </cell>
          <cell r="Q824">
            <v>115.30138359999999</v>
          </cell>
          <cell r="R824">
            <v>115.5368744</v>
          </cell>
          <cell r="S824">
            <v>115.759496</v>
          </cell>
          <cell r="T824">
            <v>115.96493890000001</v>
          </cell>
          <cell r="U824">
            <v>116.1481256</v>
          </cell>
          <cell r="V824">
            <v>116.2791117</v>
          </cell>
          <cell r="W824">
            <v>116.38684170000001</v>
          </cell>
          <cell r="X824">
            <v>116.4630131</v>
          </cell>
          <cell r="Y824">
            <v>116.5018319</v>
          </cell>
          <cell r="Z824">
            <v>116.4987577</v>
          </cell>
          <cell r="AA824">
            <v>116.38260990000001</v>
          </cell>
          <cell r="AB824">
            <v>116.21386219999999</v>
          </cell>
          <cell r="AC824">
            <v>115.99269649999999</v>
          </cell>
          <cell r="AD824">
            <v>115.718941</v>
          </cell>
          <cell r="AE824">
            <v>115.3915492</v>
          </cell>
          <cell r="AF824">
            <v>115.00892159999999</v>
          </cell>
          <cell r="AG824">
            <v>114.5695656</v>
          </cell>
          <cell r="AH824">
            <v>114.07260789999999</v>
          </cell>
          <cell r="AI824">
            <v>113.5179651</v>
          </cell>
          <cell r="AJ824">
            <v>112.9061992</v>
          </cell>
          <cell r="AK824">
            <v>112.2382111</v>
          </cell>
        </row>
        <row r="825">
          <cell r="B825">
            <v>352.41218830000003</v>
          </cell>
          <cell r="C825">
            <v>354.24761139999998</v>
          </cell>
          <cell r="D825">
            <v>356.16947119999998</v>
          </cell>
          <cell r="E825">
            <v>358.45450449999998</v>
          </cell>
          <cell r="F825">
            <v>361.24571070000002</v>
          </cell>
          <cell r="G825">
            <v>364.62746499999997</v>
          </cell>
          <cell r="H825">
            <v>370.24318670000002</v>
          </cell>
          <cell r="I825">
            <v>374.72444200000001</v>
          </cell>
          <cell r="J825">
            <v>379.23045960000002</v>
          </cell>
          <cell r="K825">
            <v>383.70972360000002</v>
          </cell>
          <cell r="L825">
            <v>388.64349340000001</v>
          </cell>
          <cell r="M825">
            <v>392.8087008</v>
          </cell>
          <cell r="N825">
            <v>396.91592279999998</v>
          </cell>
          <cell r="O825">
            <v>401.12616530000003</v>
          </cell>
          <cell r="P825">
            <v>405.47076299999998</v>
          </cell>
          <cell r="Q825">
            <v>409.93689230000001</v>
          </cell>
          <cell r="R825">
            <v>414.49784890000001</v>
          </cell>
          <cell r="S825">
            <v>419.12616860000003</v>
          </cell>
          <cell r="T825">
            <v>423.80379790000001</v>
          </cell>
          <cell r="U825">
            <v>428.52651580000003</v>
          </cell>
          <cell r="V825">
            <v>432.85288329999997</v>
          </cell>
          <cell r="W825">
            <v>437.69295870000002</v>
          </cell>
          <cell r="X825">
            <v>442.63142290000002</v>
          </cell>
          <cell r="Y825">
            <v>447.60977320000001</v>
          </cell>
          <cell r="Z825">
            <v>452.6446176</v>
          </cell>
          <cell r="AA825">
            <v>456.38521379999997</v>
          </cell>
          <cell r="AB825">
            <v>461.0124611</v>
          </cell>
          <cell r="AC825">
            <v>465.73331619999999</v>
          </cell>
          <cell r="AD825">
            <v>470.38190020000002</v>
          </cell>
          <cell r="AE825">
            <v>474.97171500000002</v>
          </cell>
          <cell r="AF825">
            <v>479.55015550000002</v>
          </cell>
          <cell r="AG825">
            <v>484.15870169999999</v>
          </cell>
          <cell r="AH825">
            <v>488.82144479999999</v>
          </cell>
          <cell r="AI825">
            <v>493.54380079999999</v>
          </cell>
          <cell r="AJ825">
            <v>498.31893500000001</v>
          </cell>
          <cell r="AK825">
            <v>503.13584420000001</v>
          </cell>
        </row>
        <row r="826">
          <cell r="B826">
            <v>185.06591950000001</v>
          </cell>
          <cell r="C826">
            <v>186.23173539999999</v>
          </cell>
          <cell r="D826">
            <v>187.63961409999999</v>
          </cell>
          <cell r="E826">
            <v>189.37105969999999</v>
          </cell>
          <cell r="F826">
            <v>191.50191530000001</v>
          </cell>
          <cell r="G826">
            <v>194.09038630000001</v>
          </cell>
          <cell r="H826">
            <v>198.8052414</v>
          </cell>
          <cell r="I826">
            <v>202.41748229999999</v>
          </cell>
          <cell r="J826">
            <v>206.00240719999999</v>
          </cell>
          <cell r="K826">
            <v>209.49808709999999</v>
          </cell>
          <cell r="L826">
            <v>213.10458689999999</v>
          </cell>
          <cell r="M826">
            <v>216.16320479999999</v>
          </cell>
          <cell r="N826">
            <v>219.11886390000001</v>
          </cell>
          <cell r="O826">
            <v>222.09988749999999</v>
          </cell>
          <cell r="P826">
            <v>225.15959000000001</v>
          </cell>
          <cell r="Q826">
            <v>228.3053635</v>
          </cell>
          <cell r="R826">
            <v>231.52154959999999</v>
          </cell>
          <cell r="S826">
            <v>234.78509589999999</v>
          </cell>
          <cell r="T826">
            <v>238.07968020000001</v>
          </cell>
          <cell r="U826">
            <v>241.40327400000001</v>
          </cell>
          <cell r="V826">
            <v>244.51197819999999</v>
          </cell>
          <cell r="W826">
            <v>247.9271655</v>
          </cell>
          <cell r="X826">
            <v>251.4203579</v>
          </cell>
          <cell r="Y826">
            <v>254.97521140000001</v>
          </cell>
          <cell r="Z826">
            <v>258.60998619999998</v>
          </cell>
          <cell r="AA826">
            <v>261.54214669999999</v>
          </cell>
          <cell r="AB826">
            <v>265.01816259999998</v>
          </cell>
          <cell r="AC826">
            <v>268.54061059999998</v>
          </cell>
          <cell r="AD826">
            <v>272.01663639999998</v>
          </cell>
          <cell r="AE826">
            <v>275.4617227</v>
          </cell>
          <cell r="AF826">
            <v>278.91808179999998</v>
          </cell>
          <cell r="AG826">
            <v>282.42554580000001</v>
          </cell>
          <cell r="AH826">
            <v>286.008802</v>
          </cell>
          <cell r="AI826">
            <v>289.67395169999998</v>
          </cell>
          <cell r="AJ826">
            <v>293.41391379999999</v>
          </cell>
          <cell r="AK826">
            <v>297.21675370000003</v>
          </cell>
        </row>
        <row r="827">
          <cell r="B827">
            <v>2.7559079440000001</v>
          </cell>
          <cell r="C827">
            <v>2.7433408300000002</v>
          </cell>
          <cell r="D827">
            <v>2.7371381000000001</v>
          </cell>
          <cell r="E827">
            <v>2.74107675</v>
          </cell>
          <cell r="F827">
            <v>2.75498778</v>
          </cell>
          <cell r="G827">
            <v>2.7773807289999999</v>
          </cell>
          <cell r="H827">
            <v>2.806310265</v>
          </cell>
          <cell r="I827">
            <v>2.837060175</v>
          </cell>
          <cell r="J827">
            <v>2.8680677079999999</v>
          </cell>
          <cell r="K827">
            <v>2.8982861799999999</v>
          </cell>
          <cell r="L827">
            <v>2.9285011399999998</v>
          </cell>
          <cell r="M827">
            <v>2.957623602</v>
          </cell>
          <cell r="N827">
            <v>2.9836898939999998</v>
          </cell>
          <cell r="O827">
            <v>3.006676219</v>
          </cell>
          <cell r="P827">
            <v>3.0267738560000002</v>
          </cell>
          <cell r="Q827">
            <v>3.0444187980000001</v>
          </cell>
          <cell r="R827">
            <v>3.0602393619999999</v>
          </cell>
          <cell r="S827">
            <v>3.0749534700000001</v>
          </cell>
          <cell r="T827">
            <v>3.0892528499999998</v>
          </cell>
          <cell r="U827">
            <v>3.1037106460000001</v>
          </cell>
          <cell r="V827">
            <v>3.1175454010000001</v>
          </cell>
          <cell r="W827">
            <v>3.1318915230000002</v>
          </cell>
          <cell r="X827">
            <v>3.1477593009999998</v>
          </cell>
          <cell r="Y827">
            <v>3.1649799810000001</v>
          </cell>
          <cell r="Z827">
            <v>3.1833338680000001</v>
          </cell>
          <cell r="AA827">
            <v>3.1989984379999998</v>
          </cell>
          <cell r="AB827">
            <v>3.213429562</v>
          </cell>
          <cell r="AC827">
            <v>3.228292862</v>
          </cell>
          <cell r="AD827">
            <v>3.243759678</v>
          </cell>
          <cell r="AE827">
            <v>3.2598645400000001</v>
          </cell>
          <cell r="AF827">
            <v>3.2765195130000002</v>
          </cell>
          <cell r="AG827">
            <v>3.293571805</v>
          </cell>
          <cell r="AH827">
            <v>3.3108669489999998</v>
          </cell>
          <cell r="AI827">
            <v>3.3282912140000001</v>
          </cell>
          <cell r="AJ827">
            <v>3.3457844589999999</v>
          </cell>
          <cell r="AK827">
            <v>3.363328777</v>
          </cell>
        </row>
        <row r="828">
          <cell r="B828">
            <v>49.278433769999999</v>
          </cell>
          <cell r="C828">
            <v>50.242450859999998</v>
          </cell>
          <cell r="D828">
            <v>51.364972989999998</v>
          </cell>
          <cell r="E828">
            <v>52.409916889999998</v>
          </cell>
          <cell r="F828">
            <v>53.356515420000001</v>
          </cell>
          <cell r="G828">
            <v>54.254546210000001</v>
          </cell>
          <cell r="H828">
            <v>55.146312000000002</v>
          </cell>
          <cell r="I828">
            <v>55.916194939999997</v>
          </cell>
          <cell r="J828">
            <v>56.668981819999999</v>
          </cell>
          <cell r="K828">
            <v>57.419117389999997</v>
          </cell>
          <cell r="L828">
            <v>58.409593350000002</v>
          </cell>
          <cell r="M828">
            <v>59.152011569999999</v>
          </cell>
          <cell r="N828">
            <v>59.91625561</v>
          </cell>
          <cell r="O828">
            <v>60.738582489999999</v>
          </cell>
          <cell r="P828">
            <v>61.602748779999999</v>
          </cell>
          <cell r="Q828">
            <v>62.494414999999996</v>
          </cell>
          <cell r="R828">
            <v>63.407702049999997</v>
          </cell>
          <cell r="S828">
            <v>64.342497760000001</v>
          </cell>
          <cell r="T828">
            <v>65.301041530000006</v>
          </cell>
          <cell r="U828">
            <v>66.285279299999999</v>
          </cell>
          <cell r="V828">
            <v>67.128147970000001</v>
          </cell>
          <cell r="W828">
            <v>68.187633169999998</v>
          </cell>
          <cell r="X828">
            <v>69.28349738</v>
          </cell>
          <cell r="Y828">
            <v>70.378628309999996</v>
          </cell>
          <cell r="Z828">
            <v>71.474830549999993</v>
          </cell>
          <cell r="AA828">
            <v>72.079303300000007</v>
          </cell>
          <cell r="AB828">
            <v>73.061452720000005</v>
          </cell>
          <cell r="AC828">
            <v>74.120900570000003</v>
          </cell>
          <cell r="AD828">
            <v>75.182133550000003</v>
          </cell>
          <cell r="AE828">
            <v>76.242474380000004</v>
          </cell>
          <cell r="AF828">
            <v>77.30796556</v>
          </cell>
          <cell r="AG828">
            <v>78.381863319999994</v>
          </cell>
          <cell r="AH828">
            <v>79.465175970000004</v>
          </cell>
          <cell r="AI828">
            <v>80.558442889999995</v>
          </cell>
          <cell r="AJ828">
            <v>81.662795200000005</v>
          </cell>
          <cell r="AK828">
            <v>82.780008620000004</v>
          </cell>
        </row>
        <row r="829">
          <cell r="B829">
            <v>115.311927</v>
          </cell>
          <cell r="C829">
            <v>115.0300843</v>
          </cell>
          <cell r="D829">
            <v>114.427746</v>
          </cell>
          <cell r="E829">
            <v>113.93245109999999</v>
          </cell>
          <cell r="F829">
            <v>113.63229219999999</v>
          </cell>
          <cell r="G829">
            <v>113.5051517</v>
          </cell>
          <cell r="H829">
            <v>113.4853231</v>
          </cell>
          <cell r="I829">
            <v>113.5537046</v>
          </cell>
          <cell r="J829">
            <v>113.6910029</v>
          </cell>
          <cell r="K829">
            <v>113.89423290000001</v>
          </cell>
          <cell r="L829">
            <v>114.200812</v>
          </cell>
          <cell r="M829">
            <v>114.53586079999999</v>
          </cell>
          <cell r="N829">
            <v>114.89711339999999</v>
          </cell>
          <cell r="O829">
            <v>115.281019</v>
          </cell>
          <cell r="P829">
            <v>115.6816503</v>
          </cell>
          <cell r="Q829">
            <v>116.09269500000001</v>
          </cell>
          <cell r="R829">
            <v>116.50835789999999</v>
          </cell>
          <cell r="S829">
            <v>116.9236215</v>
          </cell>
          <cell r="T829">
            <v>117.33382330000001</v>
          </cell>
          <cell r="U829">
            <v>117.7342518</v>
          </cell>
          <cell r="V829">
            <v>118.09521169999999</v>
          </cell>
          <cell r="W829">
            <v>118.4462685</v>
          </cell>
          <cell r="X829">
            <v>118.77980839999999</v>
          </cell>
          <cell r="Y829">
            <v>119.0909535</v>
          </cell>
          <cell r="Z829">
            <v>119.37646700000001</v>
          </cell>
          <cell r="AA829">
            <v>119.5647654</v>
          </cell>
          <cell r="AB829">
            <v>119.71941630000001</v>
          </cell>
          <cell r="AC829">
            <v>119.8435121</v>
          </cell>
          <cell r="AD829">
            <v>119.9393706</v>
          </cell>
          <cell r="AE829">
            <v>120.0076534</v>
          </cell>
          <cell r="AF829">
            <v>120.0475886</v>
          </cell>
          <cell r="AG829">
            <v>120.0577208</v>
          </cell>
          <cell r="AH829">
            <v>120.0365999</v>
          </cell>
          <cell r="AI829">
            <v>119.983115</v>
          </cell>
          <cell r="AJ829">
            <v>119.89644149999999</v>
          </cell>
          <cell r="AK829">
            <v>119.7757531</v>
          </cell>
        </row>
        <row r="830">
          <cell r="A830" t="str">
            <v>ems_ci_co2_sagr_2</v>
          </cell>
          <cell r="B830">
            <v>11.870497739999999</v>
          </cell>
          <cell r="C830">
            <v>11.702132280000001</v>
          </cell>
          <cell r="D830">
            <v>11.5227465</v>
          </cell>
          <cell r="E830">
            <v>11.4023219</v>
          </cell>
          <cell r="F830">
            <v>11.363276989999999</v>
          </cell>
          <cell r="G830">
            <v>11.40434797</v>
          </cell>
          <cell r="H830">
            <v>11.50899222</v>
          </cell>
          <cell r="I830">
            <v>11.692469340000001</v>
          </cell>
          <cell r="J830">
            <v>11.91551151</v>
          </cell>
          <cell r="K830">
            <v>12.136853909999999</v>
          </cell>
          <cell r="L830">
            <v>12.33369622</v>
          </cell>
          <cell r="M830">
            <v>12.48552905</v>
          </cell>
          <cell r="N830">
            <v>12.599358260000001</v>
          </cell>
          <cell r="O830">
            <v>12.68512992</v>
          </cell>
          <cell r="P830">
            <v>12.75149923</v>
          </cell>
          <cell r="Q830">
            <v>12.80367268</v>
          </cell>
          <cell r="R830">
            <v>12.843703639999999</v>
          </cell>
          <cell r="S830">
            <v>12.872234819999999</v>
          </cell>
          <cell r="T830">
            <v>12.890305720000001</v>
          </cell>
          <cell r="U830">
            <v>12.900335480000001</v>
          </cell>
          <cell r="V830">
            <v>12.900070940000001</v>
          </cell>
          <cell r="W830">
            <v>12.90197412</v>
          </cell>
          <cell r="X830">
            <v>12.90687513</v>
          </cell>
          <cell r="Y830">
            <v>12.91765728</v>
          </cell>
          <cell r="Z830">
            <v>12.936623490000001</v>
          </cell>
          <cell r="AA830">
            <v>12.946551149999999</v>
          </cell>
          <cell r="AB830">
            <v>12.96367058</v>
          </cell>
          <cell r="AC830">
            <v>12.98080714</v>
          </cell>
          <cell r="AD830">
            <v>12.995613820000001</v>
          </cell>
          <cell r="AE830">
            <v>13.00887955</v>
          </cell>
          <cell r="AF830">
            <v>13.0229669</v>
          </cell>
          <cell r="AG830">
            <v>13.04015659</v>
          </cell>
          <cell r="AH830">
            <v>13.06153722</v>
          </cell>
          <cell r="AI830">
            <v>13.086734180000001</v>
          </cell>
          <cell r="AJ830">
            <v>13.114325170000001</v>
          </cell>
          <cell r="AK830">
            <v>13.14258985</v>
          </cell>
        </row>
        <row r="831">
          <cell r="A831" t="str">
            <v>ems_y_co2_sagr_2</v>
          </cell>
          <cell r="B831">
            <v>2.3514860020000001</v>
          </cell>
          <cell r="C831">
            <v>2.3361128940000002</v>
          </cell>
          <cell r="D831">
            <v>2.3253803419999999</v>
          </cell>
          <cell r="E831">
            <v>2.3230435360000001</v>
          </cell>
          <cell r="F831">
            <v>2.330045379</v>
          </cell>
          <cell r="G831">
            <v>2.3453704470000001</v>
          </cell>
          <cell r="H831">
            <v>2.365936466</v>
          </cell>
          <cell r="I831">
            <v>2.3898467330000002</v>
          </cell>
          <cell r="J831">
            <v>2.41464123</v>
          </cell>
          <cell r="K831">
            <v>2.4386612570000001</v>
          </cell>
          <cell r="L831">
            <v>2.4631320080000001</v>
          </cell>
          <cell r="M831">
            <v>2.484165672</v>
          </cell>
          <cell r="N831">
            <v>2.5020841549999999</v>
          </cell>
          <cell r="O831">
            <v>2.5168268</v>
          </cell>
          <cell r="P831">
            <v>2.5286213480000002</v>
          </cell>
          <cell r="Q831">
            <v>2.5379267840000002</v>
          </cell>
          <cell r="R831">
            <v>2.5453531900000002</v>
          </cell>
          <cell r="S831">
            <v>2.551570028</v>
          </cell>
          <cell r="T831">
            <v>2.5572176579999999</v>
          </cell>
          <cell r="U831">
            <v>2.5628382709999999</v>
          </cell>
          <cell r="V831">
            <v>2.567158735</v>
          </cell>
          <cell r="W831">
            <v>2.5729621599999999</v>
          </cell>
          <cell r="X831">
            <v>2.5798094360000001</v>
          </cell>
          <cell r="Y831">
            <v>2.587716033</v>
          </cell>
          <cell r="Z831">
            <v>2.5965792190000001</v>
          </cell>
          <cell r="AA831">
            <v>2.6014649670000001</v>
          </cell>
          <cell r="AB831">
            <v>2.6073177940000001</v>
          </cell>
          <cell r="AC831">
            <v>2.613384419</v>
          </cell>
          <cell r="AD831">
            <v>2.6198135649999998</v>
          </cell>
          <cell r="AE831">
            <v>2.6266471060000001</v>
          </cell>
          <cell r="AF831">
            <v>2.6338378929999999</v>
          </cell>
          <cell r="AG831">
            <v>2.6412847410000002</v>
          </cell>
          <cell r="AH831">
            <v>2.6488706889999998</v>
          </cell>
          <cell r="AI831">
            <v>2.6564925260000001</v>
          </cell>
          <cell r="AJ831">
            <v>2.6640755380000001</v>
          </cell>
          <cell r="AK831">
            <v>2.6715742640000002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</row>
        <row r="833">
          <cell r="A833" t="str">
            <v>ems_ci_co2_sfor_2</v>
          </cell>
          <cell r="B833">
            <v>0.51869948030000002</v>
          </cell>
          <cell r="C833">
            <v>0.50370094160000001</v>
          </cell>
          <cell r="D833">
            <v>0.48925613410000002</v>
          </cell>
          <cell r="E833">
            <v>0.47834147690000001</v>
          </cell>
          <cell r="F833">
            <v>0.47126483740000003</v>
          </cell>
          <cell r="G833">
            <v>0.46772937050000002</v>
          </cell>
          <cell r="H833">
            <v>0.46970143219999999</v>
          </cell>
          <cell r="I833">
            <v>0.47309356260000002</v>
          </cell>
          <cell r="J833">
            <v>0.47780163790000002</v>
          </cell>
          <cell r="K833">
            <v>0.48283201320000002</v>
          </cell>
          <cell r="L833">
            <v>0.4880949651</v>
          </cell>
          <cell r="M833">
            <v>0.49165809780000003</v>
          </cell>
          <cell r="N833">
            <v>0.49463670320000003</v>
          </cell>
          <cell r="O833">
            <v>0.49762948940000001</v>
          </cell>
          <cell r="P833">
            <v>0.50089440559999998</v>
          </cell>
          <cell r="Q833">
            <v>0.50446490700000002</v>
          </cell>
          <cell r="R833">
            <v>0.50824432779999995</v>
          </cell>
          <cell r="S833">
            <v>0.51209571980000002</v>
          </cell>
          <cell r="T833">
            <v>0.51591821599999999</v>
          </cell>
          <cell r="U833">
            <v>0.51968811930000003</v>
          </cell>
          <cell r="V833">
            <v>0.52286068109999995</v>
          </cell>
          <cell r="W833">
            <v>0.52673711329999995</v>
          </cell>
          <cell r="X833">
            <v>0.53083253149999998</v>
          </cell>
          <cell r="Y833">
            <v>0.53508741879999999</v>
          </cell>
          <cell r="Z833">
            <v>0.53958874720000005</v>
          </cell>
          <cell r="AA833">
            <v>0.54259345339999998</v>
          </cell>
          <cell r="AB833">
            <v>0.54697939809999996</v>
          </cell>
          <cell r="AC833">
            <v>0.55169428890000005</v>
          </cell>
          <cell r="AD833">
            <v>0.55631707559999999</v>
          </cell>
          <cell r="AE833">
            <v>0.56083743050000001</v>
          </cell>
          <cell r="AF833">
            <v>0.56538569000000005</v>
          </cell>
          <cell r="AG833">
            <v>0.57009805410000003</v>
          </cell>
          <cell r="AH833">
            <v>0.57505484799999995</v>
          </cell>
          <cell r="AI833">
            <v>0.58026494969999998</v>
          </cell>
          <cell r="AJ833">
            <v>0.58568553980000004</v>
          </cell>
          <cell r="AK833">
            <v>0.59125619650000005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</row>
        <row r="836">
          <cell r="A836" t="str">
            <v>ems_ci_co2_sfoo_2</v>
          </cell>
          <cell r="B836">
            <v>9.8745130159999999</v>
          </cell>
          <cell r="C836">
            <v>9.8694077199999999</v>
          </cell>
          <cell r="D836">
            <v>9.8505212550000003</v>
          </cell>
          <cell r="E836">
            <v>9.8486436929999996</v>
          </cell>
          <cell r="F836">
            <v>9.8734797929999996</v>
          </cell>
          <cell r="G836">
            <v>9.9243294500000001</v>
          </cell>
          <cell r="H836">
            <v>9.9922607429999992</v>
          </cell>
          <cell r="I836">
            <v>10.09245016</v>
          </cell>
          <cell r="J836">
            <v>10.20460269</v>
          </cell>
          <cell r="K836">
            <v>10.3131358</v>
          </cell>
          <cell r="L836">
            <v>10.415848280000001</v>
          </cell>
          <cell r="M836">
            <v>10.500199800000001</v>
          </cell>
          <cell r="N836">
            <v>10.569672779999999</v>
          </cell>
          <cell r="O836">
            <v>10.62764175</v>
          </cell>
          <cell r="P836">
            <v>10.676696789999999</v>
          </cell>
          <cell r="Q836">
            <v>10.71830772</v>
          </cell>
          <cell r="R836">
            <v>10.753135759999999</v>
          </cell>
          <cell r="S836">
            <v>10.78169984</v>
          </cell>
          <cell r="T836">
            <v>10.804918710000001</v>
          </cell>
          <cell r="U836">
            <v>10.82429698</v>
          </cell>
          <cell r="V836">
            <v>10.83609993</v>
          </cell>
          <cell r="W836">
            <v>10.849951969999999</v>
          </cell>
          <cell r="X836">
            <v>10.866139370000001</v>
          </cell>
          <cell r="Y836">
            <v>10.885742369999999</v>
          </cell>
          <cell r="Z836">
            <v>10.909476400000001</v>
          </cell>
          <cell r="AA836">
            <v>10.921029389999999</v>
          </cell>
          <cell r="AB836">
            <v>10.935257959999999</v>
          </cell>
          <cell r="AC836">
            <v>10.950037849999999</v>
          </cell>
          <cell r="AD836">
            <v>10.965091060000001</v>
          </cell>
          <cell r="AE836">
            <v>10.980976330000001</v>
          </cell>
          <cell r="AF836">
            <v>10.998527899999999</v>
          </cell>
          <cell r="AG836">
            <v>11.018339190000001</v>
          </cell>
          <cell r="AH836">
            <v>11.04047815</v>
          </cell>
          <cell r="AI836">
            <v>11.06449963</v>
          </cell>
          <cell r="AJ836">
            <v>11.089662300000001</v>
          </cell>
          <cell r="AK836">
            <v>11.115217169999999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</row>
        <row r="839">
          <cell r="A839" t="str">
            <v>ems_ci_co2_sveh_2</v>
          </cell>
          <cell r="B839">
            <v>1.2309463060000001</v>
          </cell>
          <cell r="C839">
            <v>1.226731378</v>
          </cell>
          <cell r="D839">
            <v>1.227561793</v>
          </cell>
          <cell r="E839">
            <v>1.236298632</v>
          </cell>
          <cell r="F839">
            <v>1.2542837520000001</v>
          </cell>
          <cell r="G839">
            <v>1.281640723</v>
          </cell>
          <cell r="H839">
            <v>1.316695296</v>
          </cell>
          <cell r="I839">
            <v>1.3526316</v>
          </cell>
          <cell r="J839">
            <v>1.3845393560000001</v>
          </cell>
          <cell r="K839">
            <v>1.4091636460000001</v>
          </cell>
          <cell r="L839">
            <v>1.4265422270000001</v>
          </cell>
          <cell r="M839">
            <v>1.436209565</v>
          </cell>
          <cell r="N839">
            <v>1.4432005809999999</v>
          </cell>
          <cell r="O839">
            <v>1.4514231129999999</v>
          </cell>
          <cell r="P839">
            <v>1.4635239250000001</v>
          </cell>
          <cell r="Q839">
            <v>1.4807418670000001</v>
          </cell>
          <cell r="R839">
            <v>1.503174792</v>
          </cell>
          <cell r="S839">
            <v>1.5302322100000001</v>
          </cell>
          <cell r="T839">
            <v>1.561073537</v>
          </cell>
          <cell r="U839">
            <v>1.5949083559999999</v>
          </cell>
          <cell r="V839">
            <v>1.630111477</v>
          </cell>
          <cell r="W839">
            <v>1.667996832</v>
          </cell>
          <cell r="X839">
            <v>1.707082854</v>
          </cell>
          <cell r="Y839">
            <v>1.746886427</v>
          </cell>
          <cell r="Z839">
            <v>1.787123968</v>
          </cell>
          <cell r="AA839">
            <v>1.8241649529999999</v>
          </cell>
          <cell r="AB839">
            <v>1.8618967280000001</v>
          </cell>
          <cell r="AC839">
            <v>1.8977299910000001</v>
          </cell>
          <cell r="AD839">
            <v>1.930856082</v>
          </cell>
          <cell r="AE839">
            <v>1.9615282700000001</v>
          </cell>
          <cell r="AF839">
            <v>1.9906109590000001</v>
          </cell>
          <cell r="AG839">
            <v>2.019102841</v>
          </cell>
          <cell r="AH839">
            <v>2.0477804100000001</v>
          </cell>
          <cell r="AI839">
            <v>2.0770504860000001</v>
          </cell>
          <cell r="AJ839">
            <v>2.1069956219999999</v>
          </cell>
          <cell r="AK839">
            <v>2.1375269349999999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</row>
        <row r="842">
          <cell r="A842" t="str">
            <v>ems_ci_co2_sgla_2</v>
          </cell>
          <cell r="B842">
            <v>5.7377314860000004</v>
          </cell>
          <cell r="C842">
            <v>5.9219348500000004</v>
          </cell>
          <cell r="D842">
            <v>6.1411626259999998</v>
          </cell>
          <cell r="E842">
            <v>6.3111128829999998</v>
          </cell>
          <cell r="F842">
            <v>6.432599057</v>
          </cell>
          <cell r="G842">
            <v>6.5293570970000001</v>
          </cell>
          <cell r="H842">
            <v>6.5763799130000002</v>
          </cell>
          <cell r="I842">
            <v>6.6436999610000003</v>
          </cell>
          <cell r="J842">
            <v>6.7294493920000003</v>
          </cell>
          <cell r="K842">
            <v>6.8259213550000002</v>
          </cell>
          <cell r="L842">
            <v>7.0013134389999996</v>
          </cell>
          <cell r="M842">
            <v>7.0885525549999997</v>
          </cell>
          <cell r="N842">
            <v>7.1812649459999998</v>
          </cell>
          <cell r="O842">
            <v>7.2895932529999996</v>
          </cell>
          <cell r="P842">
            <v>7.4064059909999997</v>
          </cell>
          <cell r="Q842">
            <v>7.5259029589999997</v>
          </cell>
          <cell r="R842">
            <v>7.645262464</v>
          </cell>
          <cell r="S842">
            <v>7.7637795450000002</v>
          </cell>
          <cell r="T842">
            <v>7.8819332749999997</v>
          </cell>
          <cell r="U842">
            <v>8.0006634689999991</v>
          </cell>
          <cell r="V842">
            <v>8.0690528570000009</v>
          </cell>
          <cell r="W842">
            <v>8.2057039940000003</v>
          </cell>
          <cell r="X842">
            <v>8.3475397170000001</v>
          </cell>
          <cell r="Y842">
            <v>8.4840765200000003</v>
          </cell>
          <cell r="Z842">
            <v>8.6180576240000004</v>
          </cell>
          <cell r="AA842">
            <v>8.6000231110000005</v>
          </cell>
          <cell r="AB842">
            <v>8.7165731399999995</v>
          </cell>
          <cell r="AC842">
            <v>8.8588439240000003</v>
          </cell>
          <cell r="AD842">
            <v>9.0000391739999994</v>
          </cell>
          <cell r="AE842">
            <v>9.1390562180000003</v>
          </cell>
          <cell r="AF842">
            <v>9.2780133940000002</v>
          </cell>
          <cell r="AG842">
            <v>9.4181394219999994</v>
          </cell>
          <cell r="AH842">
            <v>9.5597620499999998</v>
          </cell>
          <cell r="AI842">
            <v>9.7028287070000001</v>
          </cell>
          <cell r="AJ842">
            <v>9.8472720210000002</v>
          </cell>
          <cell r="AK842">
            <v>9.9931518490000002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</row>
        <row r="844">
          <cell r="A844" t="str">
            <v>ems_mat_co2_sgla_2</v>
          </cell>
          <cell r="B844">
            <v>13.811546010000001</v>
          </cell>
          <cell r="C844">
            <v>14.289599900000001</v>
          </cell>
          <cell r="D844">
            <v>14.860618499999999</v>
          </cell>
          <cell r="E844">
            <v>15.313864909999999</v>
          </cell>
          <cell r="F844">
            <v>15.64597382</v>
          </cell>
          <cell r="G844">
            <v>15.91219708</v>
          </cell>
          <cell r="H844">
            <v>16.050874570000001</v>
          </cell>
          <cell r="I844">
            <v>16.205288660000001</v>
          </cell>
          <cell r="J844">
            <v>16.38290336</v>
          </cell>
          <cell r="K844">
            <v>16.577024290000001</v>
          </cell>
          <cell r="L844">
            <v>16.96294455</v>
          </cell>
          <cell r="M844">
            <v>17.139045769999999</v>
          </cell>
          <cell r="N844">
            <v>17.333328720000001</v>
          </cell>
          <cell r="O844">
            <v>17.570234169999999</v>
          </cell>
          <cell r="P844">
            <v>17.832814509999999</v>
          </cell>
          <cell r="Q844">
            <v>18.10791283</v>
          </cell>
          <cell r="R844">
            <v>18.389818739999999</v>
          </cell>
          <cell r="S844">
            <v>18.67761587</v>
          </cell>
          <cell r="T844">
            <v>18.97246552</v>
          </cell>
          <cell r="U844">
            <v>19.275693520000001</v>
          </cell>
          <cell r="V844">
            <v>19.462220380000002</v>
          </cell>
          <cell r="W844">
            <v>19.81657852</v>
          </cell>
          <cell r="X844">
            <v>20.185192820000001</v>
          </cell>
          <cell r="Y844">
            <v>20.54070724</v>
          </cell>
          <cell r="Z844">
            <v>20.887903959999999</v>
          </cell>
          <cell r="AA844">
            <v>20.86173642</v>
          </cell>
          <cell r="AB844">
            <v>21.157850660000001</v>
          </cell>
          <cell r="AC844">
            <v>21.514276989999999</v>
          </cell>
          <cell r="AD844">
            <v>21.866895150000001</v>
          </cell>
          <cell r="AE844">
            <v>22.21300828</v>
          </cell>
          <cell r="AF844">
            <v>22.557282010000002</v>
          </cell>
          <cell r="AG844">
            <v>22.902289669999998</v>
          </cell>
          <cell r="AH844">
            <v>23.248837040000002</v>
          </cell>
          <cell r="AI844">
            <v>23.59729437</v>
          </cell>
          <cell r="AJ844">
            <v>23.948319730000001</v>
          </cell>
          <cell r="AK844">
            <v>24.302917969999999</v>
          </cell>
        </row>
        <row r="845">
          <cell r="A845" t="str">
            <v>ems_ci_co2_spap_2</v>
          </cell>
          <cell r="B845">
            <v>3.0209650180000001</v>
          </cell>
          <cell r="C845">
            <v>3.0428973479999999</v>
          </cell>
          <cell r="D845">
            <v>3.073239633</v>
          </cell>
          <cell r="E845">
            <v>3.115107799</v>
          </cell>
          <cell r="F845">
            <v>3.1627616920000001</v>
          </cell>
          <cell r="G845">
            <v>3.2123495499999999</v>
          </cell>
          <cell r="H845">
            <v>3.2661850710000002</v>
          </cell>
          <cell r="I845">
            <v>3.320819658</v>
          </cell>
          <cell r="J845">
            <v>3.3753931279999998</v>
          </cell>
          <cell r="K845">
            <v>3.4313076539999998</v>
          </cell>
          <cell r="L845">
            <v>3.487297082</v>
          </cell>
          <cell r="M845">
            <v>3.5530662770000001</v>
          </cell>
          <cell r="N845">
            <v>3.6204109070000001</v>
          </cell>
          <cell r="O845">
            <v>3.6876164220000001</v>
          </cell>
          <cell r="P845">
            <v>3.753789566</v>
          </cell>
          <cell r="Q845">
            <v>3.8183285420000002</v>
          </cell>
          <cell r="R845">
            <v>3.8810490030000002</v>
          </cell>
          <cell r="S845">
            <v>3.9422013690000002</v>
          </cell>
          <cell r="T845">
            <v>4.0023262089999996</v>
          </cell>
          <cell r="U845">
            <v>4.062056825</v>
          </cell>
          <cell r="V845">
            <v>4.1232277320000001</v>
          </cell>
          <cell r="W845">
            <v>4.180900276</v>
          </cell>
          <cell r="X845">
            <v>4.2404748459999997</v>
          </cell>
          <cell r="Y845">
            <v>4.3022944719999998</v>
          </cell>
          <cell r="Z845">
            <v>4.3660558580000002</v>
          </cell>
          <cell r="AA845">
            <v>4.4339741200000002</v>
          </cell>
          <cell r="AB845">
            <v>4.494848095</v>
          </cell>
          <cell r="AC845">
            <v>4.556514452</v>
          </cell>
          <cell r="AD845">
            <v>4.6204071029999998</v>
          </cell>
          <cell r="AE845">
            <v>4.6866774500000004</v>
          </cell>
          <cell r="AF845">
            <v>4.7550910340000003</v>
          </cell>
          <cell r="AG845">
            <v>4.825244262</v>
          </cell>
          <cell r="AH845">
            <v>4.8967229989999996</v>
          </cell>
          <cell r="AI845">
            <v>4.9692236699999999</v>
          </cell>
          <cell r="AJ845">
            <v>5.0426003440000002</v>
          </cell>
          <cell r="AK845">
            <v>5.116842804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</row>
        <row r="848">
          <cell r="A848" t="str">
            <v>ems_ci_co2_sche_2</v>
          </cell>
          <cell r="B848">
            <v>3.8355450150000001</v>
          </cell>
          <cell r="C848">
            <v>3.8363217629999999</v>
          </cell>
          <cell r="D848">
            <v>3.8515053159999999</v>
          </cell>
          <cell r="E848">
            <v>3.8798679429999998</v>
          </cell>
          <cell r="F848">
            <v>3.9169910109999999</v>
          </cell>
          <cell r="G848">
            <v>3.96036988</v>
          </cell>
          <cell r="H848">
            <v>4.0055161359999998</v>
          </cell>
          <cell r="I848">
            <v>4.0570072530000001</v>
          </cell>
          <cell r="J848">
            <v>4.1123312490000004</v>
          </cell>
          <cell r="K848">
            <v>4.1701807669999997</v>
          </cell>
          <cell r="L848">
            <v>4.2369172539999997</v>
          </cell>
          <cell r="M848">
            <v>4.3001965279999999</v>
          </cell>
          <cell r="N848">
            <v>4.3646903689999998</v>
          </cell>
          <cell r="O848">
            <v>4.4307348830000004</v>
          </cell>
          <cell r="P848">
            <v>4.4973687150000003</v>
          </cell>
          <cell r="Q848">
            <v>4.5637310590000002</v>
          </cell>
          <cell r="R848">
            <v>4.6293986680000003</v>
          </cell>
          <cell r="S848">
            <v>4.6944111829999997</v>
          </cell>
          <cell r="T848">
            <v>4.7591518859999997</v>
          </cell>
          <cell r="U848">
            <v>4.8241704580000002</v>
          </cell>
          <cell r="V848">
            <v>4.8849459279999996</v>
          </cell>
          <cell r="W848">
            <v>4.9513718579999999</v>
          </cell>
          <cell r="X848">
            <v>5.0202925470000004</v>
          </cell>
          <cell r="Y848">
            <v>5.0909807520000001</v>
          </cell>
          <cell r="Z848">
            <v>5.1634842729999999</v>
          </cell>
          <cell r="AA848">
            <v>5.2226521210000003</v>
          </cell>
          <cell r="AB848">
            <v>5.2906854460000003</v>
          </cell>
          <cell r="AC848">
            <v>5.3620493700000003</v>
          </cell>
          <cell r="AD848">
            <v>5.4352224920000003</v>
          </cell>
          <cell r="AE848">
            <v>5.5101926240000001</v>
          </cell>
          <cell r="AF848">
            <v>5.5870404929999999</v>
          </cell>
          <cell r="AG848">
            <v>5.6656615260000001</v>
          </cell>
          <cell r="AH848">
            <v>5.7458208649999998</v>
          </cell>
          <cell r="AI848">
            <v>5.8272695939999997</v>
          </cell>
          <cell r="AJ848">
            <v>5.9098312220000002</v>
          </cell>
          <cell r="AK848">
            <v>5.9934332189999999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</row>
        <row r="850">
          <cell r="A850" t="str">
            <v>ems_mat_co2_sche_2</v>
          </cell>
          <cell r="B850">
            <v>2.5967530060000001</v>
          </cell>
          <cell r="C850">
            <v>2.6019680140000001</v>
          </cell>
          <cell r="D850">
            <v>2.6180672230000002</v>
          </cell>
          <cell r="E850">
            <v>2.6434660440000002</v>
          </cell>
          <cell r="F850">
            <v>2.6746902019999999</v>
          </cell>
          <cell r="G850">
            <v>2.709807042</v>
          </cell>
          <cell r="H850">
            <v>2.7456203750000001</v>
          </cell>
          <cell r="I850">
            <v>2.7810652870000001</v>
          </cell>
          <cell r="J850">
            <v>2.8158913550000002</v>
          </cell>
          <cell r="K850">
            <v>2.850710152</v>
          </cell>
          <cell r="L850">
            <v>2.8911899339999998</v>
          </cell>
          <cell r="M850">
            <v>2.9294749859999998</v>
          </cell>
          <cell r="N850">
            <v>2.9690191609999999</v>
          </cell>
          <cell r="O850">
            <v>3.0102313010000001</v>
          </cell>
          <cell r="P850">
            <v>3.0526382949999999</v>
          </cell>
          <cell r="Q850">
            <v>3.09584072</v>
          </cell>
          <cell r="R850">
            <v>3.139711519</v>
          </cell>
          <cell r="S850">
            <v>3.1843583550000001</v>
          </cell>
          <cell r="T850">
            <v>3.2300024440000001</v>
          </cell>
          <cell r="U850">
            <v>3.2768517309999998</v>
          </cell>
          <cell r="V850">
            <v>3.3214968279999999</v>
          </cell>
          <cell r="W850">
            <v>3.3704320000000001</v>
          </cell>
          <cell r="X850">
            <v>3.4212764</v>
          </cell>
          <cell r="Y850">
            <v>3.4732589059999999</v>
          </cell>
          <cell r="Z850">
            <v>3.5261658480000002</v>
          </cell>
          <cell r="AA850">
            <v>3.569300948</v>
          </cell>
          <cell r="AB850">
            <v>3.6178728929999999</v>
          </cell>
          <cell r="AC850">
            <v>3.6683100240000002</v>
          </cell>
          <cell r="AD850">
            <v>3.7196904160000002</v>
          </cell>
          <cell r="AE850">
            <v>3.7720297020000002</v>
          </cell>
          <cell r="AF850">
            <v>3.825360179</v>
          </cell>
          <cell r="AG850">
            <v>3.879596319</v>
          </cell>
          <cell r="AH850">
            <v>3.9346085780000002</v>
          </cell>
          <cell r="AI850">
            <v>3.9903076749999999</v>
          </cell>
          <cell r="AJ850">
            <v>4.046684269</v>
          </cell>
          <cell r="AK850">
            <v>4.1037986169999998</v>
          </cell>
        </row>
        <row r="851">
          <cell r="A851" t="str">
            <v>ems_ci_co2_spla_2</v>
          </cell>
          <cell r="B851">
            <v>1.295658891</v>
          </cell>
          <cell r="C851">
            <v>1.2966217440000001</v>
          </cell>
          <cell r="D851">
            <v>1.3027146510000001</v>
          </cell>
          <cell r="E851">
            <v>1.313259913</v>
          </cell>
          <cell r="F851">
            <v>1.3277831710000001</v>
          </cell>
          <cell r="G851">
            <v>1.3462648500000001</v>
          </cell>
          <cell r="H851">
            <v>1.3668326369999999</v>
          </cell>
          <cell r="I851">
            <v>1.3901553680000001</v>
          </cell>
          <cell r="J851">
            <v>1.414541665</v>
          </cell>
          <cell r="K851">
            <v>1.438265669</v>
          </cell>
          <cell r="L851">
            <v>1.4640836850000001</v>
          </cell>
          <cell r="M851">
            <v>1.48464321</v>
          </cell>
          <cell r="N851">
            <v>1.5047055819999999</v>
          </cell>
          <cell r="O851">
            <v>1.525667737</v>
          </cell>
          <cell r="P851">
            <v>1.547842881</v>
          </cell>
          <cell r="Q851">
            <v>1.571204936</v>
          </cell>
          <cell r="R851">
            <v>1.5955684670000001</v>
          </cell>
          <cell r="S851">
            <v>1.6207103759999999</v>
          </cell>
          <cell r="T851">
            <v>1.646466151</v>
          </cell>
          <cell r="U851">
            <v>1.6727727240000001</v>
          </cell>
          <cell r="V851">
            <v>1.6969290349999999</v>
          </cell>
          <cell r="W851">
            <v>1.7246039660000001</v>
          </cell>
          <cell r="X851">
            <v>1.753151734</v>
          </cell>
          <cell r="Y851">
            <v>1.7820701590000001</v>
          </cell>
          <cell r="Z851">
            <v>1.8114541770000001</v>
          </cell>
          <cell r="AA851">
            <v>1.8330846810000001</v>
          </cell>
          <cell r="AB851">
            <v>1.8606367150000001</v>
          </cell>
          <cell r="AC851">
            <v>1.8892050730000001</v>
          </cell>
          <cell r="AD851">
            <v>1.9174455859999999</v>
          </cell>
          <cell r="AE851">
            <v>1.945413268</v>
          </cell>
          <cell r="AF851">
            <v>1.973448869</v>
          </cell>
          <cell r="AG851">
            <v>2.0018490440000001</v>
          </cell>
          <cell r="AH851">
            <v>2.0307745509999999</v>
          </cell>
          <cell r="AI851">
            <v>2.0602528900000001</v>
          </cell>
          <cell r="AJ851">
            <v>2.0902279469999998</v>
          </cell>
          <cell r="AK851">
            <v>2.120622998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</row>
        <row r="854">
          <cell r="A854" t="str">
            <v>ems_ci_co2_smet_2</v>
          </cell>
          <cell r="B854">
            <v>7.5628993400000004</v>
          </cell>
          <cell r="C854">
            <v>7.6675106130000001</v>
          </cell>
          <cell r="D854">
            <v>7.7892053629999998</v>
          </cell>
          <cell r="E854">
            <v>7.9069616649999999</v>
          </cell>
          <cell r="F854">
            <v>8.0162116660000002</v>
          </cell>
          <cell r="G854">
            <v>8.1186298449999992</v>
          </cell>
          <cell r="H854">
            <v>8.2029584270000004</v>
          </cell>
          <cell r="I854">
            <v>8.3157293630000009</v>
          </cell>
          <cell r="J854">
            <v>8.4479676020000003</v>
          </cell>
          <cell r="K854">
            <v>8.5931023189999998</v>
          </cell>
          <cell r="L854">
            <v>8.7712425669999998</v>
          </cell>
          <cell r="M854">
            <v>8.9290738380000008</v>
          </cell>
          <cell r="N854">
            <v>9.0878318660000001</v>
          </cell>
          <cell r="O854">
            <v>9.2466969890000001</v>
          </cell>
          <cell r="P854">
            <v>9.4008597090000006</v>
          </cell>
          <cell r="Q854">
            <v>9.5468192060000003</v>
          </cell>
          <cell r="R854">
            <v>9.6831973500000004</v>
          </cell>
          <cell r="S854">
            <v>9.8105298550000004</v>
          </cell>
          <cell r="T854">
            <v>9.9306970569999997</v>
          </cell>
          <cell r="U854">
            <v>10.04625976</v>
          </cell>
          <cell r="V854">
            <v>10.14240903</v>
          </cell>
          <cell r="W854">
            <v>10.25802367</v>
          </cell>
          <cell r="X854">
            <v>10.37781927</v>
          </cell>
          <cell r="Y854">
            <v>10.500367089999999</v>
          </cell>
          <cell r="Z854">
            <v>10.62707998</v>
          </cell>
          <cell r="AA854">
            <v>10.70878489</v>
          </cell>
          <cell r="AB854">
            <v>10.82965907</v>
          </cell>
          <cell r="AC854">
            <v>10.96308885</v>
          </cell>
          <cell r="AD854">
            <v>11.10295099</v>
          </cell>
          <cell r="AE854">
            <v>11.248699930000001</v>
          </cell>
          <cell r="AF854">
            <v>11.4001415</v>
          </cell>
          <cell r="AG854">
            <v>11.556552030000001</v>
          </cell>
          <cell r="AH854">
            <v>11.7168834</v>
          </cell>
          <cell r="AI854">
            <v>11.8801203</v>
          </cell>
          <cell r="AJ854">
            <v>12.045516599999999</v>
          </cell>
          <cell r="AK854">
            <v>12.212670490000001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</row>
        <row r="856">
          <cell r="A856" t="str">
            <v>ems_mat_co2_smet_2</v>
          </cell>
          <cell r="B856">
            <v>12.83036916</v>
          </cell>
          <cell r="C856">
            <v>13.03812224</v>
          </cell>
          <cell r="D856">
            <v>13.290492349999999</v>
          </cell>
          <cell r="E856">
            <v>13.55251202</v>
          </cell>
          <cell r="F856">
            <v>13.815413339999999</v>
          </cell>
          <cell r="G856">
            <v>14.079563070000001</v>
          </cell>
          <cell r="H856">
            <v>14.321273980000001</v>
          </cell>
          <cell r="I856">
            <v>14.554174010000001</v>
          </cell>
          <cell r="J856">
            <v>14.77418235</v>
          </cell>
          <cell r="K856">
            <v>14.981729850000001</v>
          </cell>
          <cell r="L856">
            <v>15.224068219999999</v>
          </cell>
          <cell r="M856">
            <v>15.420055899999999</v>
          </cell>
          <cell r="N856">
            <v>15.617058289999999</v>
          </cell>
          <cell r="O856">
            <v>15.822976219999999</v>
          </cell>
          <cell r="P856">
            <v>16.036946189999998</v>
          </cell>
          <cell r="Q856">
            <v>16.257798609999998</v>
          </cell>
          <cell r="R856">
            <v>16.48537894</v>
          </cell>
          <cell r="S856">
            <v>16.720357509999999</v>
          </cell>
          <cell r="T856">
            <v>16.963690249999999</v>
          </cell>
          <cell r="U856">
            <v>17.216072499999999</v>
          </cell>
          <cell r="V856">
            <v>17.44728851</v>
          </cell>
          <cell r="W856">
            <v>17.719288679999998</v>
          </cell>
          <cell r="X856">
            <v>18.001802120000001</v>
          </cell>
          <cell r="Y856">
            <v>18.28844475</v>
          </cell>
          <cell r="Z856">
            <v>18.578330220000002</v>
          </cell>
          <cell r="AA856">
            <v>18.782112569999999</v>
          </cell>
          <cell r="AB856">
            <v>19.045005570000001</v>
          </cell>
          <cell r="AC856">
            <v>19.320492420000001</v>
          </cell>
          <cell r="AD856">
            <v>19.598223470000001</v>
          </cell>
          <cell r="AE856">
            <v>19.878118440000001</v>
          </cell>
          <cell r="AF856">
            <v>20.161143240000001</v>
          </cell>
          <cell r="AG856">
            <v>20.447633159999999</v>
          </cell>
          <cell r="AH856">
            <v>20.73748226</v>
          </cell>
          <cell r="AI856">
            <v>21.030579029999998</v>
          </cell>
          <cell r="AJ856">
            <v>21.32707267</v>
          </cell>
          <cell r="AK856">
            <v>21.62739491</v>
          </cell>
        </row>
        <row r="857">
          <cell r="A857" t="str">
            <v>ems_ci_co2_sigo_2</v>
          </cell>
          <cell r="B857">
            <v>3.0056231269999998</v>
          </cell>
          <cell r="C857">
            <v>3.0050600699999999</v>
          </cell>
          <cell r="D857">
            <v>3.0151146799999999</v>
          </cell>
          <cell r="E857">
            <v>3.035967694</v>
          </cell>
          <cell r="F857">
            <v>3.065763375</v>
          </cell>
          <cell r="G857">
            <v>3.103444187</v>
          </cell>
          <cell r="H857">
            <v>3.1455843720000001</v>
          </cell>
          <cell r="I857">
            <v>3.19561063</v>
          </cell>
          <cell r="J857">
            <v>3.2481009209999998</v>
          </cell>
          <cell r="K857">
            <v>3.2997509850000002</v>
          </cell>
          <cell r="L857">
            <v>3.3551788820000001</v>
          </cell>
          <cell r="M857">
            <v>3.4032253589999999</v>
          </cell>
          <cell r="N857">
            <v>3.4506726250000002</v>
          </cell>
          <cell r="O857">
            <v>3.4996188500000001</v>
          </cell>
          <cell r="P857">
            <v>3.5503202410000001</v>
          </cell>
          <cell r="Q857">
            <v>3.602485776</v>
          </cell>
          <cell r="R857">
            <v>3.6556930940000001</v>
          </cell>
          <cell r="S857">
            <v>3.7096322229999998</v>
          </cell>
          <cell r="T857">
            <v>3.764229244</v>
          </cell>
          <cell r="U857">
            <v>3.819644512</v>
          </cell>
          <cell r="V857">
            <v>3.8716201479999999</v>
          </cell>
          <cell r="W857">
            <v>3.9293165870000002</v>
          </cell>
          <cell r="X857">
            <v>3.9891716339999999</v>
          </cell>
          <cell r="Y857">
            <v>4.0504105429999999</v>
          </cell>
          <cell r="Z857">
            <v>4.1131412469999997</v>
          </cell>
          <cell r="AA857">
            <v>4.1635153249999997</v>
          </cell>
          <cell r="AB857">
            <v>4.2228738510000001</v>
          </cell>
          <cell r="AC857">
            <v>4.2843944880000002</v>
          </cell>
          <cell r="AD857">
            <v>4.3460300739999997</v>
          </cell>
          <cell r="AE857">
            <v>4.4078738910000004</v>
          </cell>
          <cell r="AF857">
            <v>4.470432647</v>
          </cell>
          <cell r="AG857">
            <v>4.5340901789999997</v>
          </cell>
          <cell r="AH857">
            <v>4.5989819699999996</v>
          </cell>
          <cell r="AI857">
            <v>4.6650363329999998</v>
          </cell>
          <cell r="AJ857">
            <v>4.7320839489999997</v>
          </cell>
          <cell r="AK857">
            <v>4.7999705739999996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</row>
        <row r="859">
          <cell r="A859" t="str">
            <v>ems_mat_co2_sigo_2</v>
          </cell>
          <cell r="B859">
            <v>0.4736282443</v>
          </cell>
          <cell r="C859">
            <v>0.47583760689999999</v>
          </cell>
          <cell r="D859">
            <v>0.47997158540000001</v>
          </cell>
          <cell r="E859">
            <v>0.48548058109999997</v>
          </cell>
          <cell r="F859">
            <v>0.49175620939999998</v>
          </cell>
          <cell r="G859">
            <v>0.49855205180000001</v>
          </cell>
          <cell r="H859">
            <v>0.50538820409999996</v>
          </cell>
          <cell r="I859">
            <v>0.51203559939999999</v>
          </cell>
          <cell r="J859">
            <v>0.51851753519999999</v>
          </cell>
          <cell r="K859">
            <v>0.52497504299999997</v>
          </cell>
          <cell r="L859">
            <v>0.53262635840000006</v>
          </cell>
          <cell r="M859">
            <v>0.5396519152</v>
          </cell>
          <cell r="N859">
            <v>0.54690591830000002</v>
          </cell>
          <cell r="O859">
            <v>0.55449212150000005</v>
          </cell>
          <cell r="P859">
            <v>0.56230616909999998</v>
          </cell>
          <cell r="Q859">
            <v>0.57026255589999997</v>
          </cell>
          <cell r="R859">
            <v>0.57833555780000001</v>
          </cell>
          <cell r="S859">
            <v>0.58654791520000005</v>
          </cell>
          <cell r="T859">
            <v>0.5949443459</v>
          </cell>
          <cell r="U859">
            <v>0.60356574750000003</v>
          </cell>
          <cell r="V859">
            <v>0.61166859929999995</v>
          </cell>
          <cell r="W859">
            <v>0.62071351249999995</v>
          </cell>
          <cell r="X859">
            <v>0.63012099470000005</v>
          </cell>
          <cell r="Y859">
            <v>0.6397151485</v>
          </cell>
          <cell r="Z859">
            <v>0.64946088079999997</v>
          </cell>
          <cell r="AA859">
            <v>0.65704107389999999</v>
          </cell>
          <cell r="AB859">
            <v>0.66594254190000002</v>
          </cell>
          <cell r="AC859">
            <v>0.67525118350000002</v>
          </cell>
          <cell r="AD859">
            <v>0.68471700830000004</v>
          </cell>
          <cell r="AE859">
            <v>0.69433724809999997</v>
          </cell>
          <cell r="AF859">
            <v>0.70412316959999999</v>
          </cell>
          <cell r="AG859">
            <v>0.71406293499999995</v>
          </cell>
          <cell r="AH859">
            <v>0.72413521510000001</v>
          </cell>
          <cell r="AI859">
            <v>0.73432582739999996</v>
          </cell>
          <cell r="AJ859">
            <v>0.74463547600000002</v>
          </cell>
          <cell r="AK859">
            <v>0.75507753919999998</v>
          </cell>
        </row>
        <row r="860">
          <cell r="A860" t="str">
            <v>ems_ci_co2_scgo_2</v>
          </cell>
          <cell r="B860">
            <v>0.69687883630000003</v>
          </cell>
          <cell r="C860">
            <v>0.68142975699999997</v>
          </cell>
          <cell r="D860">
            <v>0.66934173649999995</v>
          </cell>
          <cell r="E860">
            <v>0.66353298409999995</v>
          </cell>
          <cell r="F860">
            <v>0.66198464059999995</v>
          </cell>
          <cell r="G860">
            <v>0.66318699430000005</v>
          </cell>
          <cell r="H860">
            <v>0.66753745939999998</v>
          </cell>
          <cell r="I860">
            <v>0.67460737940000004</v>
          </cell>
          <cell r="J860">
            <v>0.68362058530000003</v>
          </cell>
          <cell r="K860">
            <v>0.69421428259999995</v>
          </cell>
          <cell r="L860">
            <v>0.70415415879999999</v>
          </cell>
          <cell r="M860">
            <v>0.71852169269999999</v>
          </cell>
          <cell r="N860">
            <v>0.73312327040000003</v>
          </cell>
          <cell r="O860">
            <v>0.74755518649999997</v>
          </cell>
          <cell r="P860">
            <v>0.76166165210000003</v>
          </cell>
          <cell r="Q860">
            <v>0.77529253529999997</v>
          </cell>
          <cell r="R860">
            <v>0.78834772050000002</v>
          </cell>
          <cell r="S860">
            <v>0.80081627889999996</v>
          </cell>
          <cell r="T860">
            <v>0.81277651579999999</v>
          </cell>
          <cell r="U860">
            <v>0.82437101759999998</v>
          </cell>
          <cell r="V860">
            <v>0.83697705659999999</v>
          </cell>
          <cell r="W860">
            <v>0.84733907310000001</v>
          </cell>
          <cell r="X860">
            <v>0.85820796440000002</v>
          </cell>
          <cell r="Y860">
            <v>0.86971050029999997</v>
          </cell>
          <cell r="Z860">
            <v>0.88179639229999995</v>
          </cell>
          <cell r="AA860">
            <v>0.8974878503</v>
          </cell>
          <cell r="AB860">
            <v>0.90939724779999997</v>
          </cell>
          <cell r="AC860">
            <v>0.92155621830000001</v>
          </cell>
          <cell r="AD860">
            <v>0.93435888229999997</v>
          </cell>
          <cell r="AE860">
            <v>0.94779751459999995</v>
          </cell>
          <cell r="AF860">
            <v>0.96180908249999997</v>
          </cell>
          <cell r="AG860">
            <v>0.9763097865</v>
          </cell>
          <cell r="AH860">
            <v>0.99120762480000002</v>
          </cell>
          <cell r="AI860">
            <v>1.0064178610000001</v>
          </cell>
          <cell r="AJ860">
            <v>1.0218741060000001</v>
          </cell>
          <cell r="AK860">
            <v>1.0375335489999999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</row>
        <row r="863">
          <cell r="A863" t="str">
            <v>ems_ci_co2_scon_2</v>
          </cell>
          <cell r="B863">
            <v>7.5467149940000002</v>
          </cell>
          <cell r="C863">
            <v>8.0106447000000003</v>
          </cell>
          <cell r="D863">
            <v>8.5077703519999996</v>
          </cell>
          <cell r="E863">
            <v>8.8221014150000006</v>
          </cell>
          <cell r="F863">
            <v>8.9967074730000007</v>
          </cell>
          <cell r="G863">
            <v>9.1051100389999995</v>
          </cell>
          <cell r="H863">
            <v>9.0578984600000005</v>
          </cell>
          <cell r="I863">
            <v>9.0881393020000001</v>
          </cell>
          <cell r="J863">
            <v>9.1687149980000004</v>
          </cell>
          <cell r="K863">
            <v>9.2780907549999991</v>
          </cell>
          <cell r="L863">
            <v>9.6168562449999992</v>
          </cell>
          <cell r="M863">
            <v>9.6635167610000003</v>
          </cell>
          <cell r="N863">
            <v>9.7589967239999993</v>
          </cell>
          <cell r="O863">
            <v>9.8972181779999993</v>
          </cell>
          <cell r="P863">
            <v>10.0548933</v>
          </cell>
          <cell r="Q863">
            <v>10.218716430000001</v>
          </cell>
          <cell r="R863">
            <v>10.38282336</v>
          </cell>
          <cell r="S863">
            <v>10.545651879999999</v>
          </cell>
          <cell r="T863">
            <v>10.70779864</v>
          </cell>
          <cell r="U863">
            <v>10.870614399999999</v>
          </cell>
          <cell r="V863">
            <v>10.884959670000001</v>
          </cell>
          <cell r="W863">
            <v>11.11711154</v>
          </cell>
          <cell r="X863">
            <v>11.334319969999999</v>
          </cell>
          <cell r="Y863">
            <v>11.530293650000001</v>
          </cell>
          <cell r="Z863">
            <v>11.71689065</v>
          </cell>
          <cell r="AA863">
            <v>11.46290894</v>
          </cell>
          <cell r="AB863">
            <v>11.659124050000001</v>
          </cell>
          <cell r="AC863">
            <v>11.87929289</v>
          </cell>
          <cell r="AD863">
            <v>12.086010910000001</v>
          </cell>
          <cell r="AE863">
            <v>12.28463591</v>
          </cell>
          <cell r="AF863">
            <v>12.48080292</v>
          </cell>
          <cell r="AG863">
            <v>12.677108260000001</v>
          </cell>
          <cell r="AH863">
            <v>12.87434197</v>
          </cell>
          <cell r="AI863">
            <v>13.07266006</v>
          </cell>
          <cell r="AJ863">
            <v>13.27220593</v>
          </cell>
          <cell r="AK863">
            <v>13.473287429999999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</row>
        <row r="866">
          <cell r="A866" t="str">
            <v>ems_ci_co2_srai_2</v>
          </cell>
          <cell r="B866">
            <v>5.5901665349999998</v>
          </cell>
          <cell r="C866">
            <v>5.5828931639999997</v>
          </cell>
          <cell r="D866">
            <v>5.5864923070000003</v>
          </cell>
          <cell r="E866">
            <v>5.6080890969999997</v>
          </cell>
          <cell r="F866">
            <v>5.6416718570000004</v>
          </cell>
          <cell r="G866">
            <v>5.6829418829999998</v>
          </cell>
          <cell r="H866">
            <v>5.7326299030000003</v>
          </cell>
          <cell r="I866">
            <v>5.7920224329999996</v>
          </cell>
          <cell r="J866">
            <v>5.8591248519999999</v>
          </cell>
          <cell r="K866">
            <v>5.9335680870000003</v>
          </cell>
          <cell r="L866">
            <v>6.0160311679999996</v>
          </cell>
          <cell r="M866">
            <v>6.1069233980000002</v>
          </cell>
          <cell r="N866">
            <v>6.2003295810000001</v>
          </cell>
          <cell r="O866">
            <v>6.2935893160000003</v>
          </cell>
          <cell r="P866">
            <v>6.3848108960000003</v>
          </cell>
          <cell r="Q866">
            <v>6.4728132880000002</v>
          </cell>
          <cell r="R866">
            <v>6.5572136780000001</v>
          </cell>
          <cell r="S866">
            <v>6.638342722</v>
          </cell>
          <cell r="T866">
            <v>6.7170084399999999</v>
          </cell>
          <cell r="U866">
            <v>6.7942258549999996</v>
          </cell>
          <cell r="V866">
            <v>6.8695585550000002</v>
          </cell>
          <cell r="W866">
            <v>6.9439367150000004</v>
          </cell>
          <cell r="X866">
            <v>7.0206203939999998</v>
          </cell>
          <cell r="Y866">
            <v>7.1000645770000004</v>
          </cell>
          <cell r="Z866">
            <v>7.1823110989999996</v>
          </cell>
          <cell r="AA866">
            <v>7.2620344760000002</v>
          </cell>
          <cell r="AB866">
            <v>7.3403480779999999</v>
          </cell>
          <cell r="AC866">
            <v>7.421183182</v>
          </cell>
          <cell r="AD866">
            <v>7.5053265409999996</v>
          </cell>
          <cell r="AE866">
            <v>7.5928314920000002</v>
          </cell>
          <cell r="AF866">
            <v>7.6833916100000001</v>
          </cell>
          <cell r="AG866">
            <v>7.7765012279999999</v>
          </cell>
          <cell r="AH866">
            <v>7.8716279739999999</v>
          </cell>
          <cell r="AI866">
            <v>7.9683481250000003</v>
          </cell>
          <cell r="AJ866">
            <v>8.0664025979999998</v>
          </cell>
          <cell r="AK866">
            <v>8.1656814180000001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</row>
        <row r="869">
          <cell r="A869" t="str">
            <v>ems_ci_co2_sroa_2</v>
          </cell>
          <cell r="B869">
            <v>16.040054869999999</v>
          </cell>
          <cell r="C869">
            <v>15.99344673</v>
          </cell>
          <cell r="D869">
            <v>15.97470798</v>
          </cell>
          <cell r="E869">
            <v>16.0125213</v>
          </cell>
          <cell r="F869">
            <v>16.091816179999999</v>
          </cell>
          <cell r="G869">
            <v>16.199527710000002</v>
          </cell>
          <cell r="H869">
            <v>16.336504730000001</v>
          </cell>
          <cell r="I869">
            <v>16.504271859999999</v>
          </cell>
          <cell r="J869">
            <v>16.693945129999999</v>
          </cell>
          <cell r="K869">
            <v>16.90189153</v>
          </cell>
          <cell r="L869">
            <v>17.12803976</v>
          </cell>
          <cell r="M869">
            <v>17.375710829999999</v>
          </cell>
          <cell r="N869">
            <v>17.629712210000001</v>
          </cell>
          <cell r="O869">
            <v>17.883977680000001</v>
          </cell>
          <cell r="P869">
            <v>18.134058719999999</v>
          </cell>
          <cell r="Q869">
            <v>18.376874229999999</v>
          </cell>
          <cell r="R869">
            <v>18.61112645</v>
          </cell>
          <cell r="S869">
            <v>18.83731972</v>
          </cell>
          <cell r="T869">
            <v>19.057315110000001</v>
          </cell>
          <cell r="U869">
            <v>19.273684500000002</v>
          </cell>
          <cell r="V869">
            <v>19.485660410000001</v>
          </cell>
          <cell r="W869">
            <v>19.694808890000001</v>
          </cell>
          <cell r="X869">
            <v>19.91026055</v>
          </cell>
          <cell r="Y869">
            <v>20.133341850000001</v>
          </cell>
          <cell r="Z869">
            <v>20.364214539999999</v>
          </cell>
          <cell r="AA869">
            <v>20.589463800000001</v>
          </cell>
          <cell r="AB869">
            <v>20.810235070000001</v>
          </cell>
          <cell r="AC869">
            <v>21.036974270000002</v>
          </cell>
          <cell r="AD869">
            <v>21.27177936</v>
          </cell>
          <cell r="AE869">
            <v>21.515074569999999</v>
          </cell>
          <cell r="AF869">
            <v>21.76642434</v>
          </cell>
          <cell r="AG869">
            <v>22.024781560000001</v>
          </cell>
          <cell r="AH869">
            <v>22.288863670000001</v>
          </cell>
          <cell r="AI869">
            <v>22.55752464</v>
          </cell>
          <cell r="AJ869">
            <v>22.82997301</v>
          </cell>
          <cell r="AK869">
            <v>23.1058129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</row>
        <row r="872">
          <cell r="A872" t="str">
            <v>ems_ci_co2_swat_2</v>
          </cell>
          <cell r="B872">
            <v>3.7869718140000002</v>
          </cell>
          <cell r="C872">
            <v>3.8481040050000002</v>
          </cell>
          <cell r="D872">
            <v>3.9193764029999998</v>
          </cell>
          <cell r="E872">
            <v>3.9971934099999999</v>
          </cell>
          <cell r="F872">
            <v>4.0794118580000003</v>
          </cell>
          <cell r="G872">
            <v>4.1637404990000002</v>
          </cell>
          <cell r="H872">
            <v>4.2446113849999998</v>
          </cell>
          <cell r="I872">
            <v>4.3233859810000004</v>
          </cell>
          <cell r="J872">
            <v>4.3982756800000002</v>
          </cell>
          <cell r="K872">
            <v>4.4687251559999996</v>
          </cell>
          <cell r="L872">
            <v>4.54192105</v>
          </cell>
          <cell r="M872">
            <v>4.6085588140000002</v>
          </cell>
          <cell r="N872">
            <v>4.674832286</v>
          </cell>
          <cell r="O872">
            <v>4.742181822</v>
          </cell>
          <cell r="P872">
            <v>4.8108426150000003</v>
          </cell>
          <cell r="Q872">
            <v>4.8805893710000001</v>
          </cell>
          <cell r="R872">
            <v>4.9511374139999997</v>
          </cell>
          <cell r="S872">
            <v>5.0223833649999996</v>
          </cell>
          <cell r="T872">
            <v>5.0944703689999997</v>
          </cell>
          <cell r="U872">
            <v>5.1677128960000003</v>
          </cell>
          <cell r="V872">
            <v>5.2378968649999997</v>
          </cell>
          <cell r="W872">
            <v>5.3136401019999999</v>
          </cell>
          <cell r="X872">
            <v>5.3917300109999999</v>
          </cell>
          <cell r="Y872">
            <v>5.471821265</v>
          </cell>
          <cell r="Z872">
            <v>5.5537693739999998</v>
          </cell>
          <cell r="AA872">
            <v>5.6241457920000002</v>
          </cell>
          <cell r="AB872">
            <v>5.7007304169999999</v>
          </cell>
          <cell r="AC872">
            <v>5.7788420379999996</v>
          </cell>
          <cell r="AD872">
            <v>5.858183768</v>
          </cell>
          <cell r="AE872">
            <v>5.9390550290000004</v>
          </cell>
          <cell r="AF872">
            <v>6.0216980500000004</v>
          </cell>
          <cell r="AG872">
            <v>6.1061444829999996</v>
          </cell>
          <cell r="AH872">
            <v>6.1922384450000001</v>
          </cell>
          <cell r="AI872">
            <v>6.279743012</v>
          </cell>
          <cell r="AJ872">
            <v>6.3684556519999997</v>
          </cell>
          <cell r="AK872">
            <v>6.4582808869999999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</row>
        <row r="875">
          <cell r="A875" t="str">
            <v>ems_ci_co2_sair_2</v>
          </cell>
          <cell r="B875">
            <v>19.866369049999999</v>
          </cell>
          <cell r="C875">
            <v>20.138514430000001</v>
          </cell>
          <cell r="D875">
            <v>20.463111090000002</v>
          </cell>
          <cell r="E875">
            <v>20.826090870000002</v>
          </cell>
          <cell r="F875">
            <v>21.212251089999999</v>
          </cell>
          <cell r="G875">
            <v>21.612245690000002</v>
          </cell>
          <cell r="H875">
            <v>22.01615919</v>
          </cell>
          <cell r="I875">
            <v>22.41195768</v>
          </cell>
          <cell r="J875">
            <v>22.801461199999999</v>
          </cell>
          <cell r="K875">
            <v>23.192126949999999</v>
          </cell>
          <cell r="L875">
            <v>23.614027180000001</v>
          </cell>
          <cell r="M875">
            <v>24.039483560000001</v>
          </cell>
          <cell r="N875">
            <v>24.475269529999998</v>
          </cell>
          <cell r="O875">
            <v>24.919620640000002</v>
          </cell>
          <cell r="P875">
            <v>25.369721980000001</v>
          </cell>
          <cell r="Q875">
            <v>25.823603519999999</v>
          </cell>
          <cell r="R875">
            <v>26.280850959999999</v>
          </cell>
          <cell r="S875">
            <v>26.742414530000001</v>
          </cell>
          <cell r="T875">
            <v>27.209915580000001</v>
          </cell>
          <cell r="U875">
            <v>27.68491088</v>
          </cell>
          <cell r="V875">
            <v>28.150348659999999</v>
          </cell>
          <cell r="W875">
            <v>28.633256599999999</v>
          </cell>
          <cell r="X875">
            <v>29.129100810000001</v>
          </cell>
          <cell r="Y875">
            <v>29.636690000000002</v>
          </cell>
          <cell r="Z875">
            <v>30.154852519999999</v>
          </cell>
          <cell r="AA875">
            <v>30.626987039999999</v>
          </cell>
          <cell r="AB875">
            <v>31.1116496</v>
          </cell>
          <cell r="AC875">
            <v>31.605470560000001</v>
          </cell>
          <cell r="AD875">
            <v>32.110085339999998</v>
          </cell>
          <cell r="AE875">
            <v>32.626244970000002</v>
          </cell>
          <cell r="AF875">
            <v>33.15362073</v>
          </cell>
          <cell r="AG875">
            <v>33.691302569999998</v>
          </cell>
          <cell r="AH875">
            <v>34.238421639999999</v>
          </cell>
          <cell r="AI875">
            <v>34.794580830000001</v>
          </cell>
          <cell r="AJ875">
            <v>35.359960870000002</v>
          </cell>
          <cell r="AK875">
            <v>35.935138629999997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</row>
        <row r="878">
          <cell r="A878" t="str">
            <v>ems_ci_co2_spri_2</v>
          </cell>
          <cell r="B878">
            <v>30.81987728</v>
          </cell>
          <cell r="C878">
            <v>30.515654260000002</v>
          </cell>
          <cell r="D878">
            <v>30.273551659999999</v>
          </cell>
          <cell r="E878">
            <v>30.282171559999998</v>
          </cell>
          <cell r="F878">
            <v>30.55353173</v>
          </cell>
          <cell r="G878">
            <v>31.071596190000001</v>
          </cell>
          <cell r="H878">
            <v>31.899559499999999</v>
          </cell>
          <cell r="I878">
            <v>32.890313040000002</v>
          </cell>
          <cell r="J878">
            <v>33.940707590000002</v>
          </cell>
          <cell r="K878">
            <v>34.933629430000003</v>
          </cell>
          <cell r="L878">
            <v>35.708088050000001</v>
          </cell>
          <cell r="M878">
            <v>36.464429899999999</v>
          </cell>
          <cell r="N878">
            <v>37.12646453</v>
          </cell>
          <cell r="O878">
            <v>37.757689030000002</v>
          </cell>
          <cell r="P878">
            <v>38.412202829999998</v>
          </cell>
          <cell r="Q878">
            <v>39.11419824</v>
          </cell>
          <cell r="R878">
            <v>39.862471999999997</v>
          </cell>
          <cell r="S878">
            <v>40.642347010000002</v>
          </cell>
          <cell r="T878">
            <v>41.437632030000003</v>
          </cell>
          <cell r="U878">
            <v>42.238494000000003</v>
          </cell>
          <cell r="V878">
            <v>43.090612409999999</v>
          </cell>
          <cell r="W878">
            <v>43.868015339999999</v>
          </cell>
          <cell r="X878">
            <v>44.662443860000003</v>
          </cell>
          <cell r="Y878">
            <v>45.481811049999997</v>
          </cell>
          <cell r="Z878">
            <v>46.32961839</v>
          </cell>
          <cell r="AA878">
            <v>47.31989815</v>
          </cell>
          <cell r="AB878">
            <v>48.174156279999998</v>
          </cell>
          <cell r="AC878">
            <v>48.99665332</v>
          </cell>
          <cell r="AD878">
            <v>49.783886170000002</v>
          </cell>
          <cell r="AE878">
            <v>50.54174141</v>
          </cell>
          <cell r="AF878">
            <v>51.288959599999998</v>
          </cell>
          <cell r="AG878">
            <v>52.046548049999998</v>
          </cell>
          <cell r="AH878">
            <v>52.829023620000001</v>
          </cell>
          <cell r="AI878">
            <v>53.641048349999998</v>
          </cell>
          <cell r="AJ878">
            <v>54.479057779999998</v>
          </cell>
          <cell r="AK878">
            <v>55.335750490000002</v>
          </cell>
        </row>
        <row r="879">
          <cell r="A879" t="str">
            <v>ems_y_co2_spri_2</v>
          </cell>
          <cell r="B879">
            <v>0.4044219423</v>
          </cell>
          <cell r="C879">
            <v>0.40722793660000001</v>
          </cell>
          <cell r="D879">
            <v>0.41175775860000002</v>
          </cell>
          <cell r="E879">
            <v>0.4180332142</v>
          </cell>
          <cell r="F879">
            <v>0.42494240030000002</v>
          </cell>
          <cell r="G879">
            <v>0.43201028200000002</v>
          </cell>
          <cell r="H879">
            <v>0.4403737995</v>
          </cell>
          <cell r="I879">
            <v>0.44721344159999998</v>
          </cell>
          <cell r="J879">
            <v>0.45342647829999999</v>
          </cell>
          <cell r="K879">
            <v>0.45962492269999999</v>
          </cell>
          <cell r="L879">
            <v>0.46536913130000002</v>
          </cell>
          <cell r="M879">
            <v>0.47345793009999998</v>
          </cell>
          <cell r="N879">
            <v>0.48160573870000001</v>
          </cell>
          <cell r="O879">
            <v>0.48984941900000001</v>
          </cell>
          <cell r="P879">
            <v>0.49815250830000002</v>
          </cell>
          <cell r="Q879">
            <v>0.50649201399999999</v>
          </cell>
          <cell r="R879">
            <v>0.51488617199999998</v>
          </cell>
          <cell r="S879">
            <v>0.52338344250000002</v>
          </cell>
          <cell r="T879">
            <v>0.53203519219999995</v>
          </cell>
          <cell r="U879">
            <v>0.54087237499999996</v>
          </cell>
          <cell r="V879">
            <v>0.55038666619999999</v>
          </cell>
          <cell r="W879">
            <v>0.55892936270000004</v>
          </cell>
          <cell r="X879">
            <v>0.56794986550000004</v>
          </cell>
          <cell r="Y879">
            <v>0.57726394879999998</v>
          </cell>
          <cell r="Z879">
            <v>0.58675464889999995</v>
          </cell>
          <cell r="AA879">
            <v>0.59753347140000002</v>
          </cell>
          <cell r="AB879">
            <v>0.6061117681</v>
          </cell>
          <cell r="AC879">
            <v>0.61490844300000003</v>
          </cell>
          <cell r="AD879">
            <v>0.62394611339999995</v>
          </cell>
          <cell r="AE879">
            <v>0.63321743389999996</v>
          </cell>
          <cell r="AF879">
            <v>0.64268161999999995</v>
          </cell>
          <cell r="AG879">
            <v>0.65228706410000004</v>
          </cell>
          <cell r="AH879">
            <v>0.66199626</v>
          </cell>
          <cell r="AI879">
            <v>0.67179868730000003</v>
          </cell>
          <cell r="AJ879">
            <v>0.68170892120000004</v>
          </cell>
          <cell r="AK879">
            <v>0.69175451300000002</v>
          </cell>
        </row>
        <row r="880">
          <cell r="A880" t="str">
            <v>ems_mat_co2_spri_2</v>
          </cell>
          <cell r="B880">
            <v>0.59293969349999998</v>
          </cell>
          <cell r="C880">
            <v>0.59744163340000001</v>
          </cell>
          <cell r="D880">
            <v>0.60385157209999996</v>
          </cell>
          <cell r="E880">
            <v>0.61283315969999996</v>
          </cell>
          <cell r="F880">
            <v>0.62293843859999998</v>
          </cell>
          <cell r="G880">
            <v>0.63335741320000005</v>
          </cell>
          <cell r="H880">
            <v>0.64553565560000004</v>
          </cell>
          <cell r="I880">
            <v>0.65582634019999997</v>
          </cell>
          <cell r="J880">
            <v>0.6650475535</v>
          </cell>
          <cell r="K880">
            <v>0.6741321857</v>
          </cell>
          <cell r="L880">
            <v>0.68259389709999996</v>
          </cell>
          <cell r="M880">
            <v>0.69415758149999995</v>
          </cell>
          <cell r="N880">
            <v>0.70613401119999997</v>
          </cell>
          <cell r="O880">
            <v>0.71826650520000002</v>
          </cell>
          <cell r="P880">
            <v>0.73048061419999999</v>
          </cell>
          <cell r="Q880">
            <v>0.74274057380000003</v>
          </cell>
          <cell r="R880">
            <v>0.7550699797</v>
          </cell>
          <cell r="S880">
            <v>0.76753893620000002</v>
          </cell>
          <cell r="T880">
            <v>0.78022556340000004</v>
          </cell>
          <cell r="U880">
            <v>0.79318037659999996</v>
          </cell>
          <cell r="V880">
            <v>0.80707184310000002</v>
          </cell>
          <cell r="W880">
            <v>0.81974547060000003</v>
          </cell>
          <cell r="X880">
            <v>0.83292501379999995</v>
          </cell>
          <cell r="Y880">
            <v>0.84655486749999997</v>
          </cell>
          <cell r="Z880">
            <v>0.860467498</v>
          </cell>
          <cell r="AA880">
            <v>0.87614238479999995</v>
          </cell>
          <cell r="AB880">
            <v>0.88902803460000002</v>
          </cell>
          <cell r="AC880">
            <v>0.90189830039999996</v>
          </cell>
          <cell r="AD880">
            <v>0.91510006180000003</v>
          </cell>
          <cell r="AE880">
            <v>0.92865766599999999</v>
          </cell>
          <cell r="AF880">
            <v>0.94251464350000003</v>
          </cell>
          <cell r="AG880">
            <v>0.95659240229999998</v>
          </cell>
          <cell r="AH880">
            <v>0.97083031210000004</v>
          </cell>
          <cell r="AI880">
            <v>0.98520709770000003</v>
          </cell>
          <cell r="AJ880">
            <v>0.99974010849999995</v>
          </cell>
          <cell r="AK880">
            <v>1.0144684319999999</v>
          </cell>
        </row>
        <row r="881">
          <cell r="A881" t="str">
            <v>ems_ci_co2_spub_2</v>
          </cell>
          <cell r="B881">
            <v>15.0601217</v>
          </cell>
          <cell r="C881">
            <v>15.05971566</v>
          </cell>
          <cell r="D881">
            <v>15.06939339</v>
          </cell>
          <cell r="E881">
            <v>15.134444930000001</v>
          </cell>
          <cell r="F881">
            <v>15.26229023</v>
          </cell>
          <cell r="G881">
            <v>15.451749919999999</v>
          </cell>
          <cell r="H881">
            <v>15.70586765</v>
          </cell>
          <cell r="I881">
            <v>16.067442239999998</v>
          </cell>
          <cell r="J881">
            <v>16.49061566</v>
          </cell>
          <cell r="K881">
            <v>16.929078029999999</v>
          </cell>
          <cell r="L881">
            <v>17.339037229999999</v>
          </cell>
          <cell r="M881">
            <v>17.7397183</v>
          </cell>
          <cell r="N881">
            <v>18.112603190000002</v>
          </cell>
          <cell r="O881">
            <v>18.469536829999999</v>
          </cell>
          <cell r="P881">
            <v>18.81994169</v>
          </cell>
          <cell r="Q881">
            <v>19.166697209999999</v>
          </cell>
          <cell r="R881">
            <v>19.507447089999999</v>
          </cell>
          <cell r="S881">
            <v>19.837934239999999</v>
          </cell>
          <cell r="T881">
            <v>20.155235770000001</v>
          </cell>
          <cell r="U881">
            <v>20.459662250000001</v>
          </cell>
          <cell r="V881">
            <v>20.758404680000002</v>
          </cell>
          <cell r="W881">
            <v>21.04032746</v>
          </cell>
          <cell r="X881">
            <v>21.326157599999998</v>
          </cell>
          <cell r="Y881">
            <v>21.62091697</v>
          </cell>
          <cell r="Z881">
            <v>21.928867660000002</v>
          </cell>
          <cell r="AA881">
            <v>22.257121999999999</v>
          </cell>
          <cell r="AB881">
            <v>22.571658060000001</v>
          </cell>
          <cell r="AC881">
            <v>22.890162700000001</v>
          </cell>
          <cell r="AD881">
            <v>23.209945439999998</v>
          </cell>
          <cell r="AE881">
            <v>23.531604990000002</v>
          </cell>
          <cell r="AF881">
            <v>23.859011500000001</v>
          </cell>
          <cell r="AG881">
            <v>24.196396100000001</v>
          </cell>
          <cell r="AH881">
            <v>24.54608137</v>
          </cell>
          <cell r="AI881">
            <v>24.907733889999999</v>
          </cell>
          <cell r="AJ881">
            <v>25.278950999999999</v>
          </cell>
          <cell r="AK881">
            <v>25.656609150000001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</row>
        <row r="883">
          <cell r="A883" t="str">
            <v>ems_mat_co2_spub_2</v>
          </cell>
          <cell r="B883">
            <v>9.7377176950000006</v>
          </cell>
          <cell r="C883">
            <v>9.8464327970000003</v>
          </cell>
          <cell r="D883">
            <v>9.9759075260000003</v>
          </cell>
          <cell r="E883">
            <v>10.12815035</v>
          </cell>
          <cell r="F883">
            <v>10.29214215</v>
          </cell>
          <cell r="G883">
            <v>10.461962850000001</v>
          </cell>
          <cell r="H883">
            <v>10.640653070000001</v>
          </cell>
          <cell r="I883">
            <v>10.81122865</v>
          </cell>
          <cell r="J883">
            <v>10.97855985</v>
          </cell>
          <cell r="K883">
            <v>11.147836959999999</v>
          </cell>
          <cell r="L883">
            <v>11.31992851</v>
          </cell>
          <cell r="M883">
            <v>11.511941670000001</v>
          </cell>
          <cell r="N883">
            <v>11.705849260000001</v>
          </cell>
          <cell r="O883">
            <v>11.901112960000001</v>
          </cell>
          <cell r="P883">
            <v>12.09805416</v>
          </cell>
          <cell r="Q883">
            <v>12.296922240000001</v>
          </cell>
          <cell r="R883">
            <v>12.4980656</v>
          </cell>
          <cell r="S883">
            <v>12.701929590000001</v>
          </cell>
          <cell r="T883">
            <v>12.908911059999999</v>
          </cell>
          <cell r="U883">
            <v>13.119226879999999</v>
          </cell>
          <cell r="V883">
            <v>13.333083589999999</v>
          </cell>
          <cell r="W883">
            <v>13.54229806</v>
          </cell>
          <cell r="X883">
            <v>13.75771945</v>
          </cell>
          <cell r="Y883">
            <v>13.978440490000001</v>
          </cell>
          <cell r="Z883">
            <v>14.203219320000001</v>
          </cell>
          <cell r="AA883">
            <v>14.429371789999999</v>
          </cell>
          <cell r="AB883">
            <v>14.63913056</v>
          </cell>
          <cell r="AC883">
            <v>14.851242989999999</v>
          </cell>
          <cell r="AD883">
            <v>15.06760178</v>
          </cell>
          <cell r="AE883">
            <v>15.288125859999999</v>
          </cell>
          <cell r="AF883">
            <v>15.51240496</v>
          </cell>
          <cell r="AG883">
            <v>15.740018389999999</v>
          </cell>
          <cell r="AH883">
            <v>15.97070516</v>
          </cell>
          <cell r="AI883">
            <v>16.204433250000001</v>
          </cell>
          <cell r="AJ883">
            <v>16.441359729999999</v>
          </cell>
          <cell r="AK883">
            <v>16.68172599</v>
          </cell>
        </row>
        <row r="884">
          <cell r="A884" t="str">
            <v>ems_ci_co2_smin_2</v>
          </cell>
          <cell r="B884">
            <v>1.7691733080000001</v>
          </cell>
          <cell r="C884">
            <v>1.9652898130000001</v>
          </cell>
          <cell r="D884">
            <v>2.1566259900000002</v>
          </cell>
          <cell r="E884">
            <v>2.317112861</v>
          </cell>
          <cell r="F884">
            <v>2.4504226550000001</v>
          </cell>
          <cell r="G884">
            <v>2.5645392390000001</v>
          </cell>
          <cell r="H884">
            <v>2.6794625299999999</v>
          </cell>
          <cell r="I884">
            <v>2.7679490960000002</v>
          </cell>
          <cell r="J884">
            <v>2.843258117</v>
          </cell>
          <cell r="K884">
            <v>2.9099231900000002</v>
          </cell>
          <cell r="L884">
            <v>2.9833761999999999</v>
          </cell>
          <cell r="M884">
            <v>3.0367268709999999</v>
          </cell>
          <cell r="N884">
            <v>3.0874892100000002</v>
          </cell>
          <cell r="O884">
            <v>3.1390552220000001</v>
          </cell>
          <cell r="P884">
            <v>3.191449822</v>
          </cell>
          <cell r="Q884">
            <v>3.2443474509999999</v>
          </cell>
          <cell r="R884">
            <v>3.297630002</v>
          </cell>
          <cell r="S884">
            <v>3.3513783350000002</v>
          </cell>
          <cell r="T884">
            <v>3.4057859110000002</v>
          </cell>
          <cell r="U884">
            <v>3.4610670379999999</v>
          </cell>
          <cell r="V884">
            <v>3.507829138</v>
          </cell>
          <cell r="W884">
            <v>3.5668953879999998</v>
          </cell>
          <cell r="X884">
            <v>3.6276645240000001</v>
          </cell>
          <cell r="Y884">
            <v>3.6881848640000001</v>
          </cell>
          <cell r="Z884">
            <v>3.74866411</v>
          </cell>
          <cell r="AA884">
            <v>3.7810898540000002</v>
          </cell>
          <cell r="AB884">
            <v>3.83537587</v>
          </cell>
          <cell r="AC884">
            <v>3.8936343</v>
          </cell>
          <cell r="AD884">
            <v>3.9514485979999998</v>
          </cell>
          <cell r="AE884">
            <v>4.0087365989999997</v>
          </cell>
          <cell r="AF884">
            <v>4.0660449209999996</v>
          </cell>
          <cell r="AG884">
            <v>4.1237734079999999</v>
          </cell>
          <cell r="AH884">
            <v>4.1821219640000002</v>
          </cell>
          <cell r="AI884">
            <v>4.2411612300000003</v>
          </cell>
          <cell r="AJ884">
            <v>4.3009216600000002</v>
          </cell>
          <cell r="AK884">
            <v>4.3614453859999998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</row>
        <row r="886">
          <cell r="A886" t="str">
            <v>ems_mat_co2_smin_2</v>
          </cell>
          <cell r="B886">
            <v>9.7487404099999994E-2</v>
          </cell>
          <cell r="C886">
            <v>0.10846767359999999</v>
          </cell>
          <cell r="D886">
            <v>0.11923160319999999</v>
          </cell>
          <cell r="E886">
            <v>0.12827642910000001</v>
          </cell>
          <cell r="F886">
            <v>0.13575341869999999</v>
          </cell>
          <cell r="G886">
            <v>0.14207891110000001</v>
          </cell>
          <cell r="H886">
            <v>0.1483532336</v>
          </cell>
          <cell r="I886">
            <v>0.1530311131</v>
          </cell>
          <cell r="J886">
            <v>0.15689914029999999</v>
          </cell>
          <cell r="K886">
            <v>0.16028208360000001</v>
          </cell>
          <cell r="L886">
            <v>0.16409454749999999</v>
          </cell>
          <cell r="M886">
            <v>0.16686582690000001</v>
          </cell>
          <cell r="N886">
            <v>0.16954310489999999</v>
          </cell>
          <cell r="O886">
            <v>0.17228732029999999</v>
          </cell>
          <cell r="P886">
            <v>0.17507997149999999</v>
          </cell>
          <cell r="Q886">
            <v>0.1778947826</v>
          </cell>
          <cell r="R886">
            <v>0.1807274955</v>
          </cell>
          <cell r="S886">
            <v>0.18359048480000001</v>
          </cell>
          <cell r="T886">
            <v>0.1865022892</v>
          </cell>
          <cell r="U886">
            <v>0.18947857630000001</v>
          </cell>
          <cell r="V886">
            <v>0.1919992388</v>
          </cell>
          <cell r="W886">
            <v>0.19520615490000001</v>
          </cell>
          <cell r="X886">
            <v>0.1985166139</v>
          </cell>
          <cell r="Y886">
            <v>0.20181700089999999</v>
          </cell>
          <cell r="Z886">
            <v>0.2051113386</v>
          </cell>
          <cell r="AA886">
            <v>0.20685137319999999</v>
          </cell>
          <cell r="AB886">
            <v>0.20977997749999999</v>
          </cell>
          <cell r="AC886">
            <v>0.212936085</v>
          </cell>
          <cell r="AD886">
            <v>0.21608738120000001</v>
          </cell>
          <cell r="AE886">
            <v>0.2192280965</v>
          </cell>
          <cell r="AF886">
            <v>0.22237991570000001</v>
          </cell>
          <cell r="AG886">
            <v>0.2255550556</v>
          </cell>
          <cell r="AH886">
            <v>0.22875779639999999</v>
          </cell>
          <cell r="AI886">
            <v>0.23199021219999999</v>
          </cell>
          <cell r="AJ886">
            <v>0.23525636999999999</v>
          </cell>
          <cell r="AK886">
            <v>0.2385629339</v>
          </cell>
        </row>
        <row r="887">
          <cell r="A887" t="str">
            <v>ems_ci_co2_soil_2</v>
          </cell>
          <cell r="B887">
            <v>16.63452947</v>
          </cell>
          <cell r="C887">
            <v>16.854677949999999</v>
          </cell>
          <cell r="D887">
            <v>17.051790350000001</v>
          </cell>
          <cell r="E887">
            <v>17.24638762</v>
          </cell>
          <cell r="F887">
            <v>17.450417130000002</v>
          </cell>
          <cell r="G887">
            <v>17.66709157</v>
          </cell>
          <cell r="H887">
            <v>17.907155320000001</v>
          </cell>
          <cell r="I887">
            <v>18.142785050000001</v>
          </cell>
          <cell r="J887">
            <v>18.38025223</v>
          </cell>
          <cell r="K887">
            <v>18.617932530000001</v>
          </cell>
          <cell r="L887">
            <v>18.87157079</v>
          </cell>
          <cell r="M887">
            <v>19.10751067</v>
          </cell>
          <cell r="N887">
            <v>19.34085074</v>
          </cell>
          <cell r="O887">
            <v>19.575707489999999</v>
          </cell>
          <cell r="P887">
            <v>19.813446089999999</v>
          </cell>
          <cell r="Q887">
            <v>20.05423034</v>
          </cell>
          <cell r="R887">
            <v>20.297602189999999</v>
          </cell>
          <cell r="S887">
            <v>20.542874640000001</v>
          </cell>
          <cell r="T887">
            <v>20.789455090000001</v>
          </cell>
          <cell r="U887">
            <v>21.037031420000002</v>
          </cell>
          <cell r="V887">
            <v>21.27178194</v>
          </cell>
          <cell r="W887">
            <v>21.51884411</v>
          </cell>
          <cell r="X887">
            <v>21.768786049999999</v>
          </cell>
          <cell r="Y887">
            <v>22.02018069</v>
          </cell>
          <cell r="Z887">
            <v>22.273177579999999</v>
          </cell>
          <cell r="AA887">
            <v>22.486982900000001</v>
          </cell>
          <cell r="AB887">
            <v>22.71759943</v>
          </cell>
          <cell r="AC887">
            <v>22.950271189999999</v>
          </cell>
          <cell r="AD887">
            <v>23.181830680000001</v>
          </cell>
          <cell r="AE887">
            <v>23.412315769999999</v>
          </cell>
          <cell r="AF887">
            <v>23.642552770000002</v>
          </cell>
          <cell r="AG887">
            <v>23.87336195</v>
          </cell>
          <cell r="AH887">
            <v>24.105249610000001</v>
          </cell>
          <cell r="AI887">
            <v>24.338328820000001</v>
          </cell>
          <cell r="AJ887">
            <v>24.57241028</v>
          </cell>
          <cell r="AK887">
            <v>24.80716524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</row>
        <row r="889">
          <cell r="A889" t="str">
            <v>ems_mat_co2_soil_2</v>
          </cell>
          <cell r="B889">
            <v>4.7881592639999999</v>
          </cell>
          <cell r="C889">
            <v>4.8514601969999998</v>
          </cell>
          <cell r="D889">
            <v>4.9080834019999999</v>
          </cell>
          <cell r="E889">
            <v>4.9639511369999996</v>
          </cell>
          <cell r="F889">
            <v>5.022523852</v>
          </cell>
          <cell r="G889">
            <v>5.0847461149999997</v>
          </cell>
          <cell r="H889">
            <v>5.1537268980000004</v>
          </cell>
          <cell r="I889">
            <v>5.2214402800000004</v>
          </cell>
          <cell r="J889">
            <v>5.2897171649999999</v>
          </cell>
          <cell r="K889">
            <v>5.3580927999999997</v>
          </cell>
          <cell r="L889">
            <v>5.4310864040000002</v>
          </cell>
          <cell r="M889">
            <v>5.4990011519999999</v>
          </cell>
          <cell r="N889">
            <v>5.5661770009999998</v>
          </cell>
          <cell r="O889">
            <v>5.633799196</v>
          </cell>
          <cell r="P889">
            <v>5.7022637610000002</v>
          </cell>
          <cell r="Q889">
            <v>5.7716202570000004</v>
          </cell>
          <cell r="R889">
            <v>5.8417366570000002</v>
          </cell>
          <cell r="S889">
            <v>5.912412099</v>
          </cell>
          <cell r="T889">
            <v>5.9834709049999999</v>
          </cell>
          <cell r="U889">
            <v>6.0548177130000003</v>
          </cell>
          <cell r="V889">
            <v>6.1224706009999998</v>
          </cell>
          <cell r="W889">
            <v>6.1936610600000002</v>
          </cell>
          <cell r="X889">
            <v>6.2656724480000001</v>
          </cell>
          <cell r="Y889">
            <v>6.3380937719999997</v>
          </cell>
          <cell r="Z889">
            <v>6.4109694599999996</v>
          </cell>
          <cell r="AA889">
            <v>6.4725611760000001</v>
          </cell>
          <cell r="AB889">
            <v>6.5389896089999997</v>
          </cell>
          <cell r="AC889">
            <v>6.6060059520000003</v>
          </cell>
          <cell r="AD889">
            <v>6.6726956709999996</v>
          </cell>
          <cell r="AE889">
            <v>6.7390679249999996</v>
          </cell>
          <cell r="AF889">
            <v>6.8053608969999999</v>
          </cell>
          <cell r="AG889">
            <v>6.8718127869999996</v>
          </cell>
          <cell r="AH889">
            <v>6.9385721690000004</v>
          </cell>
          <cell r="AI889">
            <v>7.0056740570000002</v>
          </cell>
          <cell r="AJ889">
            <v>7.0730653649999997</v>
          </cell>
          <cell r="AK889">
            <v>7.1406517230000004</v>
          </cell>
        </row>
        <row r="890">
          <cell r="A890" t="str">
            <v>ems_ci_co2_sbfu_2</v>
          </cell>
          <cell r="B890">
            <v>3.9545121619999999</v>
          </cell>
          <cell r="C890">
            <v>4.04481001</v>
          </cell>
          <cell r="D890">
            <v>4.1261729359999997</v>
          </cell>
          <cell r="E890">
            <v>4.200607025</v>
          </cell>
          <cell r="F890">
            <v>4.2718718259999999</v>
          </cell>
          <cell r="G890">
            <v>4.3417089019999997</v>
          </cell>
          <cell r="H890">
            <v>4.4142384229999996</v>
          </cell>
          <cell r="I890">
            <v>4.4822394880000003</v>
          </cell>
          <cell r="J890">
            <v>4.54858954</v>
          </cell>
          <cell r="K890">
            <v>4.6138029830000002</v>
          </cell>
          <cell r="L890">
            <v>4.6824504740000004</v>
          </cell>
          <cell r="M890">
            <v>4.7463628140000003</v>
          </cell>
          <cell r="N890">
            <v>4.8094090610000002</v>
          </cell>
          <cell r="O890">
            <v>4.8724641799999997</v>
          </cell>
          <cell r="P890">
            <v>4.9357333030000001</v>
          </cell>
          <cell r="Q890">
            <v>4.999205763</v>
          </cell>
          <cell r="R890">
            <v>5.062798677</v>
          </cell>
          <cell r="S890">
            <v>5.1264190440000004</v>
          </cell>
          <cell r="T890">
            <v>5.1900044039999997</v>
          </cell>
          <cell r="U890">
            <v>5.2535418160000003</v>
          </cell>
          <cell r="V890">
            <v>5.3136008739999996</v>
          </cell>
          <cell r="W890">
            <v>5.3765501809999998</v>
          </cell>
          <cell r="X890">
            <v>5.4399713240000001</v>
          </cell>
          <cell r="Y890">
            <v>5.5035251919999997</v>
          </cell>
          <cell r="Z890">
            <v>5.5672577670000001</v>
          </cell>
          <cell r="AA890">
            <v>5.6209929440000002</v>
          </cell>
          <cell r="AB890">
            <v>5.6788547679999999</v>
          </cell>
          <cell r="AC890">
            <v>5.7371508230000003</v>
          </cell>
          <cell r="AD890">
            <v>5.7951607569999997</v>
          </cell>
          <cell r="AE890">
            <v>5.8528929170000001</v>
          </cell>
          <cell r="AF890">
            <v>5.9104978040000002</v>
          </cell>
          <cell r="AG890">
            <v>5.9681093460000003</v>
          </cell>
          <cell r="AH890">
            <v>6.0257992360000001</v>
          </cell>
          <cell r="AI890">
            <v>6.083570226</v>
          </cell>
          <cell r="AJ890">
            <v>6.1413756959999999</v>
          </cell>
          <cell r="AK890">
            <v>6.199147119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</row>
        <row r="892">
          <cell r="A892" t="str">
            <v>ems_mat_co2_sbfu_2</v>
          </cell>
          <cell r="B892">
            <v>3.2983469859999999</v>
          </cell>
          <cell r="C892">
            <v>3.3736618759999999</v>
          </cell>
          <cell r="D892">
            <v>3.4415244029999998</v>
          </cell>
          <cell r="E892">
            <v>3.5036077890000001</v>
          </cell>
          <cell r="F892">
            <v>3.5630477690000002</v>
          </cell>
          <cell r="G892">
            <v>3.6212969340000001</v>
          </cell>
          <cell r="H892">
            <v>3.681791799</v>
          </cell>
          <cell r="I892">
            <v>3.7385095810000002</v>
          </cell>
          <cell r="J892">
            <v>3.79385028</v>
          </cell>
          <cell r="K892">
            <v>3.8482429480000002</v>
          </cell>
          <cell r="L892">
            <v>3.9054998470000002</v>
          </cell>
          <cell r="M892">
            <v>3.9588072840000001</v>
          </cell>
          <cell r="N892">
            <v>4.0113923370000002</v>
          </cell>
          <cell r="O892">
            <v>4.0639847949999997</v>
          </cell>
          <cell r="P892">
            <v>4.1167557590000001</v>
          </cell>
          <cell r="Q892">
            <v>4.1696963340000002</v>
          </cell>
          <cell r="R892">
            <v>4.2227373909999999</v>
          </cell>
          <cell r="S892">
            <v>4.2758013620000002</v>
          </cell>
          <cell r="T892">
            <v>4.3288361450000004</v>
          </cell>
          <cell r="U892">
            <v>4.3818309470000001</v>
          </cell>
          <cell r="V892">
            <v>4.4319245589999996</v>
          </cell>
          <cell r="W892">
            <v>4.4844288470000002</v>
          </cell>
          <cell r="X892">
            <v>4.5373266839999999</v>
          </cell>
          <cell r="Y892">
            <v>4.590335219</v>
          </cell>
          <cell r="Z892">
            <v>4.6434928080000004</v>
          </cell>
          <cell r="AA892">
            <v>4.6883118430000001</v>
          </cell>
          <cell r="AB892">
            <v>4.7365727929999997</v>
          </cell>
          <cell r="AC892">
            <v>4.7851959180000003</v>
          </cell>
          <cell r="AD892">
            <v>4.8335803909999999</v>
          </cell>
          <cell r="AE892">
            <v>4.8817331749999999</v>
          </cell>
          <cell r="AF892">
            <v>4.9297798009999996</v>
          </cell>
          <cell r="AG892">
            <v>4.9778319729999998</v>
          </cell>
          <cell r="AH892">
            <v>5.0259494929999997</v>
          </cell>
          <cell r="AI892">
            <v>5.0741346529999998</v>
          </cell>
          <cell r="AJ892">
            <v>5.122348573</v>
          </cell>
          <cell r="AK892">
            <v>5.1705340959999999</v>
          </cell>
        </row>
        <row r="893">
          <cell r="A893" t="str">
            <v>ems_ci_co2_seoi_2</v>
          </cell>
          <cell r="B893">
            <v>1.7965835640000001</v>
          </cell>
          <cell r="C893">
            <v>1.8092436620000001</v>
          </cell>
          <cell r="D893">
            <v>1.8214244669999999</v>
          </cell>
          <cell r="E893">
            <v>1.838670679</v>
          </cell>
          <cell r="F893">
            <v>1.86313179</v>
          </cell>
          <cell r="G893">
            <v>1.8952650980000001</v>
          </cell>
          <cell r="H893">
            <v>2.1399109429999998</v>
          </cell>
          <cell r="I893">
            <v>2.1923899069999999</v>
          </cell>
          <cell r="J893">
            <v>2.2086378450000002</v>
          </cell>
          <cell r="K893">
            <v>2.212050166</v>
          </cell>
          <cell r="L893">
            <v>2.2094355139999999</v>
          </cell>
          <cell r="M893">
            <v>2.203179746</v>
          </cell>
          <cell r="N893">
            <v>2.1976247849999999</v>
          </cell>
          <cell r="O893">
            <v>2.19653842</v>
          </cell>
          <cell r="P893">
            <v>2.2023446240000002</v>
          </cell>
          <cell r="Q893">
            <v>2.215573016</v>
          </cell>
          <cell r="R893">
            <v>2.236236012</v>
          </cell>
          <cell r="S893">
            <v>2.2639269830000002</v>
          </cell>
          <cell r="T893">
            <v>2.2979234759999998</v>
          </cell>
          <cell r="U893">
            <v>2.3373208839999999</v>
          </cell>
          <cell r="V893">
            <v>2.380185403</v>
          </cell>
          <cell r="W893">
            <v>2.4267045330000001</v>
          </cell>
          <cell r="X893">
            <v>2.4756043839999999</v>
          </cell>
          <cell r="Y893">
            <v>2.5256967549999998</v>
          </cell>
          <cell r="Z893">
            <v>2.5760265549999999</v>
          </cell>
          <cell r="AA893">
            <v>2.622536298</v>
          </cell>
          <cell r="AB893">
            <v>2.6676703289999999</v>
          </cell>
          <cell r="AC893">
            <v>2.7102166620000001</v>
          </cell>
          <cell r="AD893">
            <v>2.7495270079999998</v>
          </cell>
          <cell r="AE893">
            <v>2.7858461139999999</v>
          </cell>
          <cell r="AF893">
            <v>2.819989037</v>
          </cell>
          <cell r="AG893">
            <v>2.8530131550000002</v>
          </cell>
          <cell r="AH893">
            <v>2.8859501700000001</v>
          </cell>
          <cell r="AI893">
            <v>2.9195344780000001</v>
          </cell>
          <cell r="AJ893">
            <v>2.9542269569999999</v>
          </cell>
          <cell r="AK893">
            <v>2.9902765630000001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</row>
        <row r="895">
          <cell r="A895" t="str">
            <v>ems_mat_co2_seoi_2</v>
          </cell>
          <cell r="B895">
            <v>0.12313280660000001</v>
          </cell>
          <cell r="C895">
            <v>0.12400049439999999</v>
          </cell>
          <cell r="D895">
            <v>0.1248353326</v>
          </cell>
          <cell r="E895">
            <v>0.12601733970000001</v>
          </cell>
          <cell r="F895">
            <v>0.12769383570000001</v>
          </cell>
          <cell r="G895">
            <v>0.12989616270000001</v>
          </cell>
          <cell r="H895">
            <v>0.14666350380000001</v>
          </cell>
          <cell r="I895">
            <v>0.15026026410000001</v>
          </cell>
          <cell r="J895">
            <v>0.15137385210000001</v>
          </cell>
          <cell r="K895">
            <v>0.151607723</v>
          </cell>
          <cell r="L895">
            <v>0.15142852209999999</v>
          </cell>
          <cell r="M895">
            <v>0.1509997693</v>
          </cell>
          <cell r="N895">
            <v>0.1506190479</v>
          </cell>
          <cell r="O895">
            <v>0.15054459140000001</v>
          </cell>
          <cell r="P895">
            <v>0.15094253229999999</v>
          </cell>
          <cell r="Q895">
            <v>0.1518491693</v>
          </cell>
          <cell r="R895">
            <v>0.15326535320000001</v>
          </cell>
          <cell r="S895">
            <v>0.1551632148</v>
          </cell>
          <cell r="T895">
            <v>0.1574932392</v>
          </cell>
          <cell r="U895">
            <v>0.16019342719999999</v>
          </cell>
          <cell r="V895">
            <v>0.16313124130000001</v>
          </cell>
          <cell r="W895">
            <v>0.16631953220000001</v>
          </cell>
          <cell r="X895">
            <v>0.16967099099999999</v>
          </cell>
          <cell r="Y895">
            <v>0.17310418180000001</v>
          </cell>
          <cell r="Z895">
            <v>0.17655364530000001</v>
          </cell>
          <cell r="AA895">
            <v>0.17974129289999999</v>
          </cell>
          <cell r="AB895">
            <v>0.18283465300000001</v>
          </cell>
          <cell r="AC895">
            <v>0.18575065939999999</v>
          </cell>
          <cell r="AD895">
            <v>0.18844488039999999</v>
          </cell>
          <cell r="AE895">
            <v>0.1909340903</v>
          </cell>
          <cell r="AF895">
            <v>0.1932741506</v>
          </cell>
          <cell r="AG895">
            <v>0.19553753109999999</v>
          </cell>
          <cell r="AH895">
            <v>0.19779494189999999</v>
          </cell>
          <cell r="AI895">
            <v>0.2000967163</v>
          </cell>
          <cell r="AJ895">
            <v>0.2024744416</v>
          </cell>
          <cell r="AK895">
            <v>0.20494518070000001</v>
          </cell>
        </row>
        <row r="896">
          <cell r="A896" t="str">
            <v>ems_ci_co2_sega_2</v>
          </cell>
          <cell r="B896">
            <v>4.5519221050000001</v>
          </cell>
          <cell r="C896">
            <v>4.5839984229999997</v>
          </cell>
          <cell r="D896">
            <v>4.6148603750000001</v>
          </cell>
          <cell r="E896">
            <v>4.6585563199999998</v>
          </cell>
          <cell r="F896">
            <v>4.7205323259999998</v>
          </cell>
          <cell r="G896">
            <v>4.8019470279999998</v>
          </cell>
          <cell r="H896">
            <v>5.4217950869999996</v>
          </cell>
          <cell r="I896">
            <v>5.5547586530000004</v>
          </cell>
          <cell r="J896">
            <v>5.5959253130000004</v>
          </cell>
          <cell r="K896">
            <v>5.6045709520000004</v>
          </cell>
          <cell r="L896">
            <v>5.5979463269999998</v>
          </cell>
          <cell r="M896">
            <v>5.5820963709999996</v>
          </cell>
          <cell r="N896">
            <v>5.5680220189999998</v>
          </cell>
          <cell r="O896">
            <v>5.5652695440000004</v>
          </cell>
          <cell r="P896">
            <v>5.5799804589999997</v>
          </cell>
          <cell r="Q896">
            <v>5.6134966359999998</v>
          </cell>
          <cell r="R896">
            <v>5.6658495289999999</v>
          </cell>
          <cell r="S896">
            <v>5.7360088850000004</v>
          </cell>
          <cell r="T896">
            <v>5.8221442530000003</v>
          </cell>
          <cell r="U896">
            <v>5.9219636749999998</v>
          </cell>
          <cell r="V896">
            <v>6.0305675580000004</v>
          </cell>
          <cell r="W896">
            <v>6.1484309619999999</v>
          </cell>
          <cell r="X896">
            <v>6.2723262929999999</v>
          </cell>
          <cell r="Y896">
            <v>6.3992430569999996</v>
          </cell>
          <cell r="Z896">
            <v>6.5267613830000002</v>
          </cell>
          <cell r="AA896">
            <v>6.6446010040000001</v>
          </cell>
          <cell r="AB896">
            <v>6.7589550479999998</v>
          </cell>
          <cell r="AC896">
            <v>6.8667527570000004</v>
          </cell>
          <cell r="AD896">
            <v>6.9663515939999998</v>
          </cell>
          <cell r="AE896">
            <v>7.058371663</v>
          </cell>
          <cell r="AF896">
            <v>7.1448780349999996</v>
          </cell>
          <cell r="AG896">
            <v>7.2285497420000002</v>
          </cell>
          <cell r="AH896">
            <v>7.3120007600000001</v>
          </cell>
          <cell r="AI896">
            <v>7.3970917949999997</v>
          </cell>
          <cell r="AJ896">
            <v>7.4849905530000003</v>
          </cell>
          <cell r="AK896">
            <v>7.5763278029999999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</row>
        <row r="898">
          <cell r="A898" t="str">
            <v>ems_mat_co2_sega_2</v>
          </cell>
          <cell r="B898">
            <v>0.31197599469999998</v>
          </cell>
          <cell r="C898">
            <v>0.31417441559999998</v>
          </cell>
          <cell r="D898">
            <v>0.31628960740000001</v>
          </cell>
          <cell r="E898">
            <v>0.31928440499999999</v>
          </cell>
          <cell r="F898">
            <v>0.32353206680000002</v>
          </cell>
          <cell r="G898">
            <v>0.32911200239999999</v>
          </cell>
          <cell r="H898">
            <v>0.3715946483</v>
          </cell>
          <cell r="I898">
            <v>0.38070759850000002</v>
          </cell>
          <cell r="J898">
            <v>0.3835290462</v>
          </cell>
          <cell r="K898">
            <v>0.38412159420000003</v>
          </cell>
          <cell r="L898">
            <v>0.38366756099999999</v>
          </cell>
          <cell r="M898">
            <v>0.3825812495</v>
          </cell>
          <cell r="N898">
            <v>0.38161663289999997</v>
          </cell>
          <cell r="O898">
            <v>0.381427986</v>
          </cell>
          <cell r="P898">
            <v>0.38243623090000001</v>
          </cell>
          <cell r="Q898">
            <v>0.38473333580000002</v>
          </cell>
          <cell r="R898">
            <v>0.38832145639999999</v>
          </cell>
          <cell r="S898">
            <v>0.3931299821</v>
          </cell>
          <cell r="T898">
            <v>0.39903345899999998</v>
          </cell>
          <cell r="U898">
            <v>0.40587480259999997</v>
          </cell>
          <cell r="V898">
            <v>0.41331820850000001</v>
          </cell>
          <cell r="W898">
            <v>0.42139623609999999</v>
          </cell>
          <cell r="X898">
            <v>0.42988767509999998</v>
          </cell>
          <cell r="Y898">
            <v>0.43858619450000003</v>
          </cell>
          <cell r="Z898">
            <v>0.44732594339999998</v>
          </cell>
          <cell r="AA898">
            <v>0.45540234089999998</v>
          </cell>
          <cell r="AB898">
            <v>0.46323984680000002</v>
          </cell>
          <cell r="AC898">
            <v>0.47062799970000002</v>
          </cell>
          <cell r="AD898">
            <v>0.47745422500000001</v>
          </cell>
          <cell r="AE898">
            <v>0.4837610228</v>
          </cell>
          <cell r="AF898">
            <v>0.48968992719999999</v>
          </cell>
          <cell r="AG898">
            <v>0.49542455159999998</v>
          </cell>
          <cell r="AH898">
            <v>0.5011440506</v>
          </cell>
          <cell r="AI898">
            <v>0.50697595179999999</v>
          </cell>
          <cell r="AJ898">
            <v>0.51300028630000005</v>
          </cell>
          <cell r="AK898">
            <v>0.51926028560000004</v>
          </cell>
        </row>
        <row r="899">
          <cell r="A899" t="str">
            <v>ems_ci_co2_seco_2</v>
          </cell>
          <cell r="B899">
            <v>4.5405955139999996</v>
          </cell>
          <cell r="C899">
            <v>4.5725920130000004</v>
          </cell>
          <cell r="D899">
            <v>4.6033771659999996</v>
          </cell>
          <cell r="E899">
            <v>4.6469643749999996</v>
          </cell>
          <cell r="F899">
            <v>4.7087861579999997</v>
          </cell>
          <cell r="G899">
            <v>4.7899982679999997</v>
          </cell>
          <cell r="H899">
            <v>5.4083039429999999</v>
          </cell>
          <cell r="I899">
            <v>5.540936651</v>
          </cell>
          <cell r="J899">
            <v>5.5820008760000004</v>
          </cell>
          <cell r="K899">
            <v>5.5906250039999996</v>
          </cell>
          <cell r="L899">
            <v>5.5840168659999998</v>
          </cell>
          <cell r="M899">
            <v>5.5682063529999999</v>
          </cell>
          <cell r="N899">
            <v>5.554167026</v>
          </cell>
          <cell r="O899">
            <v>5.5514214019999999</v>
          </cell>
          <cell r="P899">
            <v>5.5660957140000002</v>
          </cell>
          <cell r="Q899">
            <v>5.5995284940000003</v>
          </cell>
          <cell r="R899">
            <v>5.651751118</v>
          </cell>
          <cell r="S899">
            <v>5.7217358970000003</v>
          </cell>
          <cell r="T899">
            <v>5.8076569349999998</v>
          </cell>
          <cell r="U899">
            <v>5.9072279759999997</v>
          </cell>
          <cell r="V899">
            <v>6.0155616199999997</v>
          </cell>
          <cell r="W899">
            <v>6.1331317439999999</v>
          </cell>
          <cell r="X899">
            <v>6.2567187840000003</v>
          </cell>
          <cell r="Y899">
            <v>6.383319739</v>
          </cell>
          <cell r="Z899">
            <v>6.5105207590000003</v>
          </cell>
          <cell r="AA899">
            <v>6.6280671590000004</v>
          </cell>
          <cell r="AB899">
            <v>6.7421366550000004</v>
          </cell>
          <cell r="AC899">
            <v>6.849666129</v>
          </cell>
          <cell r="AD899">
            <v>6.9490171329999999</v>
          </cell>
          <cell r="AE899">
            <v>7.0408082270000003</v>
          </cell>
          <cell r="AF899">
            <v>7.1270993450000004</v>
          </cell>
          <cell r="AG899">
            <v>7.2105628499999996</v>
          </cell>
          <cell r="AH899">
            <v>7.2938062160000001</v>
          </cell>
          <cell r="AI899">
            <v>7.3786855170000001</v>
          </cell>
          <cell r="AJ899">
            <v>7.4663655540000002</v>
          </cell>
          <cell r="AK899">
            <v>7.5574755290000004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</row>
        <row r="901">
          <cell r="A901" t="str">
            <v>ems_mat_co2_seco_2</v>
          </cell>
          <cell r="B901">
            <v>0.31119970200000002</v>
          </cell>
          <cell r="C901">
            <v>0.31339265259999999</v>
          </cell>
          <cell r="D901">
            <v>0.31550258110000001</v>
          </cell>
          <cell r="E901">
            <v>0.31848992669999998</v>
          </cell>
          <cell r="F901">
            <v>0.322727019</v>
          </cell>
          <cell r="G901">
            <v>0.32829307000000002</v>
          </cell>
          <cell r="H901">
            <v>0.37067001020000001</v>
          </cell>
          <cell r="I901">
            <v>0.37976028229999997</v>
          </cell>
          <cell r="J901">
            <v>0.38257470910000002</v>
          </cell>
          <cell r="K901">
            <v>0.3831657826</v>
          </cell>
          <cell r="L901">
            <v>0.38271287920000002</v>
          </cell>
          <cell r="M901">
            <v>0.38162927079999998</v>
          </cell>
          <cell r="N901">
            <v>0.38066705439999998</v>
          </cell>
          <cell r="O901">
            <v>0.38047887689999998</v>
          </cell>
          <cell r="P901">
            <v>0.38148461299999997</v>
          </cell>
          <cell r="Q901">
            <v>0.3837760019</v>
          </cell>
          <cell r="R901">
            <v>0.38735519429999998</v>
          </cell>
          <cell r="S901">
            <v>0.39215175489999998</v>
          </cell>
          <cell r="T901">
            <v>0.39804054210000001</v>
          </cell>
          <cell r="U901">
            <v>0.40486486240000003</v>
          </cell>
          <cell r="V901">
            <v>0.41228974680000002</v>
          </cell>
          <cell r="W901">
            <v>0.42034767379999999</v>
          </cell>
          <cell r="X901">
            <v>0.4288179835</v>
          </cell>
          <cell r="Y901">
            <v>0.43749485840000002</v>
          </cell>
          <cell r="Z901">
            <v>0.4462128601</v>
          </cell>
          <cell r="AA901">
            <v>0.45426916109999999</v>
          </cell>
          <cell r="AB901">
            <v>0.46208716480000001</v>
          </cell>
          <cell r="AC901">
            <v>0.46945693379999998</v>
          </cell>
          <cell r="AD901">
            <v>0.47626617339999999</v>
          </cell>
          <cell r="AE901">
            <v>0.48255727790000003</v>
          </cell>
          <cell r="AF901">
            <v>0.48847142939999999</v>
          </cell>
          <cell r="AG901">
            <v>0.49419178429999999</v>
          </cell>
          <cell r="AH901">
            <v>0.49989705140000001</v>
          </cell>
          <cell r="AI901">
            <v>0.50571444099999996</v>
          </cell>
          <cell r="AJ901">
            <v>0.51172378519999995</v>
          </cell>
          <cell r="AK901">
            <v>0.51796820769999996</v>
          </cell>
        </row>
        <row r="902">
          <cell r="A902" t="str">
            <v>ems_ci_co2_sech_2</v>
          </cell>
          <cell r="B902">
            <v>2.6042451780000002</v>
          </cell>
          <cell r="C902">
            <v>2.6288213690000002</v>
          </cell>
          <cell r="D902">
            <v>2.6542015800000001</v>
          </cell>
          <cell r="E902">
            <v>2.684795168</v>
          </cell>
          <cell r="F902">
            <v>2.7222521259999999</v>
          </cell>
          <cell r="G902">
            <v>2.7669076179999998</v>
          </cell>
          <cell r="H902">
            <v>3.1110997789999999</v>
          </cell>
          <cell r="I902">
            <v>3.184404732</v>
          </cell>
          <cell r="J902">
            <v>3.212218027</v>
          </cell>
          <cell r="K902">
            <v>3.2267777450000001</v>
          </cell>
          <cell r="L902">
            <v>3.2372483710000002</v>
          </cell>
          <cell r="M902">
            <v>3.2440700910000002</v>
          </cell>
          <cell r="N902">
            <v>3.251634857</v>
          </cell>
          <cell r="O902">
            <v>3.2641638130000001</v>
          </cell>
          <cell r="P902">
            <v>3.284139401</v>
          </cell>
          <cell r="Q902">
            <v>3.3113337710000001</v>
          </cell>
          <cell r="R902">
            <v>3.3452449049999999</v>
          </cell>
          <cell r="S902">
            <v>3.3851807329999999</v>
          </cell>
          <cell r="T902">
            <v>3.4303100120000001</v>
          </cell>
          <cell r="U902">
            <v>3.4797598989999998</v>
          </cell>
          <cell r="V902">
            <v>3.5308331079999999</v>
          </cell>
          <cell r="W902">
            <v>3.5851170630000002</v>
          </cell>
          <cell r="X902">
            <v>3.6416207759999999</v>
          </cell>
          <cell r="Y902">
            <v>3.6992209620000001</v>
          </cell>
          <cell r="Z902">
            <v>3.7571024419999999</v>
          </cell>
          <cell r="AA902">
            <v>3.808818418</v>
          </cell>
          <cell r="AB902">
            <v>3.8592427630000001</v>
          </cell>
          <cell r="AC902">
            <v>3.907661413</v>
          </cell>
          <cell r="AD902">
            <v>3.9533734159999998</v>
          </cell>
          <cell r="AE902">
            <v>3.99658961</v>
          </cell>
          <cell r="AF902">
            <v>4.0380777339999998</v>
          </cell>
          <cell r="AG902">
            <v>4.0788351870000001</v>
          </cell>
          <cell r="AH902">
            <v>4.119841675</v>
          </cell>
          <cell r="AI902">
            <v>4.1616988109999999</v>
          </cell>
          <cell r="AJ902">
            <v>4.2047310380000003</v>
          </cell>
          <cell r="AK902">
            <v>4.2490706300000003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</row>
        <row r="904">
          <cell r="A904" t="str">
            <v>ems_mat_co2_sech_2</v>
          </cell>
          <cell r="B904">
            <v>0.17848933659999999</v>
          </cell>
          <cell r="C904">
            <v>0.18016071819999999</v>
          </cell>
          <cell r="D904">
            <v>0.1818749754</v>
          </cell>
          <cell r="E904">
            <v>0.1839436948</v>
          </cell>
          <cell r="F904">
            <v>0.1864884463</v>
          </cell>
          <cell r="G904">
            <v>0.18953722009999999</v>
          </cell>
          <cell r="H904">
            <v>0.2131154841</v>
          </cell>
          <cell r="I904">
            <v>0.21810908940000001</v>
          </cell>
          <cell r="J904">
            <v>0.21996798349999999</v>
          </cell>
          <cell r="K904">
            <v>0.2209078126</v>
          </cell>
          <cell r="L904">
            <v>0.22156187620000001</v>
          </cell>
          <cell r="M904">
            <v>0.22196678989999999</v>
          </cell>
          <cell r="N904">
            <v>0.2224295788</v>
          </cell>
          <cell r="O904">
            <v>0.22324525170000001</v>
          </cell>
          <cell r="P904">
            <v>0.2245883702</v>
          </cell>
          <cell r="Q904">
            <v>0.22644593290000001</v>
          </cell>
          <cell r="R904">
            <v>0.22878396740000001</v>
          </cell>
          <cell r="S904">
            <v>0.23155357560000001</v>
          </cell>
          <cell r="T904">
            <v>0.23469496710000001</v>
          </cell>
          <cell r="U904">
            <v>0.2381447511</v>
          </cell>
          <cell r="V904">
            <v>0.24171438610000001</v>
          </cell>
          <cell r="W904">
            <v>0.2455085253</v>
          </cell>
          <cell r="X904">
            <v>0.249456177</v>
          </cell>
          <cell r="Y904">
            <v>0.25347771650000001</v>
          </cell>
          <cell r="Z904">
            <v>0.25751519769999998</v>
          </cell>
          <cell r="AA904">
            <v>0.2611248867</v>
          </cell>
          <cell r="AB904">
            <v>0.264639291</v>
          </cell>
          <cell r="AC904">
            <v>0.26800898680000002</v>
          </cell>
          <cell r="AD904">
            <v>0.27118580139999998</v>
          </cell>
          <cell r="AE904">
            <v>0.27418466470000002</v>
          </cell>
          <cell r="AF904">
            <v>0.2770592643</v>
          </cell>
          <cell r="AG904">
            <v>0.27987938979999999</v>
          </cell>
          <cell r="AH904">
            <v>0.28271368019999998</v>
          </cell>
          <cell r="AI904">
            <v>0.28560465330000001</v>
          </cell>
          <cell r="AJ904">
            <v>0.2885755076</v>
          </cell>
          <cell r="AK904">
            <v>0.29163594009999999</v>
          </cell>
        </row>
        <row r="905">
          <cell r="A905" t="str">
            <v>ems_ci_co2_seot_2</v>
          </cell>
          <cell r="B905">
            <v>1.7904729580000001</v>
          </cell>
          <cell r="C905">
            <v>1.803077649</v>
          </cell>
          <cell r="D905">
            <v>1.8153186020000001</v>
          </cell>
          <cell r="E905">
            <v>1.8326372710000001</v>
          </cell>
          <cell r="F905">
            <v>1.857115603</v>
          </cell>
          <cell r="G905">
            <v>1.88919126</v>
          </cell>
          <cell r="H905">
            <v>2.1331438710000001</v>
          </cell>
          <cell r="I905">
            <v>2.185983368</v>
          </cell>
          <cell r="J905">
            <v>2.2029915280000001</v>
          </cell>
          <cell r="K905">
            <v>2.2073309669999999</v>
          </cell>
          <cell r="L905">
            <v>2.2056394149999998</v>
          </cell>
          <cell r="M905">
            <v>2.2001823950000001</v>
          </cell>
          <cell r="N905">
            <v>2.1952311299999998</v>
          </cell>
          <cell r="O905">
            <v>2.1945232629999998</v>
          </cell>
          <cell r="P905">
            <v>2.2004810350000001</v>
          </cell>
          <cell r="Q905">
            <v>2.21364787</v>
          </cell>
          <cell r="R905">
            <v>2.234054381</v>
          </cell>
          <cell r="S905">
            <v>2.2613128910000002</v>
          </cell>
          <cell r="T905">
            <v>2.294720893</v>
          </cell>
          <cell r="U905">
            <v>2.3333966500000001</v>
          </cell>
          <cell r="V905">
            <v>2.3754391680000002</v>
          </cell>
          <cell r="W905">
            <v>2.4210650020000002</v>
          </cell>
          <cell r="X905">
            <v>2.469028378</v>
          </cell>
          <cell r="Y905">
            <v>2.5181722770000001</v>
          </cell>
          <cell r="Z905">
            <v>2.567572781</v>
          </cell>
          <cell r="AA905">
            <v>2.6132204450000001</v>
          </cell>
          <cell r="AB905">
            <v>2.65756982</v>
          </cell>
          <cell r="AC905">
            <v>2.6994058490000001</v>
          </cell>
          <cell r="AD905">
            <v>2.7380682460000001</v>
          </cell>
          <cell r="AE905">
            <v>2.7737878359999999</v>
          </cell>
          <cell r="AF905">
            <v>2.807369285</v>
          </cell>
          <cell r="AG905">
            <v>2.8398640749999999</v>
          </cell>
          <cell r="AH905">
            <v>2.872300509</v>
          </cell>
          <cell r="AI905">
            <v>2.905409895</v>
          </cell>
          <cell r="AJ905">
            <v>2.9396482060000002</v>
          </cell>
          <cell r="AK905">
            <v>2.9752574850000002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</row>
        <row r="907">
          <cell r="A907" t="str">
            <v>ems_mat_co2_seot_2</v>
          </cell>
          <cell r="B907">
            <v>0.1227229629</v>
          </cell>
          <cell r="C907">
            <v>0.1235877626</v>
          </cell>
          <cell r="D907">
            <v>0.12441982209999999</v>
          </cell>
          <cell r="E907">
            <v>0.12559789490000001</v>
          </cell>
          <cell r="F907">
            <v>0.12726881079999999</v>
          </cell>
          <cell r="G907">
            <v>0.12946380730000001</v>
          </cell>
          <cell r="H907">
            <v>0.14617533890000001</v>
          </cell>
          <cell r="I907">
            <v>0.14976012750000001</v>
          </cell>
          <cell r="J907">
            <v>0.150870009</v>
          </cell>
          <cell r="K907">
            <v>0.1511031014</v>
          </cell>
          <cell r="L907">
            <v>0.15092449699999999</v>
          </cell>
          <cell r="M907">
            <v>0.1504971712</v>
          </cell>
          <cell r="N907">
            <v>0.15011771700000001</v>
          </cell>
          <cell r="O907">
            <v>0.1500435084</v>
          </cell>
          <cell r="P907">
            <v>0.15044012479999999</v>
          </cell>
          <cell r="Q907">
            <v>0.15134374410000001</v>
          </cell>
          <cell r="R907">
            <v>0.15275521419999999</v>
          </cell>
          <cell r="S907">
            <v>0.15464675880000001</v>
          </cell>
          <cell r="T907">
            <v>0.15696902779999999</v>
          </cell>
          <cell r="U907">
            <v>0.15966022830000001</v>
          </cell>
          <cell r="V907">
            <v>0.16258826400000001</v>
          </cell>
          <cell r="W907">
            <v>0.1657659427</v>
          </cell>
          <cell r="X907">
            <v>0.16910624639999999</v>
          </cell>
          <cell r="Y907">
            <v>0.1725280099</v>
          </cell>
          <cell r="Z907">
            <v>0.17596599199999999</v>
          </cell>
          <cell r="AA907">
            <v>0.1791430295</v>
          </cell>
          <cell r="AB907">
            <v>0.18222609349999999</v>
          </cell>
          <cell r="AC907">
            <v>0.18513239409999999</v>
          </cell>
          <cell r="AD907">
            <v>0.18781764749999999</v>
          </cell>
          <cell r="AE907">
            <v>0.19029857210000001</v>
          </cell>
          <cell r="AF907">
            <v>0.19263084359999999</v>
          </cell>
          <cell r="AG907">
            <v>0.19488669049999999</v>
          </cell>
          <cell r="AH907">
            <v>0.19713658749999999</v>
          </cell>
          <cell r="AI907">
            <v>0.19943070060000001</v>
          </cell>
          <cell r="AJ907">
            <v>0.20180051169999999</v>
          </cell>
          <cell r="AK907">
            <v>0.20426302700000001</v>
          </cell>
        </row>
        <row r="908">
          <cell r="A908" t="str">
            <v>ems_ci_co2_sagr_0</v>
          </cell>
          <cell r="B908">
            <v>11.870497739999999</v>
          </cell>
          <cell r="C908">
            <v>11.702132280000001</v>
          </cell>
          <cell r="D908">
            <v>11.5227465</v>
          </cell>
          <cell r="E908">
            <v>11.4023219</v>
          </cell>
          <cell r="F908">
            <v>11.363276989999999</v>
          </cell>
          <cell r="G908">
            <v>11.40434797</v>
          </cell>
          <cell r="H908">
            <v>11.50400578</v>
          </cell>
          <cell r="I908">
            <v>11.64515699</v>
          </cell>
          <cell r="J908">
            <v>11.8063258</v>
          </cell>
          <cell r="K908">
            <v>11.969334910000001</v>
          </cell>
          <cell r="L908">
            <v>12.13018722</v>
          </cell>
          <cell r="M908">
            <v>12.27428242</v>
          </cell>
          <cell r="N908">
            <v>12.40600946</v>
          </cell>
          <cell r="O908">
            <v>12.52599075</v>
          </cell>
          <cell r="P908">
            <v>12.631937799999999</v>
          </cell>
          <cell r="Q908">
            <v>12.720613090000001</v>
          </cell>
          <cell r="R908">
            <v>12.78994876</v>
          </cell>
          <cell r="S908">
            <v>12.840313099999999</v>
          </cell>
          <cell r="T908">
            <v>12.87455308</v>
          </cell>
          <cell r="U908">
            <v>12.897109540000001</v>
          </cell>
          <cell r="V908">
            <v>12.90695064</v>
          </cell>
          <cell r="W908">
            <v>12.91613821</v>
          </cell>
          <cell r="X908">
            <v>12.924904829999999</v>
          </cell>
          <cell r="Y908">
            <v>12.9354531</v>
          </cell>
          <cell r="Z908">
            <v>12.94987735</v>
          </cell>
          <cell r="AA908">
            <v>12.95143322</v>
          </cell>
          <cell r="AB908">
            <v>12.957573979999999</v>
          </cell>
          <cell r="AC908">
            <v>12.9628435</v>
          </cell>
          <cell r="AD908">
            <v>12.966471309999999</v>
          </cell>
          <cell r="AE908">
            <v>12.9703385</v>
          </cell>
          <cell r="AF908">
            <v>12.9773368</v>
          </cell>
          <cell r="AG908">
            <v>12.98982696</v>
          </cell>
          <cell r="AH908">
            <v>13.00871633</v>
          </cell>
          <cell r="AI908">
            <v>13.03334405</v>
          </cell>
          <cell r="AJ908">
            <v>13.061998750000001</v>
          </cell>
          <cell r="AK908">
            <v>13.092706160000001</v>
          </cell>
        </row>
        <row r="909">
          <cell r="A909" t="str">
            <v>ems_y_co2_sagr_0</v>
          </cell>
          <cell r="B909">
            <v>2.3514860020000001</v>
          </cell>
          <cell r="C909">
            <v>2.3361128940000002</v>
          </cell>
          <cell r="D909">
            <v>2.3253803419999999</v>
          </cell>
          <cell r="E909">
            <v>2.3230435360000001</v>
          </cell>
          <cell r="F909">
            <v>2.330045379</v>
          </cell>
          <cell r="G909">
            <v>2.3453704470000001</v>
          </cell>
          <cell r="H909">
            <v>2.365647821</v>
          </cell>
          <cell r="I909">
            <v>2.3890932720000002</v>
          </cell>
          <cell r="J909">
            <v>2.41367953</v>
          </cell>
          <cell r="K909">
            <v>2.437759588</v>
          </cell>
          <cell r="L909">
            <v>2.4624276410000001</v>
          </cell>
          <cell r="M909">
            <v>2.4836165509999999</v>
          </cell>
          <cell r="N909">
            <v>2.5015791059999999</v>
          </cell>
          <cell r="O909">
            <v>2.5162605</v>
          </cell>
          <cell r="P909">
            <v>2.5279666239999998</v>
          </cell>
          <cell r="Q909">
            <v>2.537254769</v>
          </cell>
          <cell r="R909">
            <v>2.5448036159999998</v>
          </cell>
          <cell r="S909">
            <v>2.551295096</v>
          </cell>
          <cell r="T909">
            <v>2.5573284809999999</v>
          </cell>
          <cell r="U909">
            <v>2.5633739740000001</v>
          </cell>
          <cell r="V909">
            <v>2.568082124</v>
          </cell>
          <cell r="W909">
            <v>2.5741823240000001</v>
          </cell>
          <cell r="X909">
            <v>2.581209211</v>
          </cell>
          <cell r="Y909">
            <v>2.5891759169999999</v>
          </cell>
          <cell r="Z909">
            <v>2.59799544</v>
          </cell>
          <cell r="AA909">
            <v>2.602753163</v>
          </cell>
          <cell r="AB909">
            <v>2.6084241370000001</v>
          </cell>
          <cell r="AC909">
            <v>2.614273029</v>
          </cell>
          <cell r="AD909">
            <v>2.62046321</v>
          </cell>
          <cell r="AE909">
            <v>2.6270499389999999</v>
          </cell>
          <cell r="AF909">
            <v>2.6340004069999998</v>
          </cell>
          <cell r="AG909">
            <v>2.6412288679999998</v>
          </cell>
          <cell r="AH909">
            <v>2.6486330969999998</v>
          </cell>
          <cell r="AI909">
            <v>2.6561213339999998</v>
          </cell>
          <cell r="AJ909">
            <v>2.6636249539999999</v>
          </cell>
          <cell r="AK909">
            <v>2.6710982799999998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</row>
        <row r="911">
          <cell r="A911" t="str">
            <v>ems_ci_co2_sfor_0</v>
          </cell>
          <cell r="B911">
            <v>0.51869948030000002</v>
          </cell>
          <cell r="C911">
            <v>0.50370094160000001</v>
          </cell>
          <cell r="D911">
            <v>0.48925613410000002</v>
          </cell>
          <cell r="E911">
            <v>0.47834147690000001</v>
          </cell>
          <cell r="F911">
            <v>0.47126483740000003</v>
          </cell>
          <cell r="G911">
            <v>0.46772937050000002</v>
          </cell>
          <cell r="H911">
            <v>0.46650730089999998</v>
          </cell>
          <cell r="I911">
            <v>0.46756402959999999</v>
          </cell>
          <cell r="J911">
            <v>0.4702129035</v>
          </cell>
          <cell r="K911">
            <v>0.47379692289999997</v>
          </cell>
          <cell r="L911">
            <v>0.4786888963</v>
          </cell>
          <cell r="M911">
            <v>0.48309471059999998</v>
          </cell>
          <cell r="N911">
            <v>0.48786820310000001</v>
          </cell>
          <cell r="O911">
            <v>0.49312247609999998</v>
          </cell>
          <cell r="P911">
            <v>0.49862426570000001</v>
          </cell>
          <cell r="Q911">
            <v>0.50406992179999999</v>
          </cell>
          <cell r="R911">
            <v>0.50922145750000003</v>
          </cell>
          <cell r="S911">
            <v>0.51396532149999996</v>
          </cell>
          <cell r="T911">
            <v>0.51831428749999997</v>
          </cell>
          <cell r="U911">
            <v>0.52237038810000003</v>
          </cell>
          <cell r="V911">
            <v>0.52567928600000002</v>
          </cell>
          <cell r="W911">
            <v>0.52956265530000002</v>
          </cell>
          <cell r="X911">
            <v>0.53354223879999996</v>
          </cell>
          <cell r="Y911">
            <v>0.53755639300000002</v>
          </cell>
          <cell r="Z911">
            <v>0.54170307100000004</v>
          </cell>
          <cell r="AA911">
            <v>0.54427436770000004</v>
          </cell>
          <cell r="AB911">
            <v>0.54820135739999998</v>
          </cell>
          <cell r="AC911">
            <v>0.55249845610000003</v>
          </cell>
          <cell r="AD911">
            <v>0.55680099130000005</v>
          </cell>
          <cell r="AE911">
            <v>0.56113021510000005</v>
          </cell>
          <cell r="AF911">
            <v>0.56562193059999999</v>
          </cell>
          <cell r="AG911">
            <v>0.570397873</v>
          </cell>
          <cell r="AH911">
            <v>0.57551295459999996</v>
          </cell>
          <cell r="AI911">
            <v>0.58094948550000003</v>
          </cell>
          <cell r="AJ911">
            <v>0.586641195</v>
          </cell>
          <cell r="AK911">
            <v>0.59250771229999999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</row>
        <row r="914">
          <cell r="A914" t="str">
            <v>ems_ci_co2_sfoo_0</v>
          </cell>
          <cell r="B914">
            <v>9.8745130159999999</v>
          </cell>
          <cell r="C914">
            <v>9.8694077199999999</v>
          </cell>
          <cell r="D914">
            <v>9.8505212550000003</v>
          </cell>
          <cell r="E914">
            <v>9.8486436929999996</v>
          </cell>
          <cell r="F914">
            <v>9.8734797929999996</v>
          </cell>
          <cell r="G914">
            <v>9.9243294500000001</v>
          </cell>
          <cell r="H914">
            <v>9.9897222390000007</v>
          </cell>
          <cell r="I914">
            <v>10.06466034</v>
          </cell>
          <cell r="J914">
            <v>10.14259066</v>
          </cell>
          <cell r="K914">
            <v>10.218381989999999</v>
          </cell>
          <cell r="L914">
            <v>10.296894180000001</v>
          </cell>
          <cell r="M914">
            <v>10.367331330000001</v>
          </cell>
          <cell r="N914">
            <v>10.43228701</v>
          </cell>
          <cell r="O914">
            <v>10.492293269999999</v>
          </cell>
          <cell r="P914">
            <v>10.546844460000001</v>
          </cell>
          <cell r="Q914">
            <v>10.59521764</v>
          </cell>
          <cell r="R914">
            <v>10.637157090000001</v>
          </cell>
          <cell r="S914">
            <v>10.673187499999999</v>
          </cell>
          <cell r="T914">
            <v>10.70451435</v>
          </cell>
          <cell r="U914">
            <v>10.73267635</v>
          </cell>
          <cell r="V914">
            <v>10.75359098</v>
          </cell>
          <cell r="W914">
            <v>10.77591235</v>
          </cell>
          <cell r="X914">
            <v>10.799147700000001</v>
          </cell>
          <cell r="Y914">
            <v>10.823720870000001</v>
          </cell>
          <cell r="Z914">
            <v>10.850029210000001</v>
          </cell>
          <cell r="AA914">
            <v>10.86190158</v>
          </cell>
          <cell r="AB914">
            <v>10.87456723</v>
          </cell>
          <cell r="AC914">
            <v>10.886624810000001</v>
          </cell>
          <cell r="AD914">
            <v>10.89846309</v>
          </cell>
          <cell r="AE914">
            <v>10.911148109999999</v>
          </cell>
          <cell r="AF914">
            <v>10.92585263</v>
          </cell>
          <cell r="AG914">
            <v>10.943385149999999</v>
          </cell>
          <cell r="AH914">
            <v>10.96395716</v>
          </cell>
          <cell r="AI914">
            <v>10.987223330000001</v>
          </cell>
          <cell r="AJ914">
            <v>11.01251031</v>
          </cell>
          <cell r="AK914">
            <v>11.039100680000001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</row>
        <row r="917">
          <cell r="A917" t="str">
            <v>ems_ci_co2_sveh_0</v>
          </cell>
          <cell r="B917">
            <v>1.2309463060000001</v>
          </cell>
          <cell r="C917">
            <v>1.226731378</v>
          </cell>
          <cell r="D917">
            <v>1.227561793</v>
          </cell>
          <cell r="E917">
            <v>1.236298632</v>
          </cell>
          <cell r="F917">
            <v>1.2542837520000001</v>
          </cell>
          <cell r="G917">
            <v>1.281640723</v>
          </cell>
          <cell r="H917">
            <v>1.3161088889999999</v>
          </cell>
          <cell r="I917">
            <v>1.3566592770000001</v>
          </cell>
          <cell r="J917">
            <v>1.4006865129999999</v>
          </cell>
          <cell r="K917">
            <v>1.445564708</v>
          </cell>
          <cell r="L917">
            <v>1.4907061340000001</v>
          </cell>
          <cell r="M917">
            <v>1.5326927690000001</v>
          </cell>
          <cell r="N917">
            <v>1.572936484</v>
          </cell>
          <cell r="O917">
            <v>1.611454964</v>
          </cell>
          <cell r="P917">
            <v>1.647637236</v>
          </cell>
          <cell r="Q917">
            <v>1.6807257760000001</v>
          </cell>
          <cell r="R917">
            <v>1.7102801620000001</v>
          </cell>
          <cell r="S917">
            <v>1.73645589</v>
          </cell>
          <cell r="T917">
            <v>1.760011988</v>
          </cell>
          <cell r="U917">
            <v>1.78209942</v>
          </cell>
          <cell r="V917">
            <v>1.8028772630000001</v>
          </cell>
          <cell r="W917">
            <v>1.8253409030000001</v>
          </cell>
          <cell r="X917">
            <v>1.8491321919999999</v>
          </cell>
          <cell r="Y917">
            <v>1.8747032340000001</v>
          </cell>
          <cell r="Z917">
            <v>1.9024919929999999</v>
          </cell>
          <cell r="AA917">
            <v>1.9292158429999999</v>
          </cell>
          <cell r="AB917">
            <v>1.9593894599999999</v>
          </cell>
          <cell r="AC917">
            <v>1.990502475</v>
          </cell>
          <cell r="AD917">
            <v>2.0216731280000002</v>
          </cell>
          <cell r="AE917">
            <v>2.0528337589999999</v>
          </cell>
          <cell r="AF917">
            <v>2.0843046510000001</v>
          </cell>
          <cell r="AG917">
            <v>2.116399473</v>
          </cell>
          <cell r="AH917">
            <v>2.1491700489999999</v>
          </cell>
          <cell r="AI917">
            <v>2.1823500020000002</v>
          </cell>
          <cell r="AJ917">
            <v>2.2154665339999999</v>
          </cell>
          <cell r="AK917">
            <v>2.2480336529999998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</row>
        <row r="920">
          <cell r="A920" t="str">
            <v>ems_ci_co2_sgla_0</v>
          </cell>
          <cell r="B920">
            <v>5.7377314860000004</v>
          </cell>
          <cell r="C920">
            <v>5.9219348500000004</v>
          </cell>
          <cell r="D920">
            <v>6.1411626259999998</v>
          </cell>
          <cell r="E920">
            <v>6.3111128829999998</v>
          </cell>
          <cell r="F920">
            <v>6.432599057</v>
          </cell>
          <cell r="G920">
            <v>6.5293570970000001</v>
          </cell>
          <cell r="H920">
            <v>6.5693700540000002</v>
          </cell>
          <cell r="I920">
            <v>6.6276995190000001</v>
          </cell>
          <cell r="J920">
            <v>6.7057588849999998</v>
          </cell>
          <cell r="K920">
            <v>6.7958581799999997</v>
          </cell>
          <cell r="L920">
            <v>6.9642526350000002</v>
          </cell>
          <cell r="M920">
            <v>7.0443949239999997</v>
          </cell>
          <cell r="N920">
            <v>7.1288100070000002</v>
          </cell>
          <cell r="O920">
            <v>7.2279861299999997</v>
          </cell>
          <cell r="P920">
            <v>7.3360681550000004</v>
          </cell>
          <cell r="Q920">
            <v>7.4487011140000003</v>
          </cell>
          <cell r="R920">
            <v>7.5640923200000003</v>
          </cell>
          <cell r="S920">
            <v>7.6818307109999999</v>
          </cell>
          <cell r="T920">
            <v>7.8019764709999997</v>
          </cell>
          <cell r="U920">
            <v>7.9245936520000004</v>
          </cell>
          <cell r="V920">
            <v>7.9982683659999996</v>
          </cell>
          <cell r="W920">
            <v>8.1395211239999998</v>
          </cell>
          <cell r="X920">
            <v>8.2854586799999996</v>
          </cell>
          <cell r="Y920">
            <v>8.4253797949999996</v>
          </cell>
          <cell r="Z920">
            <v>8.5619169809999995</v>
          </cell>
          <cell r="AA920">
            <v>8.5466088800000009</v>
          </cell>
          <cell r="AB920">
            <v>8.6642821689999998</v>
          </cell>
          <cell r="AC920">
            <v>8.8069506289999993</v>
          </cell>
          <cell r="AD920">
            <v>8.9480310599999999</v>
          </cell>
          <cell r="AE920">
            <v>9.0864737529999999</v>
          </cell>
          <cell r="AF920">
            <v>9.2244825000000006</v>
          </cell>
          <cell r="AG920">
            <v>9.3634415119999996</v>
          </cell>
          <cell r="AH920">
            <v>9.5038850450000005</v>
          </cell>
          <cell r="AI920">
            <v>9.6459771029999999</v>
          </cell>
          <cell r="AJ920">
            <v>9.7898369600000006</v>
          </cell>
          <cell r="AK920">
            <v>9.9356508259999998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</row>
        <row r="922">
          <cell r="A922" t="str">
            <v>ems_mat_co2_sgla_0</v>
          </cell>
          <cell r="B922">
            <v>13.811546010000001</v>
          </cell>
          <cell r="C922">
            <v>14.289599900000001</v>
          </cell>
          <cell r="D922">
            <v>14.860618499999999</v>
          </cell>
          <cell r="E922">
            <v>15.313864909999999</v>
          </cell>
          <cell r="F922">
            <v>15.64597382</v>
          </cell>
          <cell r="G922">
            <v>15.91219708</v>
          </cell>
          <cell r="H922">
            <v>16.03452068</v>
          </cell>
          <cell r="I922">
            <v>16.196400650000001</v>
          </cell>
          <cell r="J922">
            <v>16.403053499999999</v>
          </cell>
          <cell r="K922">
            <v>16.636781289999998</v>
          </cell>
          <cell r="L922">
            <v>17.0606346</v>
          </cell>
          <cell r="M922">
            <v>17.264649049999999</v>
          </cell>
          <cell r="N922">
            <v>17.473168449999999</v>
          </cell>
          <cell r="O922">
            <v>17.711528900000001</v>
          </cell>
          <cell r="P922">
            <v>17.966636520000002</v>
          </cell>
          <cell r="Q922">
            <v>18.229961200000002</v>
          </cell>
          <cell r="R922">
            <v>18.49934524</v>
          </cell>
          <cell r="S922">
            <v>18.77554507</v>
          </cell>
          <cell r="T922">
            <v>19.05979434</v>
          </cell>
          <cell r="U922">
            <v>19.352737300000001</v>
          </cell>
          <cell r="V922">
            <v>19.528358860000001</v>
          </cell>
          <cell r="W922">
            <v>19.871931289999999</v>
          </cell>
          <cell r="X922">
            <v>20.230215250000001</v>
          </cell>
          <cell r="Y922">
            <v>20.576760629999999</v>
          </cell>
          <cell r="Z922">
            <v>20.917316660000001</v>
          </cell>
          <cell r="AA922">
            <v>20.887072180000001</v>
          </cell>
          <cell r="AB922">
            <v>21.182485400000001</v>
          </cell>
          <cell r="AC922">
            <v>21.540853169999998</v>
          </cell>
          <cell r="AD922">
            <v>21.89715683</v>
          </cell>
          <cell r="AE922">
            <v>22.247801549999998</v>
          </cell>
          <cell r="AF922">
            <v>22.596725719999998</v>
          </cell>
          <cell r="AG922">
            <v>22.946019</v>
          </cell>
          <cell r="AH922">
            <v>23.296223170000001</v>
          </cell>
          <cell r="AI922">
            <v>23.647596539999999</v>
          </cell>
          <cell r="AJ922">
            <v>24.000759850000001</v>
          </cell>
          <cell r="AK922">
            <v>24.35669764</v>
          </cell>
        </row>
        <row r="923">
          <cell r="A923" t="str">
            <v>ems_ci_co2_spap_0</v>
          </cell>
          <cell r="B923">
            <v>3.0209650180000001</v>
          </cell>
          <cell r="C923">
            <v>3.0428973479999999</v>
          </cell>
          <cell r="D923">
            <v>3.073239633</v>
          </cell>
          <cell r="E923">
            <v>3.115107799</v>
          </cell>
          <cell r="F923">
            <v>3.1627616920000001</v>
          </cell>
          <cell r="G923">
            <v>3.2123495499999999</v>
          </cell>
          <cell r="H923">
            <v>3.2637592459999998</v>
          </cell>
          <cell r="I923">
            <v>3.313156701</v>
          </cell>
          <cell r="J923">
            <v>3.3617310260000002</v>
          </cell>
          <cell r="K923">
            <v>3.4110350220000001</v>
          </cell>
          <cell r="L923">
            <v>3.4594975300000002</v>
          </cell>
          <cell r="M923">
            <v>3.516656926</v>
          </cell>
          <cell r="N923">
            <v>3.5747543300000002</v>
          </cell>
          <cell r="O923">
            <v>3.632984478</v>
          </cell>
          <cell r="P923">
            <v>3.6915657180000001</v>
          </cell>
          <cell r="Q923">
            <v>3.7508325720000002</v>
          </cell>
          <cell r="R923">
            <v>3.8111039560000002</v>
          </cell>
          <cell r="S923">
            <v>3.8726006110000002</v>
          </cell>
          <cell r="T923">
            <v>3.9353839069999998</v>
          </cell>
          <cell r="U923">
            <v>3.9993535869999999</v>
          </cell>
          <cell r="V923">
            <v>4.0655250120000002</v>
          </cell>
          <cell r="W923">
            <v>4.128428167</v>
          </cell>
          <cell r="X923">
            <v>4.1928789240000004</v>
          </cell>
          <cell r="Y923">
            <v>4.2589195870000003</v>
          </cell>
          <cell r="Z923">
            <v>4.3260982779999999</v>
          </cell>
          <cell r="AA923">
            <v>4.3965286150000003</v>
          </cell>
          <cell r="AB923">
            <v>4.4591541269999997</v>
          </cell>
          <cell r="AC923">
            <v>4.5217442910000001</v>
          </cell>
          <cell r="AD923">
            <v>4.5857834459999998</v>
          </cell>
          <cell r="AE923">
            <v>4.651536911</v>
          </cell>
          <cell r="AF923">
            <v>4.7189409250000001</v>
          </cell>
          <cell r="AG923">
            <v>4.7878063620000004</v>
          </cell>
          <cell r="AH923">
            <v>4.8579502579999998</v>
          </cell>
          <cell r="AI923">
            <v>4.9292831259999996</v>
          </cell>
          <cell r="AJ923">
            <v>5.0018306050000003</v>
          </cell>
          <cell r="AK923">
            <v>5.0756963510000004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</row>
        <row r="926">
          <cell r="A926" t="str">
            <v>ems_ci_co2_sche_0</v>
          </cell>
          <cell r="B926">
            <v>3.8355450150000001</v>
          </cell>
          <cell r="C926">
            <v>3.8363217629999999</v>
          </cell>
          <cell r="D926">
            <v>3.8515053159999999</v>
          </cell>
          <cell r="E926">
            <v>3.8798679429999998</v>
          </cell>
          <cell r="F926">
            <v>3.9169910109999999</v>
          </cell>
          <cell r="G926">
            <v>3.96036988</v>
          </cell>
          <cell r="H926">
            <v>4.0041086549999996</v>
          </cell>
          <cell r="I926">
            <v>4.0512726490000004</v>
          </cell>
          <cell r="J926">
            <v>4.101701534</v>
          </cell>
          <cell r="K926">
            <v>4.1549446760000004</v>
          </cell>
          <cell r="L926">
            <v>4.2173558209999999</v>
          </cell>
          <cell r="M926">
            <v>4.27640698</v>
          </cell>
          <cell r="N926">
            <v>4.336624016</v>
          </cell>
          <cell r="O926">
            <v>4.3985106439999999</v>
          </cell>
          <cell r="P926">
            <v>4.4615459419999999</v>
          </cell>
          <cell r="Q926">
            <v>4.5253828619999998</v>
          </cell>
          <cell r="R926">
            <v>4.5899726110000003</v>
          </cell>
          <cell r="S926">
            <v>4.6554448869999998</v>
          </cell>
          <cell r="T926">
            <v>4.7219690160000001</v>
          </cell>
          <cell r="U926">
            <v>4.7896635600000002</v>
          </cell>
          <cell r="V926">
            <v>4.8535264070000004</v>
          </cell>
          <cell r="W926">
            <v>4.9229227260000004</v>
          </cell>
          <cell r="X926">
            <v>4.994390288</v>
          </cell>
          <cell r="Y926">
            <v>5.0670224949999998</v>
          </cell>
          <cell r="Z926">
            <v>5.1408116379999997</v>
          </cell>
          <cell r="AA926">
            <v>5.2007097020000002</v>
          </cell>
          <cell r="AB926">
            <v>5.2689003080000001</v>
          </cell>
          <cell r="AC926">
            <v>5.339970084</v>
          </cell>
          <cell r="AD926">
            <v>5.4124947470000002</v>
          </cell>
          <cell r="AE926">
            <v>5.4865517779999999</v>
          </cell>
          <cell r="AF926">
            <v>5.5623213739999997</v>
          </cell>
          <cell r="AG926">
            <v>5.6398128170000001</v>
          </cell>
          <cell r="AH926">
            <v>5.718911555</v>
          </cell>
          <cell r="AI926">
            <v>5.7994802429999996</v>
          </cell>
          <cell r="AJ926">
            <v>5.8814303539999999</v>
          </cell>
          <cell r="AK926">
            <v>5.9647420320000002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</row>
        <row r="928">
          <cell r="A928" t="str">
            <v>ems_mat_co2_sche_0</v>
          </cell>
          <cell r="B928">
            <v>2.5967530060000001</v>
          </cell>
          <cell r="C928">
            <v>2.6019680140000001</v>
          </cell>
          <cell r="D928">
            <v>2.6180672230000002</v>
          </cell>
          <cell r="E928">
            <v>2.6434660440000002</v>
          </cell>
          <cell r="F928">
            <v>2.6746902019999999</v>
          </cell>
          <cell r="G928">
            <v>2.709807042</v>
          </cell>
          <cell r="H928">
            <v>2.7447454740000001</v>
          </cell>
          <cell r="I928">
            <v>2.7815412039999998</v>
          </cell>
          <cell r="J928">
            <v>2.8201376890000001</v>
          </cell>
          <cell r="K928">
            <v>2.8602278390000002</v>
          </cell>
          <cell r="L928">
            <v>2.9061988680000002</v>
          </cell>
          <cell r="M928">
            <v>2.9491410290000002</v>
          </cell>
          <cell r="N928">
            <v>2.9918868179999998</v>
          </cell>
          <cell r="O928">
            <v>3.0347357239999999</v>
          </cell>
          <cell r="P928">
            <v>3.0774913700000002</v>
          </cell>
          <cell r="Q928">
            <v>3.1201959600000002</v>
          </cell>
          <cell r="R928">
            <v>3.1631206359999999</v>
          </cell>
          <cell r="S928">
            <v>3.206614692</v>
          </cell>
          <cell r="T928">
            <v>3.250981323</v>
          </cell>
          <cell r="U928">
            <v>3.2964182449999999</v>
          </cell>
          <cell r="V928">
            <v>3.3394699590000001</v>
          </cell>
          <cell r="W928">
            <v>3.3867110130000002</v>
          </cell>
          <cell r="X928">
            <v>3.435834973</v>
          </cell>
          <cell r="Y928">
            <v>3.4861994599999999</v>
          </cell>
          <cell r="Z928">
            <v>3.5377262360000001</v>
          </cell>
          <cell r="AA928">
            <v>3.5797929970000002</v>
          </cell>
          <cell r="AB928">
            <v>3.6276989959999999</v>
          </cell>
          <cell r="AC928">
            <v>3.6778329919999999</v>
          </cell>
          <cell r="AD928">
            <v>3.729197004</v>
          </cell>
          <cell r="AE928">
            <v>3.7817142960000001</v>
          </cell>
          <cell r="AF928">
            <v>3.835330108</v>
          </cell>
          <cell r="AG928">
            <v>3.8898890929999999</v>
          </cell>
          <cell r="AH928">
            <v>3.9452107270000001</v>
          </cell>
          <cell r="AI928">
            <v>4.0011701139999998</v>
          </cell>
          <cell r="AJ928">
            <v>4.0577317739999996</v>
          </cell>
          <cell r="AK928">
            <v>4.1149342349999998</v>
          </cell>
        </row>
        <row r="929">
          <cell r="A929" t="str">
            <v>ems_ci_co2_spla_0</v>
          </cell>
          <cell r="B929">
            <v>1.295658891</v>
          </cell>
          <cell r="C929">
            <v>1.2966217440000001</v>
          </cell>
          <cell r="D929">
            <v>1.3027146510000001</v>
          </cell>
          <cell r="E929">
            <v>1.313259913</v>
          </cell>
          <cell r="F929">
            <v>1.3277831710000001</v>
          </cell>
          <cell r="G929">
            <v>1.3462648500000001</v>
          </cell>
          <cell r="H929">
            <v>1.3657116840000001</v>
          </cell>
          <cell r="I929">
            <v>1.388316959</v>
          </cell>
          <cell r="J929">
            <v>1.413198285</v>
          </cell>
          <cell r="K929">
            <v>1.4392571860000001</v>
          </cell>
          <cell r="L929">
            <v>1.469438797</v>
          </cell>
          <cell r="M929">
            <v>1.4958434089999999</v>
          </cell>
          <cell r="N929">
            <v>1.5223688289999999</v>
          </cell>
          <cell r="O929">
            <v>1.549443726</v>
          </cell>
          <cell r="P929">
            <v>1.5765817259999999</v>
          </cell>
          <cell r="Q929">
            <v>1.6033038040000001</v>
          </cell>
          <cell r="R929">
            <v>1.629346135</v>
          </cell>
          <cell r="S929">
            <v>1.6546912819999999</v>
          </cell>
          <cell r="T929">
            <v>1.679522288</v>
          </cell>
          <cell r="U929">
            <v>1.7041356299999999</v>
          </cell>
          <cell r="V929">
            <v>1.726088356</v>
          </cell>
          <cell r="W929">
            <v>1.7513319089999999</v>
          </cell>
          <cell r="X929">
            <v>1.7773337629999999</v>
          </cell>
          <cell r="Y929">
            <v>1.803713433</v>
          </cell>
          <cell r="Z929">
            <v>1.8306895249999999</v>
          </cell>
          <cell r="AA929">
            <v>1.8500925100000001</v>
          </cell>
          <cell r="AB929">
            <v>1.875840414</v>
          </cell>
          <cell r="AC929">
            <v>1.9030729719999999</v>
          </cell>
          <cell r="AD929">
            <v>1.930475661</v>
          </cell>
          <cell r="AE929">
            <v>1.9580793910000001</v>
          </cell>
          <cell r="AF929">
            <v>1.9861478029999999</v>
          </cell>
          <cell r="AG929">
            <v>2.0148674039999999</v>
          </cell>
          <cell r="AH929">
            <v>2.0442791229999999</v>
          </cell>
          <cell r="AI929">
            <v>2.0742993009999999</v>
          </cell>
          <cell r="AJ929">
            <v>2.1047806009999999</v>
          </cell>
          <cell r="AK929">
            <v>2.1355795340000001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</row>
        <row r="932">
          <cell r="A932" t="str">
            <v>ems_ci_co2_smet_0</v>
          </cell>
          <cell r="B932">
            <v>7.5628993400000004</v>
          </cell>
          <cell r="C932">
            <v>7.6675106130000001</v>
          </cell>
          <cell r="D932">
            <v>7.7892053629999998</v>
          </cell>
          <cell r="E932">
            <v>7.9069616649999999</v>
          </cell>
          <cell r="F932">
            <v>8.0162116660000002</v>
          </cell>
          <cell r="G932">
            <v>8.1186298449999992</v>
          </cell>
          <cell r="H932">
            <v>8.2014652790000007</v>
          </cell>
          <cell r="I932">
            <v>8.2847933109999996</v>
          </cell>
          <cell r="J932">
            <v>8.3716692819999992</v>
          </cell>
          <cell r="K932">
            <v>8.4631587419999992</v>
          </cell>
          <cell r="L932">
            <v>8.5838781100000006</v>
          </cell>
          <cell r="M932">
            <v>8.6856033050000008</v>
          </cell>
          <cell r="N932">
            <v>8.7928958690000005</v>
          </cell>
          <cell r="O932">
            <v>8.9084036619999996</v>
          </cell>
          <cell r="P932">
            <v>9.0304307549999994</v>
          </cell>
          <cell r="Q932">
            <v>9.1574990409999995</v>
          </cell>
          <cell r="R932">
            <v>9.2887390510000003</v>
          </cell>
          <cell r="S932">
            <v>9.4235653020000001</v>
          </cell>
          <cell r="T932">
            <v>9.5613837490000009</v>
          </cell>
          <cell r="U932">
            <v>9.7014774280000005</v>
          </cell>
          <cell r="V932">
            <v>9.8261521950000006</v>
          </cell>
          <cell r="W932">
            <v>9.9698981730000007</v>
          </cell>
          <cell r="X932">
            <v>10.11561884</v>
          </cell>
          <cell r="Y932">
            <v>10.26022013</v>
          </cell>
          <cell r="Z932">
            <v>10.404066309999999</v>
          </cell>
          <cell r="AA932">
            <v>10.49860501</v>
          </cell>
          <cell r="AB932">
            <v>10.62628145</v>
          </cell>
          <cell r="AC932">
            <v>10.761573350000001</v>
          </cell>
          <cell r="AD932">
            <v>10.89919471</v>
          </cell>
          <cell r="AE932">
            <v>11.0395238</v>
          </cell>
          <cell r="AF932">
            <v>11.183433150000001</v>
          </cell>
          <cell r="AG932">
            <v>11.33134802</v>
          </cell>
          <cell r="AH932">
            <v>11.483346989999999</v>
          </cell>
          <cell r="AI932">
            <v>11.63940491</v>
          </cell>
          <cell r="AJ932">
            <v>11.799545910000001</v>
          </cell>
          <cell r="AK932">
            <v>11.963867130000001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</row>
        <row r="934">
          <cell r="A934" t="str">
            <v>ems_mat_co2_smet_0</v>
          </cell>
          <cell r="B934">
            <v>12.83036916</v>
          </cell>
          <cell r="C934">
            <v>13.03812224</v>
          </cell>
          <cell r="D934">
            <v>13.290492349999999</v>
          </cell>
          <cell r="E934">
            <v>13.55251202</v>
          </cell>
          <cell r="F934">
            <v>13.815413339999999</v>
          </cell>
          <cell r="G934">
            <v>14.079563070000001</v>
          </cell>
          <cell r="H934">
            <v>14.31895082</v>
          </cell>
          <cell r="I934">
            <v>14.5631469</v>
          </cell>
          <cell r="J934">
            <v>14.812359389999999</v>
          </cell>
          <cell r="K934">
            <v>15.06342373</v>
          </cell>
          <cell r="L934">
            <v>15.356272130000001</v>
          </cell>
          <cell r="M934">
            <v>15.601653929999999</v>
          </cell>
          <cell r="N934">
            <v>15.84092148</v>
          </cell>
          <cell r="O934">
            <v>16.078519230000001</v>
          </cell>
          <cell r="P934">
            <v>16.312653820000001</v>
          </cell>
          <cell r="Q934">
            <v>16.54301173</v>
          </cell>
          <cell r="R934">
            <v>16.77109467</v>
          </cell>
          <cell r="S934">
            <v>16.999288239999998</v>
          </cell>
          <cell r="T934">
            <v>17.230020809999999</v>
          </cell>
          <cell r="U934">
            <v>17.465268049999999</v>
          </cell>
          <cell r="V934">
            <v>17.675732369999999</v>
          </cell>
          <cell r="W934">
            <v>17.925554720000001</v>
          </cell>
          <cell r="X934">
            <v>18.185741700000001</v>
          </cell>
          <cell r="Y934">
            <v>18.451480490000002</v>
          </cell>
          <cell r="Z934">
            <v>18.72332845</v>
          </cell>
          <cell r="AA934">
            <v>18.912484599999999</v>
          </cell>
          <cell r="AB934">
            <v>19.16557418</v>
          </cell>
          <cell r="AC934">
            <v>19.43573095</v>
          </cell>
          <cell r="AD934">
            <v>19.712016739999999</v>
          </cell>
          <cell r="AE934">
            <v>19.993521220000002</v>
          </cell>
          <cell r="AF934">
            <v>20.280266269999998</v>
          </cell>
          <cell r="AG934">
            <v>20.571652069999999</v>
          </cell>
          <cell r="AH934">
            <v>20.866724479999998</v>
          </cell>
          <cell r="AI934">
            <v>21.164652759999999</v>
          </cell>
          <cell r="AJ934">
            <v>21.465009340000002</v>
          </cell>
          <cell r="AK934">
            <v>21.767790980000001</v>
          </cell>
        </row>
        <row r="935">
          <cell r="A935" t="str">
            <v>ems_ci_co2_sigo_0</v>
          </cell>
          <cell r="B935">
            <v>3.0056231269999998</v>
          </cell>
          <cell r="C935">
            <v>3.0050600699999999</v>
          </cell>
          <cell r="D935">
            <v>3.0151146799999999</v>
          </cell>
          <cell r="E935">
            <v>3.035967694</v>
          </cell>
          <cell r="F935">
            <v>3.065763375</v>
          </cell>
          <cell r="G935">
            <v>3.103444187</v>
          </cell>
          <cell r="H935">
            <v>3.1434849200000001</v>
          </cell>
          <cell r="I935">
            <v>3.1887648149999999</v>
          </cell>
          <cell r="J935">
            <v>3.2379877939999999</v>
          </cell>
          <cell r="K935">
            <v>3.2895911390000001</v>
          </cell>
          <cell r="L935">
            <v>3.3485871829999998</v>
          </cell>
          <cell r="M935">
            <v>3.4028865829999999</v>
          </cell>
          <cell r="N935">
            <v>3.4578130150000002</v>
          </cell>
          <cell r="O935">
            <v>3.5139753869999999</v>
          </cell>
          <cell r="P935">
            <v>3.5705342280000001</v>
          </cell>
          <cell r="Q935">
            <v>3.6266887190000001</v>
          </cell>
          <cell r="R935">
            <v>3.682040186</v>
          </cell>
          <cell r="S935">
            <v>3.7366225919999998</v>
          </cell>
          <cell r="T935">
            <v>3.7907888550000002</v>
          </cell>
          <cell r="U935">
            <v>3.8450410829999999</v>
          </cell>
          <cell r="V935">
            <v>3.8953063330000002</v>
          </cell>
          <cell r="W935">
            <v>3.9508405880000002</v>
          </cell>
          <cell r="X935">
            <v>4.0081338710000001</v>
          </cell>
          <cell r="Y935">
            <v>4.0665070840000004</v>
          </cell>
          <cell r="Z935">
            <v>4.126226559</v>
          </cell>
          <cell r="AA935">
            <v>4.1736262750000002</v>
          </cell>
          <cell r="AB935">
            <v>4.2303248230000001</v>
          </cell>
          <cell r="AC935">
            <v>4.2896938540000003</v>
          </cell>
          <cell r="AD935">
            <v>4.3498045860000003</v>
          </cell>
          <cell r="AE935">
            <v>4.4107635480000003</v>
          </cell>
          <cell r="AF935">
            <v>4.473004424</v>
          </cell>
          <cell r="AG935">
            <v>4.5367893180000003</v>
          </cell>
          <cell r="AH935">
            <v>4.6021181069999999</v>
          </cell>
          <cell r="AI935">
            <v>4.6687926329999998</v>
          </cell>
          <cell r="AJ935">
            <v>4.7365376560000003</v>
          </cell>
          <cell r="AK935">
            <v>4.8051149860000004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</row>
        <row r="937">
          <cell r="A937" t="str">
            <v>ems_mat_co2_sigo_0</v>
          </cell>
          <cell r="B937">
            <v>0.4736282443</v>
          </cell>
          <cell r="C937">
            <v>0.47583760689999999</v>
          </cell>
          <cell r="D937">
            <v>0.47997158540000001</v>
          </cell>
          <cell r="E937">
            <v>0.48548058109999997</v>
          </cell>
          <cell r="F937">
            <v>0.49175620939999998</v>
          </cell>
          <cell r="G937">
            <v>0.49855205180000001</v>
          </cell>
          <cell r="H937">
            <v>0.50508666960000004</v>
          </cell>
          <cell r="I937">
            <v>0.51195883669999998</v>
          </cell>
          <cell r="J937">
            <v>0.51918173999999995</v>
          </cell>
          <cell r="K937">
            <v>0.52668561219999999</v>
          </cell>
          <cell r="L937">
            <v>0.53542497320000004</v>
          </cell>
          <cell r="M937">
            <v>0.5433744841</v>
          </cell>
          <cell r="N937">
            <v>0.55126825619999997</v>
          </cell>
          <cell r="O937">
            <v>0.55919014879999995</v>
          </cell>
          <cell r="P937">
            <v>0.56708996069999995</v>
          </cell>
          <cell r="Q937">
            <v>0.57496714660000003</v>
          </cell>
          <cell r="R937">
            <v>0.58287096419999995</v>
          </cell>
          <cell r="S937">
            <v>0.59086831090000003</v>
          </cell>
          <cell r="T937">
            <v>0.59901800999999999</v>
          </cell>
          <cell r="U937">
            <v>0.60735885150000002</v>
          </cell>
          <cell r="V937">
            <v>0.61513960199999995</v>
          </cell>
          <cell r="W937">
            <v>0.623839107</v>
          </cell>
          <cell r="X937">
            <v>0.63289464200000001</v>
          </cell>
          <cell r="Y937">
            <v>0.64215733149999998</v>
          </cell>
          <cell r="Z937">
            <v>0.65161987740000005</v>
          </cell>
          <cell r="AA937">
            <v>0.65898037529999998</v>
          </cell>
          <cell r="AB937">
            <v>0.66774358820000002</v>
          </cell>
          <cell r="AC937">
            <v>0.67698740970000004</v>
          </cell>
          <cell r="AD937">
            <v>0.68644674760000002</v>
          </cell>
          <cell r="AE937">
            <v>0.69610064309999997</v>
          </cell>
          <cell r="AF937">
            <v>0.70594322929999997</v>
          </cell>
          <cell r="AG937">
            <v>0.71594879830000002</v>
          </cell>
          <cell r="AH937">
            <v>0.72608564480000004</v>
          </cell>
          <cell r="AI937">
            <v>0.73633213470000003</v>
          </cell>
          <cell r="AJ937">
            <v>0.74668332400000004</v>
          </cell>
          <cell r="AK937">
            <v>0.75714775339999996</v>
          </cell>
        </row>
        <row r="938">
          <cell r="A938" t="str">
            <v>ems_ci_co2_scgo_0</v>
          </cell>
          <cell r="B938">
            <v>0.69687883630000003</v>
          </cell>
          <cell r="C938">
            <v>0.68142975699999997</v>
          </cell>
          <cell r="D938">
            <v>0.66934173649999995</v>
          </cell>
          <cell r="E938">
            <v>0.66353298409999995</v>
          </cell>
          <cell r="F938">
            <v>0.66198464059999995</v>
          </cell>
          <cell r="G938">
            <v>0.66318699430000005</v>
          </cell>
          <cell r="H938">
            <v>0.66740780399999999</v>
          </cell>
          <cell r="I938">
            <v>0.67224967260000001</v>
          </cell>
          <cell r="J938">
            <v>0.67782973150000003</v>
          </cell>
          <cell r="K938">
            <v>0.68437279159999997</v>
          </cell>
          <cell r="L938">
            <v>0.69010714429999997</v>
          </cell>
          <cell r="M938">
            <v>0.70028606280000005</v>
          </cell>
          <cell r="N938">
            <v>0.71105597720000002</v>
          </cell>
          <cell r="O938">
            <v>0.72227647129999994</v>
          </cell>
          <cell r="P938">
            <v>0.73400508499999995</v>
          </cell>
          <cell r="Q938">
            <v>0.74622632680000001</v>
          </cell>
          <cell r="R938">
            <v>0.75888141229999995</v>
          </cell>
          <cell r="S938">
            <v>0.77189544160000001</v>
          </cell>
          <cell r="T938">
            <v>0.78518719479999999</v>
          </cell>
          <cell r="U938">
            <v>0.79867394420000004</v>
          </cell>
          <cell r="V938">
            <v>0.81344251590000005</v>
          </cell>
          <cell r="W938">
            <v>0.82610882220000004</v>
          </cell>
          <cell r="X938">
            <v>0.83913440790000005</v>
          </cell>
          <cell r="Y938">
            <v>0.85249868070000001</v>
          </cell>
          <cell r="Z938">
            <v>0.86606047809999998</v>
          </cell>
          <cell r="AA938">
            <v>0.88273783930000005</v>
          </cell>
          <cell r="AB938">
            <v>0.89528888939999995</v>
          </cell>
          <cell r="AC938">
            <v>0.907696948</v>
          </cell>
          <cell r="AD938">
            <v>0.92040869660000002</v>
          </cell>
          <cell r="AE938">
            <v>0.93349323620000002</v>
          </cell>
          <cell r="AF938">
            <v>0.94697624739999997</v>
          </cell>
          <cell r="AG938">
            <v>0.96086813670000004</v>
          </cell>
          <cell r="AH938">
            <v>0.9751691281</v>
          </cell>
          <cell r="AI938">
            <v>0.98987566650000003</v>
          </cell>
          <cell r="AJ938">
            <v>1.004985574</v>
          </cell>
          <cell r="AK938">
            <v>1.0204997849999999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</row>
        <row r="941">
          <cell r="A941" t="str">
            <v>ems_ci_co2_scon_0</v>
          </cell>
          <cell r="B941">
            <v>7.5467149940000002</v>
          </cell>
          <cell r="C941">
            <v>8.0106447000000003</v>
          </cell>
          <cell r="D941">
            <v>8.5077703519999996</v>
          </cell>
          <cell r="E941">
            <v>8.8221014150000006</v>
          </cell>
          <cell r="F941">
            <v>8.9967074730000007</v>
          </cell>
          <cell r="G941">
            <v>9.1051100389999995</v>
          </cell>
          <cell r="H941">
            <v>9.0491816049999994</v>
          </cell>
          <cell r="I941">
            <v>9.0647164700000005</v>
          </cell>
          <cell r="J941">
            <v>9.1296693859999998</v>
          </cell>
          <cell r="K941">
            <v>9.2219508959999992</v>
          </cell>
          <cell r="L941">
            <v>9.5375223519999999</v>
          </cell>
          <cell r="M941">
            <v>9.5610529829999997</v>
          </cell>
          <cell r="N941">
            <v>9.6308432560000004</v>
          </cell>
          <cell r="O941">
            <v>9.7428816359999999</v>
          </cell>
          <cell r="P941">
            <v>9.8772949620000006</v>
          </cell>
          <cell r="Q941">
            <v>10.023804350000001</v>
          </cell>
          <cell r="R941">
            <v>10.178245179999999</v>
          </cell>
          <cell r="S941">
            <v>10.33911617</v>
          </cell>
          <cell r="T941">
            <v>10.50574378</v>
          </cell>
          <cell r="U941">
            <v>10.67749422</v>
          </cell>
          <cell r="V941">
            <v>10.705354809999999</v>
          </cell>
          <cell r="W941">
            <v>10.948343769999999</v>
          </cell>
          <cell r="X941">
            <v>11.17632783</v>
          </cell>
          <cell r="Y941">
            <v>11.3822218</v>
          </cell>
          <cell r="Z941">
            <v>11.577296759999999</v>
          </cell>
          <cell r="AA941">
            <v>11.33409245</v>
          </cell>
          <cell r="AB941">
            <v>11.534998059999999</v>
          </cell>
          <cell r="AC941">
            <v>11.75798593</v>
          </cell>
          <cell r="AD941">
            <v>11.96593783</v>
          </cell>
          <cell r="AE941">
            <v>12.16425987</v>
          </cell>
          <cell r="AF941">
            <v>12.358822740000001</v>
          </cell>
          <cell r="AG941">
            <v>12.552650809999999</v>
          </cell>
          <cell r="AH941">
            <v>12.747074270000001</v>
          </cell>
          <cell r="AI941">
            <v>12.94279914</v>
          </cell>
          <cell r="AJ941">
            <v>13.14044241</v>
          </cell>
          <cell r="AK941">
            <v>13.340650460000001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</row>
        <row r="944">
          <cell r="A944" t="str">
            <v>ems_ci_co2_srai_0</v>
          </cell>
          <cell r="B944">
            <v>5.5901665349999998</v>
          </cell>
          <cell r="C944">
            <v>5.5828931639999997</v>
          </cell>
          <cell r="D944">
            <v>5.5864923070000003</v>
          </cell>
          <cell r="E944">
            <v>5.6080890969999997</v>
          </cell>
          <cell r="F944">
            <v>5.6416718570000004</v>
          </cell>
          <cell r="G944">
            <v>5.6829418829999998</v>
          </cell>
          <cell r="H944">
            <v>5.7289291430000002</v>
          </cell>
          <cell r="I944">
            <v>5.7778495550000004</v>
          </cell>
          <cell r="J944">
            <v>5.83042354</v>
          </cell>
          <cell r="K944">
            <v>5.8875608389999998</v>
          </cell>
          <cell r="L944">
            <v>5.9508492979999996</v>
          </cell>
          <cell r="M944">
            <v>6.0218262530000004</v>
          </cell>
          <cell r="N944">
            <v>6.0960647220000004</v>
          </cell>
          <cell r="O944">
            <v>6.1725999810000003</v>
          </cell>
          <cell r="P944">
            <v>6.251110873</v>
          </cell>
          <cell r="Q944">
            <v>6.3314705690000004</v>
          </cell>
          <cell r="R944">
            <v>6.4136213050000004</v>
          </cell>
          <cell r="S944">
            <v>6.4974666790000004</v>
          </cell>
          <cell r="T944">
            <v>6.5828048399999997</v>
          </cell>
          <cell r="U944">
            <v>6.669333322</v>
          </cell>
          <cell r="V944">
            <v>6.755271649</v>
          </cell>
          <cell r="W944">
            <v>6.8404112440000002</v>
          </cell>
          <cell r="X944">
            <v>6.9270445550000002</v>
          </cell>
          <cell r="Y944">
            <v>7.015007583</v>
          </cell>
          <cell r="Z944">
            <v>7.1039835880000002</v>
          </cell>
          <cell r="AA944">
            <v>7.1885336110000004</v>
          </cell>
          <cell r="AB944">
            <v>7.2697884979999996</v>
          </cell>
          <cell r="AC944">
            <v>7.3517488889999996</v>
          </cell>
          <cell r="AD944">
            <v>7.4354218620000001</v>
          </cell>
          <cell r="AE944">
            <v>7.5211843849999998</v>
          </cell>
          <cell r="AF944">
            <v>7.609132088</v>
          </cell>
          <cell r="AG944">
            <v>7.6992043739999998</v>
          </cell>
          <cell r="AH944">
            <v>7.7913096819999996</v>
          </cell>
          <cell r="AI944">
            <v>7.8854122269999998</v>
          </cell>
          <cell r="AJ944">
            <v>7.9815534750000001</v>
          </cell>
          <cell r="AK944">
            <v>8.0798170989999996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</row>
        <row r="947">
          <cell r="A947" t="str">
            <v>ems_ci_co2_sroa_0</v>
          </cell>
          <cell r="B947">
            <v>16.040054869999999</v>
          </cell>
          <cell r="C947">
            <v>15.99344673</v>
          </cell>
          <cell r="D947">
            <v>15.97470798</v>
          </cell>
          <cell r="E947">
            <v>16.0125213</v>
          </cell>
          <cell r="F947">
            <v>16.091816179999999</v>
          </cell>
          <cell r="G947">
            <v>16.199527710000002</v>
          </cell>
          <cell r="H947">
            <v>16.325632540000001</v>
          </cell>
          <cell r="I947">
            <v>16.463079539999999</v>
          </cell>
          <cell r="J947">
            <v>16.612025419999998</v>
          </cell>
          <cell r="K947">
            <v>16.773820130000001</v>
          </cell>
          <cell r="L947">
            <v>16.951564000000001</v>
          </cell>
          <cell r="M947">
            <v>17.15102714</v>
          </cell>
          <cell r="N947">
            <v>17.360005600000001</v>
          </cell>
          <cell r="O947">
            <v>17.57574237</v>
          </cell>
          <cell r="P947">
            <v>17.796969600000001</v>
          </cell>
          <cell r="Q947">
            <v>18.022876709999998</v>
          </cell>
          <cell r="R947">
            <v>18.252981930000001</v>
          </cell>
          <cell r="S947">
            <v>18.48693754</v>
          </cell>
          <cell r="T947">
            <v>18.724324960000001</v>
          </cell>
          <cell r="U947">
            <v>18.964573619999999</v>
          </cell>
          <cell r="V947">
            <v>19.203583139999999</v>
          </cell>
          <cell r="W947">
            <v>19.439994710000001</v>
          </cell>
          <cell r="X947">
            <v>19.680454210000001</v>
          </cell>
          <cell r="Y947">
            <v>19.924705629999998</v>
          </cell>
          <cell r="Z947">
            <v>20.172040020000001</v>
          </cell>
          <cell r="AA947">
            <v>20.408829709999999</v>
          </cell>
          <cell r="AB947">
            <v>20.63640964</v>
          </cell>
          <cell r="AC947">
            <v>20.865537199999999</v>
          </cell>
          <cell r="AD947">
            <v>21.098955650000001</v>
          </cell>
          <cell r="AE947">
            <v>21.337935330000001</v>
          </cell>
          <cell r="AF947">
            <v>21.58303635</v>
          </cell>
          <cell r="AG947">
            <v>21.834289739999999</v>
          </cell>
          <cell r="AH947">
            <v>22.091475119999998</v>
          </cell>
          <cell r="AI947">
            <v>22.35438194</v>
          </cell>
          <cell r="AJ947">
            <v>22.622945390000002</v>
          </cell>
          <cell r="AK947">
            <v>22.89723742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</row>
        <row r="950">
          <cell r="A950" t="str">
            <v>ems_ci_co2_swat_0</v>
          </cell>
          <cell r="B950">
            <v>3.7869718140000002</v>
          </cell>
          <cell r="C950">
            <v>3.8481040050000002</v>
          </cell>
          <cell r="D950">
            <v>3.9193764029999998</v>
          </cell>
          <cell r="E950">
            <v>3.9971934099999999</v>
          </cell>
          <cell r="F950">
            <v>4.0794118580000003</v>
          </cell>
          <cell r="G950">
            <v>4.1637404990000002</v>
          </cell>
          <cell r="H950">
            <v>4.2446407639999997</v>
          </cell>
          <cell r="I950">
            <v>4.3237017509999998</v>
          </cell>
          <cell r="J950">
            <v>4.400682142</v>
          </cell>
          <cell r="K950">
            <v>4.475712605</v>
          </cell>
          <cell r="L950">
            <v>4.5554733900000004</v>
          </cell>
          <cell r="M950">
            <v>4.6292662499999997</v>
          </cell>
          <cell r="N950">
            <v>4.7019014810000002</v>
          </cell>
          <cell r="O950">
            <v>4.773820261</v>
          </cell>
          <cell r="P950">
            <v>4.8448917380000003</v>
          </cell>
          <cell r="Q950">
            <v>4.9151142459999999</v>
          </cell>
          <cell r="R950">
            <v>4.9847726220000004</v>
          </cell>
          <cell r="S950">
            <v>5.0543855730000002</v>
          </cell>
          <cell r="T950">
            <v>5.1245591130000001</v>
          </cell>
          <cell r="U950">
            <v>5.1958376910000004</v>
          </cell>
          <cell r="V950">
            <v>5.2640289060000001</v>
          </cell>
          <cell r="W950">
            <v>5.3377479589999997</v>
          </cell>
          <cell r="X950">
            <v>5.4137539969999997</v>
          </cell>
          <cell r="Y950">
            <v>5.4917548260000002</v>
          </cell>
          <cell r="Z950">
            <v>5.5717262270000001</v>
          </cell>
          <cell r="AA950">
            <v>5.6403525029999999</v>
          </cell>
          <cell r="AB950">
            <v>5.7156068390000003</v>
          </cell>
          <cell r="AC950">
            <v>5.7928652850000004</v>
          </cell>
          <cell r="AD950">
            <v>5.8718168999999998</v>
          </cell>
          <cell r="AE950">
            <v>5.9526768499999996</v>
          </cell>
          <cell r="AF950">
            <v>6.0355654559999996</v>
          </cell>
          <cell r="AG950">
            <v>6.1203894280000002</v>
          </cell>
          <cell r="AH950">
            <v>6.2068884180000001</v>
          </cell>
          <cell r="AI950">
            <v>6.2947501580000003</v>
          </cell>
          <cell r="AJ950">
            <v>6.3837237059999996</v>
          </cell>
          <cell r="AK950">
            <v>6.4736841350000001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</row>
        <row r="953">
          <cell r="A953" t="str">
            <v>ems_ci_co2_sair_0</v>
          </cell>
          <cell r="B953">
            <v>19.866369049999999</v>
          </cell>
          <cell r="C953">
            <v>20.138514430000001</v>
          </cell>
          <cell r="D953">
            <v>20.463111090000002</v>
          </cell>
          <cell r="E953">
            <v>20.826090870000002</v>
          </cell>
          <cell r="F953">
            <v>21.212251089999999</v>
          </cell>
          <cell r="G953">
            <v>21.612245690000002</v>
          </cell>
          <cell r="H953">
            <v>22.008832819999999</v>
          </cell>
          <cell r="I953">
            <v>22.408005719999998</v>
          </cell>
          <cell r="J953">
            <v>22.813205839999998</v>
          </cell>
          <cell r="K953">
            <v>23.227148530000001</v>
          </cell>
          <cell r="L953">
            <v>23.673083859999998</v>
          </cell>
          <cell r="M953">
            <v>24.117993779999999</v>
          </cell>
          <cell r="N953">
            <v>24.565988879999999</v>
          </cell>
          <cell r="O953">
            <v>25.01553277</v>
          </cell>
          <cell r="P953">
            <v>25.466011009999999</v>
          </cell>
          <cell r="Q953">
            <v>25.918191629999999</v>
          </cell>
          <cell r="R953">
            <v>26.37373066</v>
          </cell>
          <cell r="S953">
            <v>26.834436050000001</v>
          </cell>
          <cell r="T953">
            <v>27.30171571</v>
          </cell>
          <cell r="U953">
            <v>27.776385640000001</v>
          </cell>
          <cell r="V953">
            <v>28.240587819999998</v>
          </cell>
          <cell r="W953">
            <v>28.721312829999999</v>
          </cell>
          <cell r="X953">
            <v>29.214188310000001</v>
          </cell>
          <cell r="Y953">
            <v>29.718549979999999</v>
          </cell>
          <cell r="Z953">
            <v>30.233838739999999</v>
          </cell>
          <cell r="AA953">
            <v>30.70375546</v>
          </cell>
          <cell r="AB953">
            <v>31.18727921</v>
          </cell>
          <cell r="AC953">
            <v>31.680869080000001</v>
          </cell>
          <cell r="AD953">
            <v>32.185853770000001</v>
          </cell>
          <cell r="AE953">
            <v>32.702667210000001</v>
          </cell>
          <cell r="AF953">
            <v>33.230760060000001</v>
          </cell>
          <cell r="AG953">
            <v>33.769129999999997</v>
          </cell>
          <cell r="AH953">
            <v>34.316912680000002</v>
          </cell>
          <cell r="AI953">
            <v>34.873756829999998</v>
          </cell>
          <cell r="AJ953">
            <v>35.439878370000002</v>
          </cell>
          <cell r="AK953">
            <v>36.015847649999998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</row>
        <row r="956">
          <cell r="A956" t="str">
            <v>ems_ci_co2_spri_0</v>
          </cell>
          <cell r="B956">
            <v>30.81987728</v>
          </cell>
          <cell r="C956">
            <v>30.515654260000002</v>
          </cell>
          <cell r="D956">
            <v>30.273551659999999</v>
          </cell>
          <cell r="E956">
            <v>30.282171559999998</v>
          </cell>
          <cell r="F956">
            <v>30.55353173</v>
          </cell>
          <cell r="G956">
            <v>31.071596190000001</v>
          </cell>
          <cell r="H956">
            <v>31.82982076</v>
          </cell>
          <cell r="I956">
            <v>32.722756820000001</v>
          </cell>
          <cell r="J956">
            <v>33.698090110000003</v>
          </cell>
          <cell r="K956">
            <v>34.709195710000003</v>
          </cell>
          <cell r="L956">
            <v>35.647802929999997</v>
          </cell>
          <cell r="M956">
            <v>36.705570719999997</v>
          </cell>
          <cell r="N956">
            <v>37.764449659999997</v>
          </cell>
          <cell r="O956">
            <v>38.820538970000001</v>
          </cell>
          <cell r="P956">
            <v>39.859969419999999</v>
          </cell>
          <cell r="Q956">
            <v>40.85777255</v>
          </cell>
          <cell r="R956">
            <v>41.791201559999998</v>
          </cell>
          <cell r="S956">
            <v>42.649780499999999</v>
          </cell>
          <cell r="T956">
            <v>43.43820049</v>
          </cell>
          <cell r="U956">
            <v>44.173000799999997</v>
          </cell>
          <cell r="V956">
            <v>44.9256593</v>
          </cell>
          <cell r="W956">
            <v>45.57920214</v>
          </cell>
          <cell r="X956">
            <v>46.239518930000003</v>
          </cell>
          <cell r="Y956">
            <v>46.921321900000002</v>
          </cell>
          <cell r="Z956">
            <v>47.633789929999999</v>
          </cell>
          <cell r="AA956">
            <v>48.499861039999999</v>
          </cell>
          <cell r="AB956">
            <v>49.241852520000002</v>
          </cell>
          <cell r="AC956">
            <v>49.975532960000002</v>
          </cell>
          <cell r="AD956">
            <v>50.703238859999999</v>
          </cell>
          <cell r="AE956">
            <v>51.432348529999999</v>
          </cell>
          <cell r="AF956">
            <v>52.178799230000003</v>
          </cell>
          <cell r="AG956">
            <v>52.957609079999997</v>
          </cell>
          <cell r="AH956">
            <v>53.775764580000001</v>
          </cell>
          <cell r="AI956">
            <v>54.630336530000001</v>
          </cell>
          <cell r="AJ956">
            <v>55.511192280000003</v>
          </cell>
          <cell r="AK956">
            <v>56.406092479999998</v>
          </cell>
        </row>
        <row r="957">
          <cell r="A957" t="str">
            <v>ems_y_co2_spri_0</v>
          </cell>
          <cell r="B957">
            <v>0.4044219423</v>
          </cell>
          <cell r="C957">
            <v>0.40722793660000001</v>
          </cell>
          <cell r="D957">
            <v>0.41175775860000002</v>
          </cell>
          <cell r="E957">
            <v>0.4180332142</v>
          </cell>
          <cell r="F957">
            <v>0.42494240030000002</v>
          </cell>
          <cell r="G957">
            <v>0.43201028200000002</v>
          </cell>
          <cell r="H957">
            <v>0.439609103</v>
          </cell>
          <cell r="I957">
            <v>0.44674564979999998</v>
          </cell>
          <cell r="J957">
            <v>0.45377950049999999</v>
          </cell>
          <cell r="K957">
            <v>0.46093630089999998</v>
          </cell>
          <cell r="L957">
            <v>0.46745371289999998</v>
          </cell>
          <cell r="M957">
            <v>0.47598241209999997</v>
          </cell>
          <cell r="N957">
            <v>0.48419456789999998</v>
          </cell>
          <cell r="O957">
            <v>0.49221669800000001</v>
          </cell>
          <cell r="P957">
            <v>0.50015600169999996</v>
          </cell>
          <cell r="Q957">
            <v>0.50812084440000005</v>
          </cell>
          <cell r="R957">
            <v>0.51620874029999997</v>
          </cell>
          <cell r="S957">
            <v>0.52448791890000002</v>
          </cell>
          <cell r="T957">
            <v>0.53298865790000005</v>
          </cell>
          <cell r="U957">
            <v>0.54170797940000004</v>
          </cell>
          <cell r="V957">
            <v>0.55110906959999995</v>
          </cell>
          <cell r="W957">
            <v>0.55954918730000003</v>
          </cell>
          <cell r="X957">
            <v>0.5684846268</v>
          </cell>
          <cell r="Y957">
            <v>0.57775038590000005</v>
          </cell>
          <cell r="Z957">
            <v>0.58724547579999997</v>
          </cell>
          <cell r="AA957">
            <v>0.59808454170000003</v>
          </cell>
          <cell r="AB957">
            <v>0.60677673229999995</v>
          </cell>
          <cell r="AC957">
            <v>0.61571854349999999</v>
          </cell>
          <cell r="AD957">
            <v>0.62491052869999997</v>
          </cell>
          <cell r="AE957">
            <v>0.6343271815</v>
          </cell>
          <cell r="AF957">
            <v>0.64391686999999997</v>
          </cell>
          <cell r="AG957">
            <v>0.65362443169999995</v>
          </cell>
          <cell r="AH957">
            <v>0.66341380409999995</v>
          </cell>
          <cell r="AI957">
            <v>0.67327813270000003</v>
          </cell>
          <cell r="AJ957">
            <v>0.68323565730000002</v>
          </cell>
          <cell r="AK957">
            <v>0.69331641349999995</v>
          </cell>
        </row>
        <row r="958">
          <cell r="A958" t="str">
            <v>ems_mat_co2_spri_0</v>
          </cell>
          <cell r="B958">
            <v>0.59293969349999998</v>
          </cell>
          <cell r="C958">
            <v>0.59744163340000001</v>
          </cell>
          <cell r="D958">
            <v>0.60385157209999996</v>
          </cell>
          <cell r="E958">
            <v>0.61283315969999996</v>
          </cell>
          <cell r="F958">
            <v>0.62293843859999998</v>
          </cell>
          <cell r="G958">
            <v>0.63335741320000005</v>
          </cell>
          <cell r="H958">
            <v>0.64450430609999998</v>
          </cell>
          <cell r="I958">
            <v>0.65508679329999997</v>
          </cell>
          <cell r="J958">
            <v>0.66545353249999994</v>
          </cell>
          <cell r="K958">
            <v>0.6759547119</v>
          </cell>
          <cell r="L958">
            <v>0.68560257290000004</v>
          </cell>
          <cell r="M958">
            <v>0.69786990739999999</v>
          </cell>
          <cell r="N958">
            <v>0.7099886863</v>
          </cell>
          <cell r="O958">
            <v>0.7218189196</v>
          </cell>
          <cell r="P958">
            <v>0.73349620370000002</v>
          </cell>
          <cell r="Q958">
            <v>0.74518614149999995</v>
          </cell>
          <cell r="R958">
            <v>0.75704042670000005</v>
          </cell>
          <cell r="S958">
            <v>0.76916782120000005</v>
          </cell>
          <cell r="T958">
            <v>0.78162007079999996</v>
          </cell>
          <cell r="U958">
            <v>0.79439744069999996</v>
          </cell>
          <cell r="V958">
            <v>0.80812364410000004</v>
          </cell>
          <cell r="W958">
            <v>0.8206471528</v>
          </cell>
          <cell r="X958">
            <v>0.83370140829999995</v>
          </cell>
          <cell r="Y958">
            <v>0.84725772980000003</v>
          </cell>
          <cell r="Z958">
            <v>0.86117291250000005</v>
          </cell>
          <cell r="AA958">
            <v>0.8769329709</v>
          </cell>
          <cell r="AB958">
            <v>0.88998390819999995</v>
          </cell>
          <cell r="AC958">
            <v>0.90306863859999997</v>
          </cell>
          <cell r="AD958">
            <v>0.91650085960000005</v>
          </cell>
          <cell r="AE958">
            <v>0.93027703090000002</v>
          </cell>
          <cell r="AF958">
            <v>0.94432342150000004</v>
          </cell>
          <cell r="AG958">
            <v>0.95855524049999996</v>
          </cell>
          <cell r="AH958">
            <v>0.97291356969999998</v>
          </cell>
          <cell r="AI958">
            <v>0.98738260219999996</v>
          </cell>
          <cell r="AJ958">
            <v>1.001985441</v>
          </cell>
          <cell r="AK958">
            <v>1.0167652579999999</v>
          </cell>
        </row>
        <row r="959">
          <cell r="A959" t="str">
            <v>ems_ci_co2_spub_0</v>
          </cell>
          <cell r="B959">
            <v>15.0601217</v>
          </cell>
          <cell r="C959">
            <v>15.05971566</v>
          </cell>
          <cell r="D959">
            <v>15.06939339</v>
          </cell>
          <cell r="E959">
            <v>15.134444930000001</v>
          </cell>
          <cell r="F959">
            <v>15.26229023</v>
          </cell>
          <cell r="G959">
            <v>15.451749919999999</v>
          </cell>
          <cell r="H959">
            <v>15.696382639999999</v>
          </cell>
          <cell r="I959">
            <v>15.9751528</v>
          </cell>
          <cell r="J959">
            <v>16.277047889999999</v>
          </cell>
          <cell r="K959">
            <v>16.592550490000001</v>
          </cell>
          <cell r="L959">
            <v>16.90837934</v>
          </cell>
          <cell r="M959">
            <v>17.254669530000001</v>
          </cell>
          <cell r="N959">
            <v>17.613066289999999</v>
          </cell>
          <cell r="O959">
            <v>17.98536159</v>
          </cell>
          <cell r="P959">
            <v>18.367620120000002</v>
          </cell>
          <cell r="Q959">
            <v>18.75158158</v>
          </cell>
          <cell r="R959">
            <v>19.12880955</v>
          </cell>
          <cell r="S959">
            <v>19.493704149999999</v>
          </cell>
          <cell r="T959">
            <v>19.844534110000001</v>
          </cell>
          <cell r="U959">
            <v>20.182821700000002</v>
          </cell>
          <cell r="V959">
            <v>20.515569490000001</v>
          </cell>
          <cell r="W959">
            <v>20.8291316</v>
          </cell>
          <cell r="X959">
            <v>21.141090080000001</v>
          </cell>
          <cell r="Y959">
            <v>21.453642169999998</v>
          </cell>
          <cell r="Z959">
            <v>21.769307009999999</v>
          </cell>
          <cell r="AA959">
            <v>22.09499447</v>
          </cell>
          <cell r="AB959">
            <v>22.398521769999999</v>
          </cell>
          <cell r="AC959">
            <v>22.7004184</v>
          </cell>
          <cell r="AD959">
            <v>23.00117307</v>
          </cell>
          <cell r="AE959">
            <v>23.304003860000002</v>
          </cell>
          <cell r="AF959">
            <v>23.614579200000001</v>
          </cell>
          <cell r="AG959">
            <v>23.938210949999998</v>
          </cell>
          <cell r="AH959">
            <v>24.277825140000001</v>
          </cell>
          <cell r="AI959">
            <v>24.633403019999999</v>
          </cell>
          <cell r="AJ959">
            <v>25.002703570000001</v>
          </cell>
          <cell r="AK959">
            <v>25.382655379999999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</row>
        <row r="961">
          <cell r="A961" t="str">
            <v>ems_mat_co2_spub_0</v>
          </cell>
          <cell r="B961">
            <v>9.7377176950000006</v>
          </cell>
          <cell r="C961">
            <v>9.8464327970000003</v>
          </cell>
          <cell r="D961">
            <v>9.9759075260000003</v>
          </cell>
          <cell r="E961">
            <v>10.12815035</v>
          </cell>
          <cell r="F961">
            <v>10.29214215</v>
          </cell>
          <cell r="G961">
            <v>10.461962850000001</v>
          </cell>
          <cell r="H961">
            <v>10.637287929999999</v>
          </cell>
          <cell r="I961">
            <v>10.80985192</v>
          </cell>
          <cell r="J961">
            <v>10.98268603</v>
          </cell>
          <cell r="K961">
            <v>11.15827619</v>
          </cell>
          <cell r="L961">
            <v>11.335157199999999</v>
          </cell>
          <cell r="M961">
            <v>11.529452539999999</v>
          </cell>
          <cell r="N961">
            <v>11.722984840000001</v>
          </cell>
          <cell r="O961">
            <v>11.91601563</v>
          </cell>
          <cell r="P961">
            <v>12.109999589999999</v>
          </cell>
          <cell r="Q961">
            <v>12.30613361</v>
          </cell>
          <cell r="R961">
            <v>12.50528581</v>
          </cell>
          <cell r="S961">
            <v>12.70797176</v>
          </cell>
          <cell r="T961">
            <v>12.914369499999999</v>
          </cell>
          <cell r="U961">
            <v>13.124405360000001</v>
          </cell>
          <cell r="V961">
            <v>13.338066059999999</v>
          </cell>
          <cell r="W961">
            <v>13.54718894</v>
          </cell>
          <cell r="X961">
            <v>13.76268074</v>
          </cell>
          <cell r="Y961">
            <v>13.983754279999999</v>
          </cell>
          <cell r="Z961">
            <v>14.209256010000001</v>
          </cell>
          <cell r="AA961">
            <v>14.436496869999999</v>
          </cell>
          <cell r="AB961">
            <v>14.647651120000001</v>
          </cell>
          <cell r="AC961">
            <v>14.86129889</v>
          </cell>
          <cell r="AD961">
            <v>15.079171649999999</v>
          </cell>
          <cell r="AE961">
            <v>15.30107076</v>
          </cell>
          <cell r="AF961">
            <v>15.52653068</v>
          </cell>
          <cell r="AG961">
            <v>15.755132140000001</v>
          </cell>
          <cell r="AH961">
            <v>15.986650989999999</v>
          </cell>
          <cell r="AI961">
            <v>16.221101619999999</v>
          </cell>
          <cell r="AJ961">
            <v>16.458681460000001</v>
          </cell>
          <cell r="AK961">
            <v>16.699660739999999</v>
          </cell>
        </row>
        <row r="962">
          <cell r="A962" t="str">
            <v>ems_ci_co2_smin_0</v>
          </cell>
          <cell r="B962">
            <v>1.7691733080000001</v>
          </cell>
          <cell r="C962">
            <v>1.9652898130000001</v>
          </cell>
          <cell r="D962">
            <v>2.1566259900000002</v>
          </cell>
          <cell r="E962">
            <v>2.317112861</v>
          </cell>
          <cell r="F962">
            <v>2.4504226550000001</v>
          </cell>
          <cell r="G962">
            <v>2.5645392390000001</v>
          </cell>
          <cell r="H962">
            <v>2.6566250130000002</v>
          </cell>
          <cell r="I962">
            <v>2.7414999550000001</v>
          </cell>
          <cell r="J962">
            <v>2.8214148890000001</v>
          </cell>
          <cell r="K962">
            <v>2.896582048</v>
          </cell>
          <cell r="L962">
            <v>2.9804472899999999</v>
          </cell>
          <cell r="M962">
            <v>3.0445933529999998</v>
          </cell>
          <cell r="N962">
            <v>3.1051478590000001</v>
          </cell>
          <cell r="O962">
            <v>3.1645100039999998</v>
          </cell>
          <cell r="P962">
            <v>3.2222088040000001</v>
          </cell>
          <cell r="Q962">
            <v>3.2779465569999999</v>
          </cell>
          <cell r="R962">
            <v>3.3319135260000001</v>
          </cell>
          <cell r="S962">
            <v>3.3846153650000002</v>
          </cell>
          <cell r="T962">
            <v>3.4366794289999998</v>
          </cell>
          <cell r="U962">
            <v>3.488710041</v>
          </cell>
          <cell r="V962">
            <v>3.5316138229999998</v>
          </cell>
          <cell r="W962">
            <v>3.586556587</v>
          </cell>
          <cell r="X962">
            <v>3.643185662</v>
          </cell>
          <cell r="Y962">
            <v>3.6998209580000001</v>
          </cell>
          <cell r="Z962">
            <v>3.7569249830000002</v>
          </cell>
          <cell r="AA962">
            <v>3.7866497940000001</v>
          </cell>
          <cell r="AB962">
            <v>3.8391211570000001</v>
          </cell>
          <cell r="AC962">
            <v>3.8964551740000002</v>
          </cell>
          <cell r="AD962">
            <v>3.9541694970000001</v>
          </cell>
          <cell r="AE962">
            <v>4.0120383640000004</v>
          </cell>
          <cell r="AF962">
            <v>4.070417945</v>
          </cell>
          <cell r="AG962">
            <v>4.1295013789999997</v>
          </cell>
          <cell r="AH962">
            <v>4.1892897229999999</v>
          </cell>
          <cell r="AI962">
            <v>4.2496906719999998</v>
          </cell>
          <cell r="AJ962">
            <v>4.3106096909999998</v>
          </cell>
          <cell r="AK962">
            <v>4.3719932110000004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</row>
        <row r="964">
          <cell r="A964" t="str">
            <v>ems_mat_co2_smin_0</v>
          </cell>
          <cell r="B964">
            <v>9.7487404099999994E-2</v>
          </cell>
          <cell r="C964">
            <v>0.10846767359999999</v>
          </cell>
          <cell r="D964">
            <v>0.11923160319999999</v>
          </cell>
          <cell r="E964">
            <v>0.12827642910000001</v>
          </cell>
          <cell r="F964">
            <v>0.13575341869999999</v>
          </cell>
          <cell r="G964">
            <v>0.14207891110000001</v>
          </cell>
          <cell r="H964">
            <v>0.1470974937</v>
          </cell>
          <cell r="I964">
            <v>0.1516437427</v>
          </cell>
          <cell r="J964">
            <v>0.15586940690000001</v>
          </cell>
          <cell r="K964">
            <v>0.1598123454</v>
          </cell>
          <cell r="L964">
            <v>0.16423693070000001</v>
          </cell>
          <cell r="M964">
            <v>0.1675724116</v>
          </cell>
          <cell r="N964">
            <v>0.17069859570000001</v>
          </cell>
          <cell r="O964">
            <v>0.17374632449999999</v>
          </cell>
          <cell r="P964">
            <v>0.17669924009999999</v>
          </cell>
          <cell r="Q964">
            <v>0.179556507</v>
          </cell>
          <cell r="R964">
            <v>0.18234341070000001</v>
          </cell>
          <cell r="S964">
            <v>0.1850968838</v>
          </cell>
          <cell r="T964">
            <v>0.18785313880000001</v>
          </cell>
          <cell r="U964">
            <v>0.1906409248</v>
          </cell>
          <cell r="V964">
            <v>0.19295050029999999</v>
          </cell>
          <cell r="W964">
            <v>0.19593827420000001</v>
          </cell>
          <cell r="X964">
            <v>0.19903550840000001</v>
          </cell>
          <cell r="Y964">
            <v>0.2021441363</v>
          </cell>
          <cell r="Z964">
            <v>0.20528220680000001</v>
          </cell>
          <cell r="AA964">
            <v>0.2069109452</v>
          </cell>
          <cell r="AB964">
            <v>0.20977839249999999</v>
          </cell>
          <cell r="AC964">
            <v>0.2129208148</v>
          </cell>
          <cell r="AD964">
            <v>0.2160985503</v>
          </cell>
          <cell r="AE964">
            <v>0.2192953416</v>
          </cell>
          <cell r="AF964">
            <v>0.2225215478</v>
          </cell>
          <cell r="AG964">
            <v>0.2257786517</v>
          </cell>
          <cell r="AH964">
            <v>0.22906151390000001</v>
          </cell>
          <cell r="AI964">
            <v>0.23236505690000001</v>
          </cell>
          <cell r="AJ964">
            <v>0.23568814060000001</v>
          </cell>
          <cell r="AK964">
            <v>0.2390334626</v>
          </cell>
        </row>
        <row r="965">
          <cell r="A965" t="str">
            <v>ems_ci_co2_soil_0</v>
          </cell>
          <cell r="B965">
            <v>16.63452947</v>
          </cell>
          <cell r="C965">
            <v>16.854677949999999</v>
          </cell>
          <cell r="D965">
            <v>17.051790350000001</v>
          </cell>
          <cell r="E965">
            <v>17.24638762</v>
          </cell>
          <cell r="F965">
            <v>17.450417130000002</v>
          </cell>
          <cell r="G965">
            <v>17.66709157</v>
          </cell>
          <cell r="H965">
            <v>17.88363648</v>
          </cell>
          <cell r="I965">
            <v>18.107567490000001</v>
          </cell>
          <cell r="J965">
            <v>18.33711284</v>
          </cell>
          <cell r="K965">
            <v>18.569637279999998</v>
          </cell>
          <cell r="L965">
            <v>18.82144796</v>
          </cell>
          <cell r="M965">
            <v>19.058771719999999</v>
          </cell>
          <cell r="N965">
            <v>19.29495691</v>
          </cell>
          <cell r="O965">
            <v>19.53167251</v>
          </cell>
          <cell r="P965">
            <v>19.76804877</v>
          </cell>
          <cell r="Q965">
            <v>20.002852699999998</v>
          </cell>
          <cell r="R965">
            <v>20.23516137</v>
          </cell>
          <cell r="S965">
            <v>20.464604340000001</v>
          </cell>
          <cell r="T965">
            <v>20.691361329999999</v>
          </cell>
          <cell r="U965">
            <v>20.91599119</v>
          </cell>
          <cell r="V965">
            <v>21.12554991</v>
          </cell>
          <cell r="W965">
            <v>21.345260620000001</v>
          </cell>
          <cell r="X965">
            <v>21.566061139999999</v>
          </cell>
          <cell r="Y965">
            <v>21.786668970000001</v>
          </cell>
          <cell r="Z965">
            <v>22.007324610000001</v>
          </cell>
          <cell r="AA965">
            <v>22.18769838</v>
          </cell>
          <cell r="AB965">
            <v>22.38352759</v>
          </cell>
          <cell r="AC965">
            <v>22.580296539999999</v>
          </cell>
          <cell r="AD965">
            <v>22.77492969</v>
          </cell>
          <cell r="AE965">
            <v>22.967428609999999</v>
          </cell>
          <cell r="AF965">
            <v>23.15848561</v>
          </cell>
          <cell r="AG965">
            <v>23.348726589999998</v>
          </cell>
          <cell r="AH965">
            <v>23.538448339999999</v>
          </cell>
          <cell r="AI965">
            <v>23.727590679999999</v>
          </cell>
          <cell r="AJ965">
            <v>23.915853049999999</v>
          </cell>
          <cell r="AK965">
            <v>24.102866980000002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</row>
        <row r="967">
          <cell r="A967" t="str">
            <v>ems_mat_co2_soil_0</v>
          </cell>
          <cell r="B967">
            <v>4.7881592639999999</v>
          </cell>
          <cell r="C967">
            <v>4.8514601969999998</v>
          </cell>
          <cell r="D967">
            <v>4.9080834019999999</v>
          </cell>
          <cell r="E967">
            <v>4.9639511369999996</v>
          </cell>
          <cell r="F967">
            <v>5.022523852</v>
          </cell>
          <cell r="G967">
            <v>5.0847461149999997</v>
          </cell>
          <cell r="H967">
            <v>5.1469545280000002</v>
          </cell>
          <cell r="I967">
            <v>5.2113186709999999</v>
          </cell>
          <cell r="J967">
            <v>5.2773280260000002</v>
          </cell>
          <cell r="K967">
            <v>5.3442192310000003</v>
          </cell>
          <cell r="L967">
            <v>5.4166781559999997</v>
          </cell>
          <cell r="M967">
            <v>5.4849822970000002</v>
          </cell>
          <cell r="N967">
            <v>5.5529742430000004</v>
          </cell>
          <cell r="O967">
            <v>5.6211365369999999</v>
          </cell>
          <cell r="P967">
            <v>5.6892193969999996</v>
          </cell>
          <cell r="Q967">
            <v>5.7568657520000004</v>
          </cell>
          <cell r="R967">
            <v>5.823805567</v>
          </cell>
          <cell r="S967">
            <v>5.8899269900000002</v>
          </cell>
          <cell r="T967">
            <v>5.9552770649999998</v>
          </cell>
          <cell r="U967">
            <v>6.0200133490000001</v>
          </cell>
          <cell r="V967">
            <v>6.0804093520000002</v>
          </cell>
          <cell r="W967">
            <v>6.1437233669999998</v>
          </cell>
          <cell r="X967">
            <v>6.2073460899999997</v>
          </cell>
          <cell r="Y967">
            <v>6.2709079389999998</v>
          </cell>
          <cell r="Z967">
            <v>6.334478507</v>
          </cell>
          <cell r="AA967">
            <v>6.3864516360000003</v>
          </cell>
          <cell r="AB967">
            <v>6.4428706150000004</v>
          </cell>
          <cell r="AC967">
            <v>6.4995552319999996</v>
          </cell>
          <cell r="AD967">
            <v>6.5556174159999996</v>
          </cell>
          <cell r="AE967">
            <v>6.6110561490000004</v>
          </cell>
          <cell r="AF967">
            <v>6.6660713210000004</v>
          </cell>
          <cell r="AG967">
            <v>6.720845325</v>
          </cell>
          <cell r="AH967">
            <v>6.775466422</v>
          </cell>
          <cell r="AI967">
            <v>6.8299196760000003</v>
          </cell>
          <cell r="AJ967">
            <v>6.8841199460000002</v>
          </cell>
          <cell r="AK967">
            <v>6.9379614959999998</v>
          </cell>
        </row>
        <row r="968">
          <cell r="A968" t="str">
            <v>ems_ci_co2_sbfu_0</v>
          </cell>
          <cell r="B968">
            <v>3.9545121619999999</v>
          </cell>
          <cell r="C968">
            <v>4.04481001</v>
          </cell>
          <cell r="D968">
            <v>4.1261729359999997</v>
          </cell>
          <cell r="E968">
            <v>4.200607025</v>
          </cell>
          <cell r="F968">
            <v>4.2718718259999999</v>
          </cell>
          <cell r="G968">
            <v>4.3417089019999997</v>
          </cell>
          <cell r="H968">
            <v>4.4078140049999996</v>
          </cell>
          <cell r="I968">
            <v>4.472828754</v>
          </cell>
          <cell r="J968">
            <v>4.537003243</v>
          </cell>
          <cell r="K968">
            <v>4.6002766389999996</v>
          </cell>
          <cell r="L968">
            <v>4.6672171240000004</v>
          </cell>
          <cell r="M968">
            <v>4.7295512879999997</v>
          </cell>
          <cell r="N968">
            <v>4.7908963900000003</v>
          </cell>
          <cell r="O968">
            <v>4.8518104649999998</v>
          </cell>
          <cell r="P968">
            <v>4.9122262130000003</v>
          </cell>
          <cell r="Q968">
            <v>4.9719902979999997</v>
          </cell>
          <cell r="R968">
            <v>5.0309974840000002</v>
          </cell>
          <cell r="S968">
            <v>5.0892238279999997</v>
          </cell>
          <cell r="T968">
            <v>5.1467201100000004</v>
          </cell>
          <cell r="U968">
            <v>5.2035832820000003</v>
          </cell>
          <cell r="V968">
            <v>5.2564938970000004</v>
          </cell>
          <cell r="W968">
            <v>5.3117820570000003</v>
          </cell>
          <cell r="X968">
            <v>5.3670501679999996</v>
          </cell>
          <cell r="Y968">
            <v>5.4219498780000004</v>
          </cell>
          <cell r="Z968">
            <v>5.4765135259999997</v>
          </cell>
          <cell r="AA968">
            <v>5.5206485719999998</v>
          </cell>
          <cell r="AB968">
            <v>5.5683990129999996</v>
          </cell>
          <cell r="AC968">
            <v>5.6160904580000004</v>
          </cell>
          <cell r="AD968">
            <v>5.6630048029999998</v>
          </cell>
          <cell r="AE968">
            <v>5.7091400090000004</v>
          </cell>
          <cell r="AF968">
            <v>5.7546299889999997</v>
          </cell>
          <cell r="AG968">
            <v>5.7995905189999997</v>
          </cell>
          <cell r="AH968">
            <v>5.8440782469999997</v>
          </cell>
          <cell r="AI968">
            <v>5.8880910870000003</v>
          </cell>
          <cell r="AJ968">
            <v>5.931589582</v>
          </cell>
          <cell r="AK968">
            <v>5.9745238299999999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</row>
        <row r="970">
          <cell r="A970" t="str">
            <v>ems_mat_co2_sbfu_0</v>
          </cell>
          <cell r="B970">
            <v>3.2983469859999999</v>
          </cell>
          <cell r="C970">
            <v>3.3736618759999999</v>
          </cell>
          <cell r="D970">
            <v>3.4415244029999998</v>
          </cell>
          <cell r="E970">
            <v>3.5036077890000001</v>
          </cell>
          <cell r="F970">
            <v>3.5630477690000002</v>
          </cell>
          <cell r="G970">
            <v>3.6212969340000001</v>
          </cell>
          <cell r="H970">
            <v>3.6764333730000001</v>
          </cell>
          <cell r="I970">
            <v>3.7306603840000001</v>
          </cell>
          <cell r="J970">
            <v>3.7841865600000002</v>
          </cell>
          <cell r="K970">
            <v>3.8369611589999999</v>
          </cell>
          <cell r="L970">
            <v>3.8927943690000002</v>
          </cell>
          <cell r="M970">
            <v>3.9447855710000002</v>
          </cell>
          <cell r="N970">
            <v>3.9959518190000001</v>
          </cell>
          <cell r="O970">
            <v>4.0467585530000001</v>
          </cell>
          <cell r="P970">
            <v>4.0971496399999996</v>
          </cell>
          <cell r="Q970">
            <v>4.1469971900000004</v>
          </cell>
          <cell r="R970">
            <v>4.196213427</v>
          </cell>
          <cell r="S970">
            <v>4.244778384</v>
          </cell>
          <cell r="T970">
            <v>4.292734415</v>
          </cell>
          <cell r="U970">
            <v>4.3401623860000003</v>
          </cell>
          <cell r="V970">
            <v>4.3842936420000003</v>
          </cell>
          <cell r="W970">
            <v>4.4304079429999996</v>
          </cell>
          <cell r="X970">
            <v>4.4765055250000003</v>
          </cell>
          <cell r="Y970">
            <v>4.5222958369999997</v>
          </cell>
          <cell r="Z970">
            <v>4.5678058520000002</v>
          </cell>
          <cell r="AA970">
            <v>4.6046176670000003</v>
          </cell>
          <cell r="AB970">
            <v>4.6444449820000004</v>
          </cell>
          <cell r="AC970">
            <v>4.6842230919999999</v>
          </cell>
          <cell r="AD970">
            <v>4.7233530439999996</v>
          </cell>
          <cell r="AE970">
            <v>4.7618331380000001</v>
          </cell>
          <cell r="AF970">
            <v>4.7997750659999996</v>
          </cell>
          <cell r="AG970">
            <v>4.8372753919999996</v>
          </cell>
          <cell r="AH970">
            <v>4.8743813659999997</v>
          </cell>
          <cell r="AI970">
            <v>4.9110912469999999</v>
          </cell>
          <cell r="AJ970">
            <v>4.9473721250000002</v>
          </cell>
          <cell r="AK970">
            <v>4.9831823789999996</v>
          </cell>
        </row>
        <row r="971">
          <cell r="A971" t="str">
            <v>ems_ci_co2_seoi_0</v>
          </cell>
          <cell r="B971">
            <v>1.7965835640000001</v>
          </cell>
          <cell r="C971">
            <v>1.8092436620000001</v>
          </cell>
          <cell r="D971">
            <v>1.8214244669999999</v>
          </cell>
          <cell r="E971">
            <v>1.838670679</v>
          </cell>
          <cell r="F971">
            <v>1.86313179</v>
          </cell>
          <cell r="G971">
            <v>1.8952650980000001</v>
          </cell>
          <cell r="H971">
            <v>1.9334833570000001</v>
          </cell>
          <cell r="I971">
            <v>1.9769130049999999</v>
          </cell>
          <cell r="J971">
            <v>2.02387842</v>
          </cell>
          <cell r="K971">
            <v>2.072414819</v>
          </cell>
          <cell r="L971">
            <v>2.1217624960000001</v>
          </cell>
          <cell r="M971">
            <v>2.1689698430000002</v>
          </cell>
          <cell r="N971">
            <v>2.2133136179999999</v>
          </cell>
          <cell r="O971">
            <v>2.254206929</v>
          </cell>
          <cell r="P971">
            <v>2.2909863229999998</v>
          </cell>
          <cell r="Q971">
            <v>2.3232344390000002</v>
          </cell>
          <cell r="R971">
            <v>2.3511983660000002</v>
          </cell>
          <cell r="S971">
            <v>2.375776858</v>
          </cell>
          <cell r="T971">
            <v>2.398356256</v>
          </cell>
          <cell r="U971">
            <v>2.4205478060000001</v>
          </cell>
          <cell r="V971">
            <v>2.4429015430000001</v>
          </cell>
          <cell r="W971">
            <v>2.467659228</v>
          </cell>
          <cell r="X971">
            <v>2.4954006089999998</v>
          </cell>
          <cell r="Y971">
            <v>2.5264699780000002</v>
          </cell>
          <cell r="Z971">
            <v>2.5610813509999999</v>
          </cell>
          <cell r="AA971">
            <v>2.5960740279999999</v>
          </cell>
          <cell r="AB971">
            <v>2.6341862759999999</v>
          </cell>
          <cell r="AC971">
            <v>2.6742910960000001</v>
          </cell>
          <cell r="AD971">
            <v>2.7154385350000001</v>
          </cell>
          <cell r="AE971">
            <v>2.7571998799999999</v>
          </cell>
          <cell r="AF971">
            <v>2.7994645849999999</v>
          </cell>
          <cell r="AG971">
            <v>2.842208372</v>
          </cell>
          <cell r="AH971">
            <v>2.8853357659999999</v>
          </cell>
          <cell r="AI971">
            <v>2.9286270710000002</v>
          </cell>
          <cell r="AJ971">
            <v>2.971781644</v>
          </cell>
          <cell r="AK971">
            <v>3.0144425880000001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</row>
        <row r="973">
          <cell r="A973" t="str">
            <v>ems_mat_co2_seoi_0</v>
          </cell>
          <cell r="B973">
            <v>0.12313280660000001</v>
          </cell>
          <cell r="C973">
            <v>0.12400049439999999</v>
          </cell>
          <cell r="D973">
            <v>0.1248353326</v>
          </cell>
          <cell r="E973">
            <v>0.12601733970000001</v>
          </cell>
          <cell r="F973">
            <v>0.12769383570000001</v>
          </cell>
          <cell r="G973">
            <v>0.12989616270000001</v>
          </cell>
          <cell r="H973">
            <v>0.13251553520000001</v>
          </cell>
          <cell r="I973">
            <v>0.13549208160000001</v>
          </cell>
          <cell r="J973">
            <v>0.1387109597</v>
          </cell>
          <cell r="K973">
            <v>0.14203750849999999</v>
          </cell>
          <cell r="L973">
            <v>0.14541966009999999</v>
          </cell>
          <cell r="M973">
            <v>0.14865511949999999</v>
          </cell>
          <cell r="N973">
            <v>0.1516943177</v>
          </cell>
          <cell r="O973">
            <v>0.15449703070000001</v>
          </cell>
          <cell r="P973">
            <v>0.1570177874</v>
          </cell>
          <cell r="Q973">
            <v>0.15922798290000001</v>
          </cell>
          <cell r="R973">
            <v>0.1611445521</v>
          </cell>
          <cell r="S973">
            <v>0.1628290932</v>
          </cell>
          <cell r="T973">
            <v>0.16437662189999999</v>
          </cell>
          <cell r="U973">
            <v>0.16589756859999999</v>
          </cell>
          <cell r="V973">
            <v>0.16742963120000001</v>
          </cell>
          <cell r="W973">
            <v>0.1691264535</v>
          </cell>
          <cell r="X973">
            <v>0.1710277701</v>
          </cell>
          <cell r="Y973">
            <v>0.1731571777</v>
          </cell>
          <cell r="Z973">
            <v>0.17552934419999999</v>
          </cell>
          <cell r="AA973">
            <v>0.1779276444</v>
          </cell>
          <cell r="AB973">
            <v>0.18053975110000001</v>
          </cell>
          <cell r="AC973">
            <v>0.18328842309999999</v>
          </cell>
          <cell r="AD973">
            <v>0.18610855339999999</v>
          </cell>
          <cell r="AE973">
            <v>0.18897075899999999</v>
          </cell>
          <cell r="AF973">
            <v>0.19186746360000001</v>
          </cell>
          <cell r="AG973">
            <v>0.1947970031</v>
          </cell>
          <cell r="AH973">
            <v>0.19775283390000001</v>
          </cell>
          <cell r="AI973">
            <v>0.20071989870000001</v>
          </cell>
          <cell r="AJ973">
            <v>0.20367759229999999</v>
          </cell>
          <cell r="AK973">
            <v>0.20660145390000001</v>
          </cell>
        </row>
        <row r="974">
          <cell r="A974" t="str">
            <v>ems_ci_co2_sega_0</v>
          </cell>
          <cell r="B974">
            <v>4.5519221050000001</v>
          </cell>
          <cell r="C974">
            <v>4.5839984229999997</v>
          </cell>
          <cell r="D974">
            <v>4.6148603750000001</v>
          </cell>
          <cell r="E974">
            <v>4.6585563199999998</v>
          </cell>
          <cell r="F974">
            <v>4.7205323259999998</v>
          </cell>
          <cell r="G974">
            <v>4.8019470279999998</v>
          </cell>
          <cell r="H974">
            <v>4.8987788959999996</v>
          </cell>
          <cell r="I974">
            <v>5.008814621</v>
          </cell>
          <cell r="J974">
            <v>5.1278087589999997</v>
          </cell>
          <cell r="K974">
            <v>5.2507832250000002</v>
          </cell>
          <cell r="L974">
            <v>5.3758131889999996</v>
          </cell>
          <cell r="M974">
            <v>5.4954202990000001</v>
          </cell>
          <cell r="N974">
            <v>5.6077721059999996</v>
          </cell>
          <cell r="O974">
            <v>5.7113816279999998</v>
          </cell>
          <cell r="P974">
            <v>5.8045679059999999</v>
          </cell>
          <cell r="Q974">
            <v>5.8862734899999998</v>
          </cell>
          <cell r="R974">
            <v>5.9571244190000003</v>
          </cell>
          <cell r="S974">
            <v>6.0193978259999996</v>
          </cell>
          <cell r="T974">
            <v>6.0766062209999996</v>
          </cell>
          <cell r="U974">
            <v>6.1328319410000001</v>
          </cell>
          <cell r="V974">
            <v>6.1894685899999997</v>
          </cell>
          <cell r="W974">
            <v>6.2521960099999996</v>
          </cell>
          <cell r="X974">
            <v>6.3224830870000002</v>
          </cell>
          <cell r="Y974">
            <v>6.4012021360000002</v>
          </cell>
          <cell r="Z974">
            <v>6.4888953970000003</v>
          </cell>
          <cell r="AA974">
            <v>6.5775547540000003</v>
          </cell>
          <cell r="AB974">
            <v>6.6741180230000001</v>
          </cell>
          <cell r="AC974">
            <v>6.7757297830000001</v>
          </cell>
          <cell r="AD974">
            <v>6.8799831789999999</v>
          </cell>
          <cell r="AE974">
            <v>6.985792</v>
          </cell>
          <cell r="AF974">
            <v>7.0928761639999998</v>
          </cell>
          <cell r="AG974">
            <v>7.2011741550000004</v>
          </cell>
          <cell r="AH974">
            <v>7.3104440730000002</v>
          </cell>
          <cell r="AI974">
            <v>7.4201292839999997</v>
          </cell>
          <cell r="AJ974">
            <v>7.5294680649999997</v>
          </cell>
          <cell r="AK974">
            <v>7.6375561599999999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</row>
        <row r="976">
          <cell r="A976" t="str">
            <v>ems_mat_co2_sega_0</v>
          </cell>
          <cell r="B976">
            <v>0.31197599469999998</v>
          </cell>
          <cell r="C976">
            <v>0.31417441559999998</v>
          </cell>
          <cell r="D976">
            <v>0.31628960740000001</v>
          </cell>
          <cell r="E976">
            <v>0.31928440499999999</v>
          </cell>
          <cell r="F976">
            <v>0.32353206680000002</v>
          </cell>
          <cell r="G976">
            <v>0.32911200239999999</v>
          </cell>
          <cell r="H976">
            <v>0.33574858740000002</v>
          </cell>
          <cell r="I976">
            <v>0.34329012780000001</v>
          </cell>
          <cell r="J976">
            <v>0.35144565280000001</v>
          </cell>
          <cell r="K976">
            <v>0.35987397840000002</v>
          </cell>
          <cell r="L976">
            <v>0.36844318209999999</v>
          </cell>
          <cell r="M976">
            <v>0.37664071850000003</v>
          </cell>
          <cell r="N976">
            <v>0.3843409968</v>
          </cell>
          <cell r="O976">
            <v>0.39144210330000001</v>
          </cell>
          <cell r="P976">
            <v>0.39782883000000002</v>
          </cell>
          <cell r="Q976">
            <v>0.40342870199999997</v>
          </cell>
          <cell r="R976">
            <v>0.40828462630000001</v>
          </cell>
          <cell r="S976">
            <v>0.41255267130000001</v>
          </cell>
          <cell r="T976">
            <v>0.4164735745</v>
          </cell>
          <cell r="U976">
            <v>0.42032712799999999</v>
          </cell>
          <cell r="V976">
            <v>0.42420884530000003</v>
          </cell>
          <cell r="W976">
            <v>0.42850800700000002</v>
          </cell>
          <cell r="X976">
            <v>0.43332528640000001</v>
          </cell>
          <cell r="Y976">
            <v>0.43872046949999999</v>
          </cell>
          <cell r="Z976">
            <v>0.44473072009999998</v>
          </cell>
          <cell r="AA976">
            <v>0.45080718409999998</v>
          </cell>
          <cell r="AB976">
            <v>0.45742536010000001</v>
          </cell>
          <cell r="AC976">
            <v>0.46438954560000001</v>
          </cell>
          <cell r="AD976">
            <v>0.47153478139999999</v>
          </cell>
          <cell r="AE976">
            <v>0.47878662170000003</v>
          </cell>
          <cell r="AF976">
            <v>0.48612587039999999</v>
          </cell>
          <cell r="AG976">
            <v>0.49354831139999999</v>
          </cell>
          <cell r="AH976">
            <v>0.5010373655</v>
          </cell>
          <cell r="AI976">
            <v>0.50855488270000004</v>
          </cell>
          <cell r="AJ976">
            <v>0.51604865659999999</v>
          </cell>
          <cell r="AK976">
            <v>0.52345671179999997</v>
          </cell>
        </row>
        <row r="977">
          <cell r="A977" t="str">
            <v>ems_ci_co2_seco_0</v>
          </cell>
          <cell r="B977">
            <v>4.5405955139999996</v>
          </cell>
          <cell r="C977">
            <v>4.5725920130000004</v>
          </cell>
          <cell r="D977">
            <v>4.6033771659999996</v>
          </cell>
          <cell r="E977">
            <v>4.6469643749999996</v>
          </cell>
          <cell r="F977">
            <v>4.7087861579999997</v>
          </cell>
          <cell r="G977">
            <v>4.7899982679999997</v>
          </cell>
          <cell r="H977">
            <v>4.8865891819999998</v>
          </cell>
          <cell r="I977">
            <v>4.996351099</v>
          </cell>
          <cell r="J977">
            <v>5.1150491389999999</v>
          </cell>
          <cell r="K977">
            <v>5.2377176040000002</v>
          </cell>
          <cell r="L977">
            <v>5.3624364529999999</v>
          </cell>
          <cell r="M977">
            <v>5.4817459409999998</v>
          </cell>
          <cell r="N977">
            <v>5.5938181809999996</v>
          </cell>
          <cell r="O977">
            <v>5.6971698919999998</v>
          </cell>
          <cell r="P977">
            <v>5.790124295</v>
          </cell>
          <cell r="Q977">
            <v>5.8716265730000003</v>
          </cell>
          <cell r="R977">
            <v>5.9423012049999997</v>
          </cell>
          <cell r="S977">
            <v>6.0044196599999999</v>
          </cell>
          <cell r="T977">
            <v>6.061485706</v>
          </cell>
          <cell r="U977">
            <v>6.1175715210000003</v>
          </cell>
          <cell r="V977">
            <v>6.1740672419999996</v>
          </cell>
          <cell r="W977">
            <v>6.2366385790000001</v>
          </cell>
          <cell r="X977">
            <v>6.306750761</v>
          </cell>
          <cell r="Y977">
            <v>6.3852739339999998</v>
          </cell>
          <cell r="Z977">
            <v>6.4727489880000002</v>
          </cell>
          <cell r="AA977">
            <v>6.5611877329999997</v>
          </cell>
          <cell r="AB977">
            <v>6.6575107219999996</v>
          </cell>
          <cell r="AC977">
            <v>6.7588696419999996</v>
          </cell>
          <cell r="AD977">
            <v>6.8628636219999999</v>
          </cell>
          <cell r="AE977">
            <v>6.968409158</v>
          </cell>
          <cell r="AF977">
            <v>7.0752268620000001</v>
          </cell>
          <cell r="AG977">
            <v>7.1832553729999997</v>
          </cell>
          <cell r="AH977">
            <v>7.2922533930000002</v>
          </cell>
          <cell r="AI977">
            <v>7.401665672</v>
          </cell>
          <cell r="AJ977">
            <v>7.5107323839999998</v>
          </cell>
          <cell r="AK977">
            <v>7.6185515209999997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</row>
        <row r="979">
          <cell r="A979" t="str">
            <v>ems_mat_co2_seco_0</v>
          </cell>
          <cell r="B979">
            <v>0.31119970200000002</v>
          </cell>
          <cell r="C979">
            <v>0.31339265259999999</v>
          </cell>
          <cell r="D979">
            <v>0.31550258110000001</v>
          </cell>
          <cell r="E979">
            <v>0.31848992669999998</v>
          </cell>
          <cell r="F979">
            <v>0.322727019</v>
          </cell>
          <cell r="G979">
            <v>0.32829307000000002</v>
          </cell>
          <cell r="H979">
            <v>0.33491314119999999</v>
          </cell>
          <cell r="I979">
            <v>0.3424359159</v>
          </cell>
          <cell r="J979">
            <v>0.3505711474</v>
          </cell>
          <cell r="K979">
            <v>0.35897850079999999</v>
          </cell>
          <cell r="L979">
            <v>0.36752638160000001</v>
          </cell>
          <cell r="M979">
            <v>0.37570352000000001</v>
          </cell>
          <cell r="N979">
            <v>0.38338463760000002</v>
          </cell>
          <cell r="O979">
            <v>0.39046807439999998</v>
          </cell>
          <cell r="P979">
            <v>0.39683890890000001</v>
          </cell>
          <cell r="Q979">
            <v>0.40242484670000001</v>
          </cell>
          <cell r="R979">
            <v>0.40726868799999999</v>
          </cell>
          <cell r="S979">
            <v>0.41152611280000001</v>
          </cell>
          <cell r="T979">
            <v>0.4154372596</v>
          </cell>
          <cell r="U979">
            <v>0.41928122420000002</v>
          </cell>
          <cell r="V979">
            <v>0.42315328260000001</v>
          </cell>
          <cell r="W979">
            <v>0.42744174660000001</v>
          </cell>
          <cell r="X979">
            <v>0.43224703920000002</v>
          </cell>
          <cell r="Y979">
            <v>0.43762879739999999</v>
          </cell>
          <cell r="Z979">
            <v>0.44362409260000002</v>
          </cell>
          <cell r="AA979">
            <v>0.44968543649999998</v>
          </cell>
          <cell r="AB979">
            <v>0.45628714440000001</v>
          </cell>
          <cell r="AC979">
            <v>0.4632340009</v>
          </cell>
          <cell r="AD979">
            <v>0.47036145709999999</v>
          </cell>
          <cell r="AE979">
            <v>0.47759525260000002</v>
          </cell>
          <cell r="AF979">
            <v>0.48491623900000003</v>
          </cell>
          <cell r="AG979">
            <v>0.49232021059999997</v>
          </cell>
          <cell r="AH979">
            <v>0.49979062969999999</v>
          </cell>
          <cell r="AI979">
            <v>0.50728944099999995</v>
          </cell>
          <cell r="AJ979">
            <v>0.51476456800000003</v>
          </cell>
          <cell r="AK979">
            <v>0.52215418979999995</v>
          </cell>
        </row>
        <row r="980">
          <cell r="A980" t="str">
            <v>ems_ci_co2_sech_0</v>
          </cell>
          <cell r="B980">
            <v>2.6042451780000002</v>
          </cell>
          <cell r="C980">
            <v>2.6288213690000002</v>
          </cell>
          <cell r="D980">
            <v>2.6542015800000001</v>
          </cell>
          <cell r="E980">
            <v>2.684795168</v>
          </cell>
          <cell r="F980">
            <v>2.7222521259999999</v>
          </cell>
          <cell r="G980">
            <v>2.7669076179999998</v>
          </cell>
          <cell r="H980">
            <v>2.81636716</v>
          </cell>
          <cell r="I980">
            <v>2.8700210629999998</v>
          </cell>
          <cell r="J980">
            <v>2.9264248830000001</v>
          </cell>
          <cell r="K980">
            <v>2.983759976</v>
          </cell>
          <cell r="L980">
            <v>3.042636296</v>
          </cell>
          <cell r="M980">
            <v>3.0988529929999999</v>
          </cell>
          <cell r="N980">
            <v>3.1519298899999999</v>
          </cell>
          <cell r="O980">
            <v>3.2017409319999999</v>
          </cell>
          <cell r="P980">
            <v>3.2477518500000002</v>
          </cell>
          <cell r="Q980">
            <v>3.2894593470000002</v>
          </cell>
          <cell r="R980">
            <v>3.3270626249999999</v>
          </cell>
          <cell r="S980">
            <v>3.361445545</v>
          </cell>
          <cell r="T980">
            <v>3.3939902289999999</v>
          </cell>
          <cell r="U980">
            <v>3.4262939829999999</v>
          </cell>
          <cell r="V980">
            <v>3.4580142060000001</v>
          </cell>
          <cell r="W980">
            <v>3.492189652</v>
          </cell>
          <cell r="X980">
            <v>3.5292989989999999</v>
          </cell>
          <cell r="Y980">
            <v>3.5694316650000002</v>
          </cell>
          <cell r="Z980">
            <v>3.6126846819999998</v>
          </cell>
          <cell r="AA980">
            <v>3.653579605</v>
          </cell>
          <cell r="AB980">
            <v>3.696928899</v>
          </cell>
          <cell r="AC980">
            <v>3.7420835330000002</v>
          </cell>
          <cell r="AD980">
            <v>3.7881016239999998</v>
          </cell>
          <cell r="AE980">
            <v>3.8346143499999998</v>
          </cell>
          <cell r="AF980">
            <v>3.881606085</v>
          </cell>
          <cell r="AG980">
            <v>3.929136916</v>
          </cell>
          <cell r="AH980">
            <v>3.9771655400000001</v>
          </cell>
          <cell r="AI980">
            <v>4.0254958509999996</v>
          </cell>
          <cell r="AJ980">
            <v>4.0738292740000004</v>
          </cell>
          <cell r="AK980">
            <v>4.1217248279999996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</row>
        <row r="982">
          <cell r="A982" t="str">
            <v>ems_mat_co2_sech_0</v>
          </cell>
          <cell r="B982">
            <v>0.17848933659999999</v>
          </cell>
          <cell r="C982">
            <v>0.18016071819999999</v>
          </cell>
          <cell r="D982">
            <v>0.1818749754</v>
          </cell>
          <cell r="E982">
            <v>0.1839436948</v>
          </cell>
          <cell r="F982">
            <v>0.1864884463</v>
          </cell>
          <cell r="G982">
            <v>0.18953722009999999</v>
          </cell>
          <cell r="H982">
            <v>0.19292715960000001</v>
          </cell>
          <cell r="I982">
            <v>0.19661498299999999</v>
          </cell>
          <cell r="J982">
            <v>0.20049859319999999</v>
          </cell>
          <cell r="K982">
            <v>0.20444974439999999</v>
          </cell>
          <cell r="L982">
            <v>0.20850707299999999</v>
          </cell>
          <cell r="M982">
            <v>0.21238104569999999</v>
          </cell>
          <cell r="N982">
            <v>0.21603794130000001</v>
          </cell>
          <cell r="O982">
            <v>0.21946924910000001</v>
          </cell>
          <cell r="P982">
            <v>0.22263882199999999</v>
          </cell>
          <cell r="Q982">
            <v>0.22551271170000001</v>
          </cell>
          <cell r="R982">
            <v>0.22810520030000001</v>
          </cell>
          <cell r="S982">
            <v>0.2304776392</v>
          </cell>
          <cell r="T982">
            <v>0.23272567829999999</v>
          </cell>
          <cell r="U982">
            <v>0.2349597702</v>
          </cell>
          <cell r="V982">
            <v>0.23715719560000001</v>
          </cell>
          <cell r="W982">
            <v>0.23952667699999999</v>
          </cell>
          <cell r="X982">
            <v>0.24210140459999999</v>
          </cell>
          <cell r="Y982">
            <v>0.24488746289999999</v>
          </cell>
          <cell r="Z982">
            <v>0.2478911566</v>
          </cell>
          <cell r="AA982">
            <v>0.25073564230000001</v>
          </cell>
          <cell r="AB982">
            <v>0.25374983490000003</v>
          </cell>
          <cell r="AC982">
            <v>0.25688825570000001</v>
          </cell>
          <cell r="AD982">
            <v>0.26008517469999998</v>
          </cell>
          <cell r="AE982">
            <v>0.26331435460000002</v>
          </cell>
          <cell r="AF982">
            <v>0.26657409389999998</v>
          </cell>
          <cell r="AG982">
            <v>0.26986814460000003</v>
          </cell>
          <cell r="AH982">
            <v>0.27319345049999999</v>
          </cell>
          <cell r="AI982">
            <v>0.27653639359999999</v>
          </cell>
          <cell r="AJ982">
            <v>0.2798763601</v>
          </cell>
          <cell r="AK982">
            <v>0.2831830213</v>
          </cell>
        </row>
        <row r="983">
          <cell r="A983" t="str">
            <v>ems_ci_co2_seot_0</v>
          </cell>
          <cell r="B983">
            <v>1.7904729580000001</v>
          </cell>
          <cell r="C983">
            <v>1.803077649</v>
          </cell>
          <cell r="D983">
            <v>1.8153186020000001</v>
          </cell>
          <cell r="E983">
            <v>1.8326372710000001</v>
          </cell>
          <cell r="F983">
            <v>1.857115603</v>
          </cell>
          <cell r="G983">
            <v>1.88919126</v>
          </cell>
          <cell r="H983">
            <v>1.927290999</v>
          </cell>
          <cell r="I983">
            <v>1.9705663019999999</v>
          </cell>
          <cell r="J983">
            <v>2.0173633880000001</v>
          </cell>
          <cell r="K983">
            <v>2.0657309750000001</v>
          </cell>
          <cell r="L983">
            <v>2.1149077109999999</v>
          </cell>
          <cell r="M983">
            <v>2.1619518590000002</v>
          </cell>
          <cell r="N983">
            <v>2.2061536519999998</v>
          </cell>
          <cell r="O983">
            <v>2.2469348810000001</v>
          </cell>
          <cell r="P983">
            <v>2.2836299499999999</v>
          </cell>
          <cell r="Q983">
            <v>2.315806206</v>
          </cell>
          <cell r="R983">
            <v>2.3436851359999999</v>
          </cell>
          <cell r="S983">
            <v>2.3681368439999999</v>
          </cell>
          <cell r="T983">
            <v>2.390523161</v>
          </cell>
          <cell r="U983">
            <v>2.412439548</v>
          </cell>
          <cell r="V983">
            <v>2.4344376969999999</v>
          </cell>
          <cell r="W983">
            <v>2.4587567240000001</v>
          </cell>
          <cell r="X983">
            <v>2.4859785599999999</v>
          </cell>
          <cell r="Y983">
            <v>2.516456008</v>
          </cell>
          <cell r="Z983">
            <v>2.5504164569999999</v>
          </cell>
          <cell r="AA983">
            <v>2.5847386769999998</v>
          </cell>
          <cell r="AB983">
            <v>2.622165571</v>
          </cell>
          <cell r="AC983">
            <v>2.6615740040000002</v>
          </cell>
          <cell r="AD983">
            <v>2.7020164640000002</v>
          </cell>
          <cell r="AE983">
            <v>2.7430696289999998</v>
          </cell>
          <cell r="AF983">
            <v>2.7846338030000002</v>
          </cell>
          <cell r="AG983">
            <v>2.8266996849999999</v>
          </cell>
          <cell r="AH983">
            <v>2.8691871949999999</v>
          </cell>
          <cell r="AI983">
            <v>2.9118885149999998</v>
          </cell>
          <cell r="AJ983">
            <v>2.954508868</v>
          </cell>
          <cell r="AK983">
            <v>2.9966912479999999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</row>
        <row r="985">
          <cell r="A985" t="str">
            <v>ems_mat_co2_seot_0</v>
          </cell>
          <cell r="B985">
            <v>0.1227229629</v>
          </cell>
          <cell r="C985">
            <v>0.1235877626</v>
          </cell>
          <cell r="D985">
            <v>0.12441982209999999</v>
          </cell>
          <cell r="E985">
            <v>0.12559789490000001</v>
          </cell>
          <cell r="F985">
            <v>0.12726881079999999</v>
          </cell>
          <cell r="G985">
            <v>0.12946380730000001</v>
          </cell>
          <cell r="H985">
            <v>0.1320744613</v>
          </cell>
          <cell r="I985">
            <v>0.1350411004</v>
          </cell>
          <cell r="J985">
            <v>0.1382492645</v>
          </cell>
          <cell r="K985">
            <v>0.1415647411</v>
          </cell>
          <cell r="L985">
            <v>0.1449356352</v>
          </cell>
          <cell r="M985">
            <v>0.1481603255</v>
          </cell>
          <cell r="N985">
            <v>0.15118940780000001</v>
          </cell>
          <cell r="O985">
            <v>0.15398279209999999</v>
          </cell>
          <cell r="P985">
            <v>0.15649515850000001</v>
          </cell>
          <cell r="Q985">
            <v>0.15869799749999999</v>
          </cell>
          <cell r="R985">
            <v>0.1606081875</v>
          </cell>
          <cell r="S985">
            <v>0.1622871216</v>
          </cell>
          <cell r="T985">
            <v>0.16382949939999999</v>
          </cell>
          <cell r="U985">
            <v>0.16534538360000001</v>
          </cell>
          <cell r="V985">
            <v>0.16687234679999999</v>
          </cell>
          <cell r="W985">
            <v>0.1685635214</v>
          </cell>
          <cell r="X985">
            <v>0.17045850949999999</v>
          </cell>
          <cell r="Y985">
            <v>0.1725808294</v>
          </cell>
          <cell r="Z985">
            <v>0.17494510020000001</v>
          </cell>
          <cell r="AA985">
            <v>0.1773354177</v>
          </cell>
          <cell r="AB985">
            <v>0.1799388301</v>
          </cell>
          <cell r="AC985">
            <v>0.18267835330000001</v>
          </cell>
          <cell r="AD985">
            <v>0.1854890968</v>
          </cell>
          <cell r="AE985">
            <v>0.18834177569999999</v>
          </cell>
          <cell r="AF985">
            <v>0.19122883869999999</v>
          </cell>
          <cell r="AG985">
            <v>0.19414862729999999</v>
          </cell>
          <cell r="AH985">
            <v>0.1970946197</v>
          </cell>
          <cell r="AI985">
            <v>0.2000518087</v>
          </cell>
          <cell r="AJ985">
            <v>0.2029996577</v>
          </cell>
          <cell r="AK985">
            <v>0.20591378739999999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7153.1293370000003</v>
          </cell>
          <cell r="D18">
            <v>7258.5962079999999</v>
          </cell>
          <cell r="E18">
            <v>7391.3178520000001</v>
          </cell>
          <cell r="F18">
            <v>7539.1485720000001</v>
          </cell>
          <cell r="G18">
            <v>7695.5937000000004</v>
          </cell>
          <cell r="H18">
            <v>7856.9131649999999</v>
          </cell>
          <cell r="I18">
            <v>8021.913595</v>
          </cell>
          <cell r="J18">
            <v>8191.784396</v>
          </cell>
          <cell r="K18">
            <v>8368.6083560000006</v>
          </cell>
          <cell r="L18">
            <v>8555.1823230000009</v>
          </cell>
          <cell r="M18">
            <v>8748.6786969999994</v>
          </cell>
          <cell r="N18">
            <v>8947.5562580000005</v>
          </cell>
          <cell r="O18">
            <v>9150.0714910000006</v>
          </cell>
          <cell r="P18">
            <v>9354.7560730000005</v>
          </cell>
          <cell r="Q18">
            <v>9560.5396669999991</v>
          </cell>
          <cell r="R18">
            <v>9766.6287439999996</v>
          </cell>
          <cell r="S18">
            <v>9972.3047399999996</v>
          </cell>
          <cell r="T18">
            <v>10176.76973</v>
          </cell>
          <cell r="U18">
            <v>10379.10441</v>
          </cell>
          <cell r="V18">
            <v>10576.69882</v>
          </cell>
          <cell r="W18">
            <v>10770.561750000001</v>
          </cell>
          <cell r="X18">
            <v>10960.04759</v>
          </cell>
          <cell r="Y18">
            <v>11144.58395</v>
          </cell>
          <cell r="Z18">
            <v>11323.74655</v>
          </cell>
          <cell r="AA18">
            <v>11492.2785</v>
          </cell>
          <cell r="AB18">
            <v>11654.149230000001</v>
          </cell>
          <cell r="AC18">
            <v>11810.033509999999</v>
          </cell>
          <cell r="AD18">
            <v>11960.16798</v>
          </cell>
          <cell r="AE18">
            <v>12104.403770000001</v>
          </cell>
          <cell r="AF18">
            <v>12242.41979</v>
          </cell>
          <cell r="AG18">
            <v>12373.90337</v>
          </cell>
          <cell r="AH18">
            <v>12498.640170000001</v>
          </cell>
          <cell r="AI18">
            <v>12616.5074</v>
          </cell>
          <cell r="AJ18">
            <v>12727.403780000001</v>
          </cell>
          <cell r="AK18">
            <v>12831.16439</v>
          </cell>
        </row>
        <row r="19">
          <cell r="A19" t="str">
            <v>auto_ca_cfut_0</v>
          </cell>
          <cell r="B19">
            <v>7095.7005250000002</v>
          </cell>
          <cell r="C19">
            <v>7153.1293370000003</v>
          </cell>
          <cell r="D19">
            <v>7258.5962079999999</v>
          </cell>
          <cell r="E19">
            <v>7391.3178520000001</v>
          </cell>
          <cell r="F19">
            <v>7539.1485720000001</v>
          </cell>
          <cell r="G19">
            <v>7695.5937000000004</v>
          </cell>
          <cell r="H19">
            <v>7856.3300360000003</v>
          </cell>
          <cell r="I19">
            <v>8020.3204450000003</v>
          </cell>
          <cell r="J19">
            <v>8187.1261539999996</v>
          </cell>
          <cell r="K19">
            <v>8356.3430690000005</v>
          </cell>
          <cell r="L19">
            <v>8529.1123260000004</v>
          </cell>
          <cell r="M19">
            <v>8702.2499680000001</v>
          </cell>
          <cell r="N19">
            <v>8874.8043969999999</v>
          </cell>
          <cell r="O19">
            <v>9046.0390320000006</v>
          </cell>
          <cell r="P19">
            <v>9215.5069509999994</v>
          </cell>
          <cell r="Q19">
            <v>9382.85635</v>
          </cell>
          <cell r="R19">
            <v>9547.6247299999995</v>
          </cell>
          <cell r="S19">
            <v>9709.1338460000006</v>
          </cell>
          <cell r="T19">
            <v>9866.5035709999993</v>
          </cell>
          <cell r="U19">
            <v>10018.74483</v>
          </cell>
          <cell r="V19">
            <v>10163.3812</v>
          </cell>
          <cell r="W19">
            <v>10301.26485</v>
          </cell>
          <cell r="X19">
            <v>10431.7081</v>
          </cell>
          <cell r="Y19">
            <v>10553.972159999999</v>
          </cell>
          <cell r="Z19">
            <v>10667.332189999999</v>
          </cell>
          <cell r="AA19">
            <v>10766.728649999999</v>
          </cell>
          <cell r="AB19">
            <v>10855.11757</v>
          </cell>
          <cell r="AC19">
            <v>10932.596809999999</v>
          </cell>
          <cell r="AD19">
            <v>10998.93593</v>
          </cell>
          <cell r="AE19">
            <v>11053.680120000001</v>
          </cell>
          <cell r="AF19">
            <v>11096.35122</v>
          </cell>
          <cell r="AG19">
            <v>11126.593580000001</v>
          </cell>
          <cell r="AH19">
            <v>11144.22991</v>
          </cell>
          <cell r="AI19">
            <v>11149.236370000001</v>
          </cell>
          <cell r="AJ19">
            <v>11141.672689999999</v>
          </cell>
          <cell r="AK19">
            <v>11121.60858</v>
          </cell>
        </row>
        <row r="20">
          <cell r="A20" t="str">
            <v>auto_cb_cfut_2</v>
          </cell>
          <cell r="B20">
            <v>8251.256421</v>
          </cell>
          <cell r="C20">
            <v>8193.8534770000006</v>
          </cell>
          <cell r="D20">
            <v>8190.3903579999997</v>
          </cell>
          <cell r="E20">
            <v>8220.0127680000005</v>
          </cell>
          <cell r="F20">
            <v>8270.2631519999995</v>
          </cell>
          <cell r="G20">
            <v>8334.1783919999998</v>
          </cell>
          <cell r="H20">
            <v>8407.5007299999997</v>
          </cell>
          <cell r="I20">
            <v>8488.4589140000007</v>
          </cell>
          <cell r="J20">
            <v>8577.5896819999998</v>
          </cell>
          <cell r="K20">
            <v>8676.3738059999996</v>
          </cell>
          <cell r="L20">
            <v>8787.0582419999992</v>
          </cell>
          <cell r="M20">
            <v>8906.6772569999994</v>
          </cell>
          <cell r="N20">
            <v>9033.4956309999998</v>
          </cell>
          <cell r="O20">
            <v>9165.589473</v>
          </cell>
          <cell r="P20">
            <v>9301.2894899999992</v>
          </cell>
          <cell r="Q20">
            <v>9439.3035319999999</v>
          </cell>
          <cell r="R20">
            <v>9578.616403</v>
          </cell>
          <cell r="S20">
            <v>9718.3132170000008</v>
          </cell>
          <cell r="T20">
            <v>9857.4410819999994</v>
          </cell>
          <cell r="U20">
            <v>9994.9678280000007</v>
          </cell>
          <cell r="V20">
            <v>10128.34973</v>
          </cell>
          <cell r="W20">
            <v>10258.345600000001</v>
          </cell>
          <cell r="X20">
            <v>10384.23034</v>
          </cell>
          <cell r="Y20">
            <v>10505.355809999999</v>
          </cell>
          <cell r="Z20">
            <v>10621.211670000001</v>
          </cell>
          <cell r="AA20">
            <v>10726.993899999999</v>
          </cell>
          <cell r="AB20">
            <v>10826.12451</v>
          </cell>
          <cell r="AC20">
            <v>10919.119989999999</v>
          </cell>
          <cell r="AD20">
            <v>11006.140149999999</v>
          </cell>
          <cell r="AE20">
            <v>11087.02089</v>
          </cell>
          <cell r="AF20">
            <v>11161.44925</v>
          </cell>
          <cell r="AG20">
            <v>11229.114960000001</v>
          </cell>
          <cell r="AH20">
            <v>11289.789580000001</v>
          </cell>
          <cell r="AI20">
            <v>11343.3264</v>
          </cell>
          <cell r="AJ20">
            <v>11389.607389999999</v>
          </cell>
          <cell r="AK20">
            <v>11428.475979999999</v>
          </cell>
        </row>
        <row r="21">
          <cell r="A21" t="str">
            <v>auto_cb_cfut_0</v>
          </cell>
          <cell r="B21">
            <v>8251.256421</v>
          </cell>
          <cell r="C21">
            <v>8193.8534770000006</v>
          </cell>
          <cell r="D21">
            <v>8190.3903579999997</v>
          </cell>
          <cell r="E21">
            <v>8220.0127680000005</v>
          </cell>
          <cell r="F21">
            <v>8270.2631519999995</v>
          </cell>
          <cell r="G21">
            <v>8334.1783919999998</v>
          </cell>
          <cell r="H21">
            <v>8406.9532849999996</v>
          </cell>
          <cell r="I21">
            <v>8486.9905589999998</v>
          </cell>
          <cell r="J21">
            <v>8573.3319350000002</v>
          </cell>
          <cell r="K21">
            <v>8665.1234490000006</v>
          </cell>
          <cell r="L21">
            <v>8763.0238140000001</v>
          </cell>
          <cell r="M21">
            <v>8863.6725650000008</v>
          </cell>
          <cell r="N21">
            <v>8965.8270420000008</v>
          </cell>
          <cell r="O21">
            <v>9068.4641159999992</v>
          </cell>
          <cell r="P21">
            <v>9170.8611619999992</v>
          </cell>
          <cell r="Q21">
            <v>9272.4244369999997</v>
          </cell>
          <cell r="R21">
            <v>9372.5018230000005</v>
          </cell>
          <cell r="S21">
            <v>9470.2830740000009</v>
          </cell>
          <cell r="T21">
            <v>9564.8055820000009</v>
          </cell>
          <cell r="U21">
            <v>9655.0314199999993</v>
          </cell>
          <cell r="V21">
            <v>9738.5934410000009</v>
          </cell>
          <cell r="W21">
            <v>9816.1512870000006</v>
          </cell>
          <cell r="X21">
            <v>9886.9917299999997</v>
          </cell>
          <cell r="Y21">
            <v>9950.3719280000005</v>
          </cell>
          <cell r="Z21">
            <v>10005.57411</v>
          </cell>
          <cell r="AA21">
            <v>10048.057650000001</v>
          </cell>
          <cell r="AB21">
            <v>10080.39921</v>
          </cell>
          <cell r="AC21">
            <v>10102.67236</v>
          </cell>
          <cell r="AD21">
            <v>10114.69203</v>
          </cell>
          <cell r="AE21">
            <v>10116.094419999999</v>
          </cell>
          <cell r="AF21">
            <v>10106.50345</v>
          </cell>
          <cell r="AG21">
            <v>10085.65357</v>
          </cell>
          <cell r="AH21">
            <v>10053.439469999999</v>
          </cell>
          <cell r="AI21">
            <v>10009.89905</v>
          </cell>
          <cell r="AJ21">
            <v>9955.1582340000004</v>
          </cell>
          <cell r="AK21">
            <v>9889.3710129999999</v>
          </cell>
        </row>
        <row r="22">
          <cell r="A22" t="str">
            <v>auto_cc_cfut_2</v>
          </cell>
          <cell r="B22">
            <v>6777.6024520000001</v>
          </cell>
          <cell r="C22">
            <v>6654.5199869999997</v>
          </cell>
          <cell r="D22">
            <v>6574.6187069999996</v>
          </cell>
          <cell r="E22">
            <v>6522.812156</v>
          </cell>
          <cell r="F22">
            <v>6489.9023790000001</v>
          </cell>
          <cell r="G22">
            <v>6470.5464709999997</v>
          </cell>
          <cell r="H22">
            <v>6461.3199450000002</v>
          </cell>
          <cell r="I22">
            <v>6460.5510530000001</v>
          </cell>
          <cell r="J22">
            <v>6468.1825870000002</v>
          </cell>
          <cell r="K22">
            <v>6484.8721450000003</v>
          </cell>
          <cell r="L22">
            <v>6511.8639949999997</v>
          </cell>
          <cell r="M22">
            <v>6546.9208820000003</v>
          </cell>
          <cell r="N22">
            <v>6588.6562249999997</v>
          </cell>
          <cell r="O22">
            <v>6635.5589389999996</v>
          </cell>
          <cell r="P22">
            <v>6686.2905430000001</v>
          </cell>
          <cell r="Q22">
            <v>6739.7731389999999</v>
          </cell>
          <cell r="R22">
            <v>6795.1305149999998</v>
          </cell>
          <cell r="S22">
            <v>6851.5767390000001</v>
          </cell>
          <cell r="T22">
            <v>6908.3264380000001</v>
          </cell>
          <cell r="U22">
            <v>6964.5653309999998</v>
          </cell>
          <cell r="V22">
            <v>7018.5067010000002</v>
          </cell>
          <cell r="W22">
            <v>7070.5406640000001</v>
          </cell>
          <cell r="X22">
            <v>7120.0990860000002</v>
          </cell>
          <cell r="Y22">
            <v>7166.6730390000002</v>
          </cell>
          <cell r="Z22">
            <v>7209.848129</v>
          </cell>
          <cell r="AA22">
            <v>7246.4585820000002</v>
          </cell>
          <cell r="AB22">
            <v>7278.6343290000004</v>
          </cell>
          <cell r="AC22">
            <v>7306.6575430000003</v>
          </cell>
          <cell r="AD22">
            <v>7330.6034719999998</v>
          </cell>
          <cell r="AE22">
            <v>7350.3524450000004</v>
          </cell>
          <cell r="AF22">
            <v>7365.6930469999998</v>
          </cell>
          <cell r="AG22">
            <v>7376.4140429999998</v>
          </cell>
          <cell r="AH22">
            <v>7382.3547559999997</v>
          </cell>
          <cell r="AI22">
            <v>7383.4086880000004</v>
          </cell>
          <cell r="AJ22">
            <v>7379.4948869999998</v>
          </cell>
          <cell r="AK22">
            <v>7370.5195729999996</v>
          </cell>
        </row>
        <row r="23">
          <cell r="A23" t="str">
            <v>auto_cc_cfut_0</v>
          </cell>
          <cell r="B23">
            <v>6777.6024520000001</v>
          </cell>
          <cell r="C23">
            <v>6654.5199869999997</v>
          </cell>
          <cell r="D23">
            <v>6574.6187069999996</v>
          </cell>
          <cell r="E23">
            <v>6522.812156</v>
          </cell>
          <cell r="F23">
            <v>6489.9023790000001</v>
          </cell>
          <cell r="G23">
            <v>6470.5464709999997</v>
          </cell>
          <cell r="H23">
            <v>6460.9493329999996</v>
          </cell>
          <cell r="I23">
            <v>6459.5763960000004</v>
          </cell>
          <cell r="J23">
            <v>6465.3827039999996</v>
          </cell>
          <cell r="K23">
            <v>6477.4465469999996</v>
          </cell>
          <cell r="L23">
            <v>6495.9157850000001</v>
          </cell>
          <cell r="M23">
            <v>6518.2478449999999</v>
          </cell>
          <cell r="N23">
            <v>6543.3519420000002</v>
          </cell>
          <cell r="O23">
            <v>6570.3008060000002</v>
          </cell>
          <cell r="P23">
            <v>6598.3925179999997</v>
          </cell>
          <cell r="Q23">
            <v>6627.0411359999998</v>
          </cell>
          <cell r="R23">
            <v>6655.6532719999996</v>
          </cell>
          <cell r="S23">
            <v>6683.5592669999996</v>
          </cell>
          <cell r="T23">
            <v>6710.0119880000002</v>
          </cell>
          <cell r="U23">
            <v>6734.232172</v>
          </cell>
          <cell r="V23">
            <v>6754.5849079999998</v>
          </cell>
          <cell r="W23">
            <v>6771.4236080000001</v>
          </cell>
          <cell r="X23">
            <v>6784.2197980000001</v>
          </cell>
          <cell r="Y23">
            <v>6792.4378409999999</v>
          </cell>
          <cell r="Z23">
            <v>6795.5679140000002</v>
          </cell>
          <cell r="AA23">
            <v>6790.6665910000002</v>
          </cell>
          <cell r="AB23">
            <v>6779.3562099999999</v>
          </cell>
          <cell r="AC23">
            <v>6761.6768380000003</v>
          </cell>
          <cell r="AD23">
            <v>6737.5237710000001</v>
          </cell>
          <cell r="AE23">
            <v>6706.6906980000003</v>
          </cell>
          <cell r="AF23">
            <v>6668.9688079999996</v>
          </cell>
          <cell r="AG23">
            <v>6624.2214910000002</v>
          </cell>
          <cell r="AH23">
            <v>6572.4161620000004</v>
          </cell>
          <cell r="AI23">
            <v>6513.6162379999996</v>
          </cell>
          <cell r="AJ23">
            <v>6447.9494439999999</v>
          </cell>
          <cell r="AK23">
            <v>6375.5720840000004</v>
          </cell>
        </row>
        <row r="24">
          <cell r="A24" t="str">
            <v>auto_cd_cfut_2</v>
          </cell>
          <cell r="B24">
            <v>4159.6639080000004</v>
          </cell>
          <cell r="C24">
            <v>4059.2107940000001</v>
          </cell>
          <cell r="D24">
            <v>3983.7489350000001</v>
          </cell>
          <cell r="E24">
            <v>3924.4602540000001</v>
          </cell>
          <cell r="F24">
            <v>3875.9394729999999</v>
          </cell>
          <cell r="G24">
            <v>3835.0070190000001</v>
          </cell>
          <cell r="H24">
            <v>3799.612807</v>
          </cell>
          <cell r="I24">
            <v>3768.537143</v>
          </cell>
          <cell r="J24">
            <v>3741.2428319999999</v>
          </cell>
          <cell r="K24">
            <v>3717.728114</v>
          </cell>
          <cell r="L24">
            <v>3698.4477849999998</v>
          </cell>
          <cell r="M24">
            <v>3682.1921299999999</v>
          </cell>
          <cell r="N24">
            <v>3668.226823</v>
          </cell>
          <cell r="O24">
            <v>3655.7666939999999</v>
          </cell>
          <cell r="P24">
            <v>3644.1238189999999</v>
          </cell>
          <cell r="Q24">
            <v>3632.7637479999999</v>
          </cell>
          <cell r="R24">
            <v>3621.291866</v>
          </cell>
          <cell r="S24">
            <v>3609.408058</v>
          </cell>
          <cell r="T24">
            <v>3596.8608330000002</v>
          </cell>
          <cell r="U24">
            <v>3583.4199269999999</v>
          </cell>
          <cell r="V24">
            <v>3568.4360620000002</v>
          </cell>
          <cell r="W24">
            <v>3552.2279789999998</v>
          </cell>
          <cell r="X24">
            <v>3534.683951</v>
          </cell>
          <cell r="Y24">
            <v>3515.7031889999998</v>
          </cell>
          <cell r="Z24">
            <v>3495.2035839999999</v>
          </cell>
          <cell r="AA24">
            <v>3471.930456</v>
          </cell>
          <cell r="AB24">
            <v>3446.8363129999998</v>
          </cell>
          <cell r="AC24">
            <v>3420.1156999999998</v>
          </cell>
          <cell r="AD24">
            <v>3391.8969160000001</v>
          </cell>
          <cell r="AE24">
            <v>3362.2314649999998</v>
          </cell>
          <cell r="AF24">
            <v>3331.1242820000002</v>
          </cell>
          <cell r="AG24">
            <v>3298.567133</v>
          </cell>
          <cell r="AH24">
            <v>3264.5627420000001</v>
          </cell>
          <cell r="AI24">
            <v>3229.1342639999998</v>
          </cell>
          <cell r="AJ24">
            <v>3192.3217500000001</v>
          </cell>
          <cell r="AK24">
            <v>3154.1714700000002</v>
          </cell>
        </row>
        <row r="25">
          <cell r="A25" t="str">
            <v>auto_cd_cfut_0</v>
          </cell>
          <cell r="B25">
            <v>4159.6639080000004</v>
          </cell>
          <cell r="C25">
            <v>4059.2107940000001</v>
          </cell>
          <cell r="D25">
            <v>3983.7489350000001</v>
          </cell>
          <cell r="E25">
            <v>3924.4602540000001</v>
          </cell>
          <cell r="F25">
            <v>3875.9394729999999</v>
          </cell>
          <cell r="G25">
            <v>3835.0070190000001</v>
          </cell>
          <cell r="H25">
            <v>3799.424865</v>
          </cell>
          <cell r="I25">
            <v>3768.2511140000001</v>
          </cell>
          <cell r="J25">
            <v>3740.8627980000001</v>
          </cell>
          <cell r="K25">
            <v>3716.7535029999999</v>
          </cell>
          <cell r="L25">
            <v>3696.000364</v>
          </cell>
          <cell r="M25">
            <v>3677.2981960000002</v>
          </cell>
          <cell r="N25">
            <v>3660.0619379999998</v>
          </cell>
          <cell r="O25">
            <v>3643.7683320000001</v>
          </cell>
          <cell r="P25">
            <v>3628.0150410000001</v>
          </cell>
          <cell r="Q25">
            <v>3612.4876960000001</v>
          </cell>
          <cell r="R25">
            <v>3596.908715</v>
          </cell>
          <cell r="S25">
            <v>3581.0023000000001</v>
          </cell>
          <cell r="T25">
            <v>3564.485467</v>
          </cell>
          <cell r="U25">
            <v>3547.0795349999999</v>
          </cell>
          <cell r="V25">
            <v>3528.1085029999999</v>
          </cell>
          <cell r="W25">
            <v>3507.845002</v>
          </cell>
          <cell r="X25">
            <v>3486.1609539999999</v>
          </cell>
          <cell r="Y25">
            <v>3462.9310289999999</v>
          </cell>
          <cell r="Z25">
            <v>3438.0397440000002</v>
          </cell>
          <cell r="AA25">
            <v>3410.2432119999999</v>
          </cell>
          <cell r="AB25">
            <v>3380.3854799999999</v>
          </cell>
          <cell r="AC25">
            <v>3348.6026740000002</v>
          </cell>
          <cell r="AD25">
            <v>3314.9736400000002</v>
          </cell>
          <cell r="AE25">
            <v>3279.5184089999998</v>
          </cell>
          <cell r="AF25">
            <v>3242.2285280000001</v>
          </cell>
          <cell r="AG25">
            <v>3203.0965630000001</v>
          </cell>
          <cell r="AH25">
            <v>3162.1348159999998</v>
          </cell>
          <cell r="AI25">
            <v>3119.3800860000001</v>
          </cell>
          <cell r="AJ25">
            <v>3074.8870310000002</v>
          </cell>
          <cell r="AK25">
            <v>3028.7159299999998</v>
          </cell>
        </row>
        <row r="26">
          <cell r="A26" t="str">
            <v>auto_ce_cfut_2</v>
          </cell>
          <cell r="B26">
            <v>2503.7292430000002</v>
          </cell>
          <cell r="C26">
            <v>2445.7135539999999</v>
          </cell>
          <cell r="D26">
            <v>2401.9251129999998</v>
          </cell>
          <cell r="E26">
            <v>2366.7930719999999</v>
          </cell>
          <cell r="F26">
            <v>2336.91021</v>
          </cell>
          <cell r="G26">
            <v>2310.272457</v>
          </cell>
          <cell r="H26">
            <v>2285.5967959999998</v>
          </cell>
          <cell r="I26">
            <v>2262.1063290000002</v>
          </cell>
          <cell r="J26">
            <v>2239.4257720000001</v>
          </cell>
          <cell r="K26">
            <v>2217.5638079999999</v>
          </cell>
          <cell r="L26">
            <v>2196.8507760000002</v>
          </cell>
          <cell r="M26">
            <v>2176.711159</v>
          </cell>
          <cell r="N26">
            <v>2156.8353080000002</v>
          </cell>
          <cell r="O26">
            <v>2136.8693290000001</v>
          </cell>
          <cell r="P26">
            <v>2116.4987030000002</v>
          </cell>
          <cell r="Q26">
            <v>2095.487181</v>
          </cell>
          <cell r="R26">
            <v>2073.6781559999999</v>
          </cell>
          <cell r="S26">
            <v>2050.9756849999999</v>
          </cell>
          <cell r="T26">
            <v>2027.3204189999999</v>
          </cell>
          <cell r="U26">
            <v>2002.671423</v>
          </cell>
          <cell r="V26">
            <v>1976.7817130000001</v>
          </cell>
          <cell r="W26">
            <v>1949.8816449999999</v>
          </cell>
          <cell r="X26">
            <v>1921.986488</v>
          </cell>
          <cell r="Y26">
            <v>1893.111848</v>
          </cell>
          <cell r="Z26">
            <v>1863.275408</v>
          </cell>
          <cell r="AA26">
            <v>1831.950419</v>
          </cell>
          <cell r="AB26">
            <v>1799.62707</v>
          </cell>
          <cell r="AC26">
            <v>1766.4525610000001</v>
          </cell>
          <cell r="AD26">
            <v>1732.550645</v>
          </cell>
          <cell r="AE26">
            <v>1698.0099580000001</v>
          </cell>
          <cell r="AF26">
            <v>1662.892556</v>
          </cell>
          <cell r="AG26">
            <v>1627.247069</v>
          </cell>
          <cell r="AH26">
            <v>1591.120617</v>
          </cell>
          <cell r="AI26">
            <v>1554.565756</v>
          </cell>
          <cell r="AJ26">
            <v>1517.6416939999999</v>
          </cell>
          <cell r="AK26">
            <v>1480.411374</v>
          </cell>
        </row>
        <row r="27">
          <cell r="A27" t="str">
            <v>auto_ce_cfut_0</v>
          </cell>
          <cell r="B27">
            <v>2503.7292430000002</v>
          </cell>
          <cell r="C27">
            <v>2445.7135539999999</v>
          </cell>
          <cell r="D27">
            <v>2401.9251129999998</v>
          </cell>
          <cell r="E27">
            <v>2366.7930719999999</v>
          </cell>
          <cell r="F27">
            <v>2336.91021</v>
          </cell>
          <cell r="G27">
            <v>2310.272457</v>
          </cell>
          <cell r="H27">
            <v>2285.4911550000002</v>
          </cell>
          <cell r="I27">
            <v>2261.9914749999998</v>
          </cell>
          <cell r="J27">
            <v>2239.4189179999998</v>
          </cell>
          <cell r="K27">
            <v>2217.5177650000001</v>
          </cell>
          <cell r="L27">
            <v>2196.3848119999998</v>
          </cell>
          <cell r="M27">
            <v>2175.3416419999999</v>
          </cell>
          <cell r="N27">
            <v>2154.1108009999998</v>
          </cell>
          <cell r="O27">
            <v>2132.4444749999998</v>
          </cell>
          <cell r="P27">
            <v>2110.168228</v>
          </cell>
          <cell r="Q27">
            <v>2087.1701130000001</v>
          </cell>
          <cell r="R27">
            <v>2063.3743639999998</v>
          </cell>
          <cell r="S27">
            <v>2038.7192640000001</v>
          </cell>
          <cell r="T27">
            <v>2013.146536</v>
          </cell>
          <cell r="U27">
            <v>1986.601529</v>
          </cell>
          <cell r="V27">
            <v>1958.8294599999999</v>
          </cell>
          <cell r="W27">
            <v>1930.042976</v>
          </cell>
          <cell r="X27">
            <v>1900.2559739999999</v>
          </cell>
          <cell r="Y27">
            <v>1869.4811970000001</v>
          </cell>
          <cell r="Z27">
            <v>1837.7317849999999</v>
          </cell>
          <cell r="AA27">
            <v>1804.496936</v>
          </cell>
          <cell r="AB27">
            <v>1770.22921</v>
          </cell>
          <cell r="AC27">
            <v>1735.0589190000001</v>
          </cell>
          <cell r="AD27">
            <v>1699.0942480000001</v>
          </cell>
          <cell r="AE27">
            <v>1662.414213</v>
          </cell>
          <cell r="AF27">
            <v>1625.078215</v>
          </cell>
          <cell r="AG27">
            <v>1587.1384029999999</v>
          </cell>
          <cell r="AH27">
            <v>1548.6497400000001</v>
          </cell>
          <cell r="AI27">
            <v>1509.674984</v>
          </cell>
          <cell r="AJ27">
            <v>1470.2843580000001</v>
          </cell>
          <cell r="AK27">
            <v>1430.551643</v>
          </cell>
        </row>
        <row r="28">
          <cell r="A28" t="str">
            <v>auto_cf_cfut_2</v>
          </cell>
          <cell r="B28">
            <v>1243.6668460000001</v>
          </cell>
          <cell r="C28">
            <v>1212.193215</v>
          </cell>
          <cell r="D28">
            <v>1186.458167</v>
          </cell>
          <cell r="E28">
            <v>1163.5161599999999</v>
          </cell>
          <cell r="F28">
            <v>1141.603325</v>
          </cell>
          <cell r="G28">
            <v>1119.71515</v>
          </cell>
          <cell r="H28">
            <v>1097.2581190000001</v>
          </cell>
          <cell r="I28">
            <v>1073.8906750000001</v>
          </cell>
          <cell r="J28">
            <v>1049.452773</v>
          </cell>
          <cell r="K28">
            <v>1024.0501389999999</v>
          </cell>
          <cell r="L28">
            <v>997.9885276</v>
          </cell>
          <cell r="M28">
            <v>971.28263779999997</v>
          </cell>
          <cell r="N28">
            <v>944.02897829999995</v>
          </cell>
          <cell r="O28">
            <v>916.28177200000005</v>
          </cell>
          <cell r="P28">
            <v>888.08585110000001</v>
          </cell>
          <cell r="Q28">
            <v>859.4993594</v>
          </cell>
          <cell r="R28">
            <v>830.6025396</v>
          </cell>
          <cell r="S28">
            <v>801.49516870000002</v>
          </cell>
          <cell r="T28">
            <v>772.28749489999996</v>
          </cell>
          <cell r="U28">
            <v>743.09013890000006</v>
          </cell>
          <cell r="V28">
            <v>713.95754020000004</v>
          </cell>
          <cell r="W28">
            <v>685.03935490000003</v>
          </cell>
          <cell r="X28">
            <v>656.42506700000001</v>
          </cell>
          <cell r="Y28">
            <v>628.19146369999999</v>
          </cell>
          <cell r="Z28">
            <v>600.40307759999996</v>
          </cell>
          <cell r="AA28">
            <v>573.01954079999996</v>
          </cell>
          <cell r="AB28">
            <v>546.17216519999999</v>
          </cell>
          <cell r="AC28">
            <v>519.92878629999996</v>
          </cell>
          <cell r="AD28">
            <v>494.34961700000002</v>
          </cell>
          <cell r="AE28">
            <v>469.48191530000003</v>
          </cell>
          <cell r="AF28">
            <v>445.35978870000002</v>
          </cell>
          <cell r="AG28">
            <v>422.0066228</v>
          </cell>
          <cell r="AH28">
            <v>399.4384354</v>
          </cell>
          <cell r="AI28">
            <v>377.6666793</v>
          </cell>
          <cell r="AJ28">
            <v>356.69977319999998</v>
          </cell>
          <cell r="AK28">
            <v>336.54341470000003</v>
          </cell>
        </row>
        <row r="29">
          <cell r="A29" t="str">
            <v>auto_cf_cfut_0</v>
          </cell>
          <cell r="B29">
            <v>1243.6668460000001</v>
          </cell>
          <cell r="C29">
            <v>1212.193215</v>
          </cell>
          <cell r="D29">
            <v>1186.458167</v>
          </cell>
          <cell r="E29">
            <v>1163.5161599999999</v>
          </cell>
          <cell r="F29">
            <v>1141.603325</v>
          </cell>
          <cell r="G29">
            <v>1119.71515</v>
          </cell>
          <cell r="H29">
            <v>1097.221368</v>
          </cell>
          <cell r="I29">
            <v>1073.9221010000001</v>
          </cell>
          <cell r="J29">
            <v>1049.7652149999999</v>
          </cell>
          <cell r="K29">
            <v>1024.783514</v>
          </cell>
          <cell r="L29">
            <v>999.16471779999995</v>
          </cell>
          <cell r="M29">
            <v>972.82016969999995</v>
          </cell>
          <cell r="N29">
            <v>945.79377169999998</v>
          </cell>
          <cell r="O29">
            <v>918.13011459999996</v>
          </cell>
          <cell r="P29">
            <v>889.90112260000001</v>
          </cell>
          <cell r="Q29">
            <v>861.20777810000004</v>
          </cell>
          <cell r="R29">
            <v>832.17008380000004</v>
          </cell>
          <cell r="S29">
            <v>802.91423020000002</v>
          </cell>
          <cell r="T29">
            <v>773.56236550000006</v>
          </cell>
          <cell r="U29">
            <v>744.22704409999994</v>
          </cell>
          <cell r="V29">
            <v>714.96098270000005</v>
          </cell>
          <cell r="W29">
            <v>685.91153489999999</v>
          </cell>
          <cell r="X29">
            <v>657.17015660000004</v>
          </cell>
          <cell r="Y29">
            <v>628.81677409999998</v>
          </cell>
          <cell r="Z29">
            <v>600.91974470000002</v>
          </cell>
          <cell r="AA29">
            <v>573.44290269999999</v>
          </cell>
          <cell r="AB29">
            <v>546.51649120000002</v>
          </cell>
          <cell r="AC29">
            <v>520.20769519999999</v>
          </cell>
          <cell r="AD29">
            <v>494.57446399999998</v>
          </cell>
          <cell r="AE29">
            <v>469.66133730000001</v>
          </cell>
          <cell r="AF29">
            <v>445.49999279999997</v>
          </cell>
          <cell r="AG29">
            <v>422.11204839999999</v>
          </cell>
          <cell r="AH29">
            <v>399.51244819999999</v>
          </cell>
          <cell r="AI29">
            <v>377.71209649999997</v>
          </cell>
          <cell r="AJ29">
            <v>356.71915639999997</v>
          </cell>
          <cell r="AK29">
            <v>336.53915749999999</v>
          </cell>
        </row>
        <row r="30">
          <cell r="A30" t="str">
            <v>auto_cg_cfut_2</v>
          </cell>
          <cell r="B30">
            <v>2239.620606</v>
          </cell>
          <cell r="C30">
            <v>2186.533324</v>
          </cell>
          <cell r="D30">
            <v>2141.5221270000002</v>
          </cell>
          <cell r="E30">
            <v>2098.8321230000001</v>
          </cell>
          <cell r="F30">
            <v>2055.175808</v>
          </cell>
          <cell r="G30">
            <v>2008.8419160000001</v>
          </cell>
          <cell r="H30">
            <v>1958.9995610000001</v>
          </cell>
          <cell r="I30">
            <v>1905.330504</v>
          </cell>
          <cell r="J30">
            <v>1847.869993</v>
          </cell>
          <cell r="K30">
            <v>1787.2154270000001</v>
          </cell>
          <cell r="L30">
            <v>1724.331007</v>
          </cell>
          <cell r="M30">
            <v>1659.752303</v>
          </cell>
          <cell r="N30">
            <v>1594.066151</v>
          </cell>
          <cell r="O30">
            <v>1527.724512</v>
          </cell>
          <cell r="P30">
            <v>1461.1029209999999</v>
          </cell>
          <cell r="Q30">
            <v>1394.5468289999999</v>
          </cell>
          <cell r="R30">
            <v>1328.3939419999999</v>
          </cell>
          <cell r="S30">
            <v>1262.974958</v>
          </cell>
          <cell r="T30">
            <v>1198.6016259999999</v>
          </cell>
          <cell r="U30">
            <v>1135.552582</v>
          </cell>
          <cell r="V30">
            <v>1074.0169619999999</v>
          </cell>
          <cell r="W30">
            <v>1014.240104</v>
          </cell>
          <cell r="X30">
            <v>956.37931270000001</v>
          </cell>
          <cell r="Y30">
            <v>900.5523488</v>
          </cell>
          <cell r="Z30">
            <v>846.84163999999998</v>
          </cell>
          <cell r="AA30">
            <v>795.22971270000005</v>
          </cell>
          <cell r="AB30">
            <v>745.81341680000003</v>
          </cell>
          <cell r="AC30">
            <v>698.62791330000005</v>
          </cell>
          <cell r="AD30">
            <v>653.69035719999999</v>
          </cell>
          <cell r="AE30">
            <v>610.99613739999995</v>
          </cell>
          <cell r="AF30">
            <v>570.52023399999996</v>
          </cell>
          <cell r="AG30">
            <v>532.22123810000005</v>
          </cell>
          <cell r="AH30">
            <v>496.04605709999998</v>
          </cell>
          <cell r="AI30">
            <v>461.93381479999999</v>
          </cell>
          <cell r="AJ30">
            <v>429.81836279999999</v>
          </cell>
          <cell r="AK30">
            <v>399.62959260000002</v>
          </cell>
        </row>
        <row r="31">
          <cell r="A31" t="str">
            <v>auto_cg_cfut_0</v>
          </cell>
          <cell r="B31">
            <v>2239.620606</v>
          </cell>
          <cell r="C31">
            <v>2186.533324</v>
          </cell>
          <cell r="D31">
            <v>2141.5221270000002</v>
          </cell>
          <cell r="E31">
            <v>2098.8321230000001</v>
          </cell>
          <cell r="F31">
            <v>2055.175808</v>
          </cell>
          <cell r="G31">
            <v>2008.8419160000001</v>
          </cell>
          <cell r="H31">
            <v>1958.949067</v>
          </cell>
          <cell r="I31">
            <v>1905.4736740000001</v>
          </cell>
          <cell r="J31">
            <v>1848.7116000000001</v>
          </cell>
          <cell r="K31">
            <v>1789.1391389999999</v>
          </cell>
          <cell r="L31">
            <v>1727.4687510000001</v>
          </cell>
          <cell r="M31">
            <v>1663.9870149999999</v>
          </cell>
          <cell r="N31">
            <v>1599.128937</v>
          </cell>
          <cell r="O31">
            <v>1533.2911779999999</v>
          </cell>
          <cell r="P31">
            <v>1466.8806810000001</v>
          </cell>
          <cell r="Q31">
            <v>1400.3192340000001</v>
          </cell>
          <cell r="R31">
            <v>1334.025519</v>
          </cell>
          <cell r="S31">
            <v>1268.391844</v>
          </cell>
          <cell r="T31">
            <v>1203.7663789999999</v>
          </cell>
          <cell r="U31">
            <v>1140.444923</v>
          </cell>
          <cell r="V31">
            <v>1078.6240829999999</v>
          </cell>
          <cell r="W31">
            <v>1018.554097</v>
          </cell>
          <cell r="X31">
            <v>960.40025879999996</v>
          </cell>
          <cell r="Y31">
            <v>904.28861459999996</v>
          </cell>
          <cell r="Z31">
            <v>850.30945029999998</v>
          </cell>
          <cell r="AA31">
            <v>798.45152240000004</v>
          </cell>
          <cell r="AB31">
            <v>748.81270280000001</v>
          </cell>
          <cell r="AC31">
            <v>701.4277707</v>
          </cell>
          <cell r="AD31">
            <v>656.311195</v>
          </cell>
          <cell r="AE31">
            <v>613.45482660000005</v>
          </cell>
          <cell r="AF31">
            <v>572.83025029999999</v>
          </cell>
          <cell r="AG31">
            <v>534.39332830000001</v>
          </cell>
          <cell r="AH31">
            <v>498.08901969999999</v>
          </cell>
          <cell r="AI31">
            <v>463.8551554</v>
          </cell>
          <cell r="AJ31">
            <v>431.6247424</v>
          </cell>
          <cell r="AK31">
            <v>401.3270852</v>
          </cell>
        </row>
        <row r="32">
          <cell r="A32" t="str">
            <v>auto_ca_cele_2</v>
          </cell>
          <cell r="B32">
            <v>9.8427898650000003</v>
          </cell>
          <cell r="C32">
            <v>15.31682839</v>
          </cell>
          <cell r="D32">
            <v>21.449117950000002</v>
          </cell>
          <cell r="E32">
            <v>28.341801650000001</v>
          </cell>
          <cell r="F32">
            <v>36.261510459999997</v>
          </cell>
          <cell r="G32">
            <v>45.60666397</v>
          </cell>
          <cell r="H32">
            <v>56.85955869</v>
          </cell>
          <cell r="I32">
            <v>70.059321319999995</v>
          </cell>
          <cell r="J32">
            <v>84.617635269999994</v>
          </cell>
          <cell r="K32">
            <v>100.0137371</v>
          </cell>
          <cell r="L32">
            <v>115.8355291</v>
          </cell>
          <cell r="M32">
            <v>131.66116</v>
          </cell>
          <cell r="N32">
            <v>147.23711019999999</v>
          </cell>
          <cell r="O32">
            <v>162.45241809999999</v>
          </cell>
          <cell r="P32">
            <v>177.35320909999999</v>
          </cell>
          <cell r="Q32">
            <v>192.1387359</v>
          </cell>
          <cell r="R32">
            <v>207.14462159999999</v>
          </cell>
          <cell r="S32">
            <v>222.81872809999999</v>
          </cell>
          <cell r="T32">
            <v>239.69156140000001</v>
          </cell>
          <cell r="U32">
            <v>258.34424180000002</v>
          </cell>
          <cell r="V32">
            <v>279.3275127</v>
          </cell>
          <cell r="W32">
            <v>303.28540129999999</v>
          </cell>
          <cell r="X32">
            <v>330.7833918</v>
          </cell>
          <cell r="Y32">
            <v>362.34488019999998</v>
          </cell>
          <cell r="Z32">
            <v>398.44583499999999</v>
          </cell>
          <cell r="AA32">
            <v>439.24791640000001</v>
          </cell>
          <cell r="AB32">
            <v>485.30437649999999</v>
          </cell>
          <cell r="AC32">
            <v>536.97735239999997</v>
          </cell>
          <cell r="AD32">
            <v>594.58390269999995</v>
          </cell>
          <cell r="AE32">
            <v>658.40734650000002</v>
          </cell>
          <cell r="AF32">
            <v>728.7266687</v>
          </cell>
          <cell r="AG32">
            <v>805.84879880000005</v>
          </cell>
          <cell r="AH32">
            <v>890.13387680000005</v>
          </cell>
          <cell r="AI32">
            <v>982.00741870000002</v>
          </cell>
          <cell r="AJ32">
            <v>1081.95883</v>
          </cell>
          <cell r="AK32">
            <v>1190.5301870000001</v>
          </cell>
        </row>
        <row r="33">
          <cell r="A33" t="str">
            <v>auto_ca_cele_0</v>
          </cell>
          <cell r="B33">
            <v>9.8427898650000003</v>
          </cell>
          <cell r="C33">
            <v>15.31682839</v>
          </cell>
          <cell r="D33">
            <v>21.449117950000002</v>
          </cell>
          <cell r="E33">
            <v>28.341801650000001</v>
          </cell>
          <cell r="F33">
            <v>36.261510459999997</v>
          </cell>
          <cell r="G33">
            <v>45.60666397</v>
          </cell>
          <cell r="H33">
            <v>56.847127389999997</v>
          </cell>
          <cell r="I33">
            <v>70.519680019999996</v>
          </cell>
          <cell r="J33">
            <v>87.16313701</v>
          </cell>
          <cell r="K33">
            <v>107.282076</v>
          </cell>
          <cell r="L33">
            <v>131.3767953</v>
          </cell>
          <cell r="M33">
            <v>159.7429448</v>
          </cell>
          <cell r="N33">
            <v>192.6691466</v>
          </cell>
          <cell r="O33">
            <v>230.38755810000001</v>
          </cell>
          <cell r="P33">
            <v>273.10031629999997</v>
          </cell>
          <cell r="Q33">
            <v>320.994821</v>
          </cell>
          <cell r="R33">
            <v>374.25529130000001</v>
          </cell>
          <cell r="S33">
            <v>433.0766443</v>
          </cell>
          <cell r="T33">
            <v>497.68284899999998</v>
          </cell>
          <cell r="U33">
            <v>568.34789320000004</v>
          </cell>
          <cell r="V33">
            <v>645.25479089999999</v>
          </cell>
          <cell r="W33">
            <v>728.99247519999994</v>
          </cell>
          <cell r="X33">
            <v>820.07523409999999</v>
          </cell>
          <cell r="Y33">
            <v>919.07593999999995</v>
          </cell>
          <cell r="Z33">
            <v>1026.6167889999999</v>
          </cell>
          <cell r="AA33">
            <v>1142.617252</v>
          </cell>
          <cell r="AB33">
            <v>1268.233285</v>
          </cell>
          <cell r="AC33">
            <v>1404.202333</v>
          </cell>
          <cell r="AD33">
            <v>1551.190932</v>
          </cell>
          <cell r="AE33">
            <v>1709.781448</v>
          </cell>
          <cell r="AF33">
            <v>1880.495817</v>
          </cell>
          <cell r="AG33">
            <v>2063.8267169999999</v>
          </cell>
          <cell r="AH33">
            <v>2260.2598549999998</v>
          </cell>
          <cell r="AI33">
            <v>2470.2784019999999</v>
          </cell>
          <cell r="AJ33">
            <v>2694.349604</v>
          </cell>
          <cell r="AK33">
            <v>2932.9010290000001</v>
          </cell>
        </row>
        <row r="34">
          <cell r="A34" t="str">
            <v>auto_cb_cele_2</v>
          </cell>
          <cell r="B34">
            <v>11.44571741</v>
          </cell>
          <cell r="C34">
            <v>16.63040414</v>
          </cell>
          <cell r="D34">
            <v>22.463981440000001</v>
          </cell>
          <cell r="E34">
            <v>29.055819830000001</v>
          </cell>
          <cell r="F34">
            <v>36.676043239999998</v>
          </cell>
          <cell r="G34">
            <v>45.721895879999998</v>
          </cell>
          <cell r="H34">
            <v>56.669022509999998</v>
          </cell>
          <cell r="I34">
            <v>69.543381850000003</v>
          </cell>
          <cell r="J34">
            <v>83.742090770000004</v>
          </cell>
          <cell r="K34">
            <v>98.733433460000001</v>
          </cell>
          <cell r="L34">
            <v>114.0989172</v>
          </cell>
          <cell r="M34">
            <v>129.41761249999999</v>
          </cell>
          <cell r="N34">
            <v>144.43813950000001</v>
          </cell>
          <cell r="O34">
            <v>159.0516772</v>
          </cell>
          <cell r="P34">
            <v>173.3042714</v>
          </cell>
          <cell r="Q34">
            <v>187.39101400000001</v>
          </cell>
          <cell r="R34">
            <v>201.6377525</v>
          </cell>
          <cell r="S34">
            <v>216.4757357</v>
          </cell>
          <cell r="T34">
            <v>232.4112106</v>
          </cell>
          <cell r="U34">
            <v>249.99307719999999</v>
          </cell>
          <cell r="V34">
            <v>269.73443329999998</v>
          </cell>
          <cell r="W34">
            <v>292.22939229999997</v>
          </cell>
          <cell r="X34">
            <v>317.98980990000001</v>
          </cell>
          <cell r="Y34">
            <v>347.47991450000001</v>
          </cell>
          <cell r="Z34">
            <v>381.11126400000001</v>
          </cell>
          <cell r="AA34">
            <v>418.99261230000002</v>
          </cell>
          <cell r="AB34">
            <v>461.59285260000001</v>
          </cell>
          <cell r="AC34">
            <v>509.1962403</v>
          </cell>
          <cell r="AD34">
            <v>562.04049129999999</v>
          </cell>
          <cell r="AE34">
            <v>620.32686809999996</v>
          </cell>
          <cell r="AF34">
            <v>684.24622980000004</v>
          </cell>
          <cell r="AG34">
            <v>754.00733049999997</v>
          </cell>
          <cell r="AH34">
            <v>829.85867670000005</v>
          </cell>
          <cell r="AI34">
            <v>912.09862269999996</v>
          </cell>
          <cell r="AJ34">
            <v>1001.073258</v>
          </cell>
          <cell r="AK34">
            <v>1097.1655519999999</v>
          </cell>
        </row>
        <row r="35">
          <cell r="A35" t="str">
            <v>auto_cb_cele_0</v>
          </cell>
          <cell r="B35">
            <v>11.44571741</v>
          </cell>
          <cell r="C35">
            <v>16.63040414</v>
          </cell>
          <cell r="D35">
            <v>22.463981440000001</v>
          </cell>
          <cell r="E35">
            <v>29.055819830000001</v>
          </cell>
          <cell r="F35">
            <v>36.676043239999998</v>
          </cell>
          <cell r="G35">
            <v>45.721895879999998</v>
          </cell>
          <cell r="H35">
            <v>56.657010280000002</v>
          </cell>
          <cell r="I35">
            <v>70.005319200000002</v>
          </cell>
          <cell r="J35">
            <v>86.286751609999996</v>
          </cell>
          <cell r="K35">
            <v>105.9815783</v>
          </cell>
          <cell r="L35">
            <v>129.5601552</v>
          </cell>
          <cell r="M35">
            <v>157.2866137</v>
          </cell>
          <cell r="N35">
            <v>189.4121763</v>
          </cell>
          <cell r="O35">
            <v>226.12696399999999</v>
          </cell>
          <cell r="P35">
            <v>267.58685609999998</v>
          </cell>
          <cell r="Q35">
            <v>313.9295692</v>
          </cell>
          <cell r="R35">
            <v>365.28679740000001</v>
          </cell>
          <cell r="S35">
            <v>421.797934</v>
          </cell>
          <cell r="T35">
            <v>483.62728529999998</v>
          </cell>
          <cell r="U35">
            <v>550.9830402</v>
          </cell>
          <cell r="V35">
            <v>623.98081669999999</v>
          </cell>
          <cell r="W35">
            <v>703.11671969999998</v>
          </cell>
          <cell r="X35">
            <v>788.80749109999999</v>
          </cell>
          <cell r="Y35">
            <v>881.51581529999999</v>
          </cell>
          <cell r="Z35">
            <v>981.73941509999997</v>
          </cell>
          <cell r="AA35">
            <v>1089.304981</v>
          </cell>
          <cell r="AB35">
            <v>1205.1847170000001</v>
          </cell>
          <cell r="AC35">
            <v>1329.947388</v>
          </cell>
          <cell r="AD35">
            <v>1464.085574</v>
          </cell>
          <cell r="AE35">
            <v>1608.0017190000001</v>
          </cell>
          <cell r="AF35">
            <v>1762.028008</v>
          </cell>
          <cell r="AG35">
            <v>1926.4535519999999</v>
          </cell>
          <cell r="AH35">
            <v>2101.5445450000002</v>
          </cell>
          <cell r="AI35">
            <v>2287.549407</v>
          </cell>
          <cell r="AJ35">
            <v>2484.6887259999999</v>
          </cell>
          <cell r="AK35">
            <v>2693.1361750000001</v>
          </cell>
        </row>
        <row r="36">
          <cell r="A36" t="str">
            <v>auto_cc_cele_2</v>
          </cell>
          <cell r="B36">
            <v>9.4015406210000005</v>
          </cell>
          <cell r="C36">
            <v>12.93692982</v>
          </cell>
          <cell r="D36">
            <v>16.932327749999999</v>
          </cell>
          <cell r="E36">
            <v>21.470434130000001</v>
          </cell>
          <cell r="F36">
            <v>26.746816389999999</v>
          </cell>
          <cell r="G36">
            <v>33.045062710000003</v>
          </cell>
          <cell r="H36">
            <v>40.701219510000001</v>
          </cell>
          <cell r="I36">
            <v>49.724568509999997</v>
          </cell>
          <cell r="J36">
            <v>59.672918260000003</v>
          </cell>
          <cell r="K36">
            <v>70.157867359999997</v>
          </cell>
          <cell r="L36">
            <v>80.87550032</v>
          </cell>
          <cell r="M36">
            <v>91.525054699999998</v>
          </cell>
          <cell r="N36">
            <v>101.92813390000001</v>
          </cell>
          <cell r="O36">
            <v>112.0084171</v>
          </cell>
          <cell r="P36">
            <v>121.798953</v>
          </cell>
          <cell r="Q36">
            <v>131.4367398</v>
          </cell>
          <cell r="R36">
            <v>141.1486199</v>
          </cell>
          <cell r="S36">
            <v>151.2323494</v>
          </cell>
          <cell r="T36">
            <v>162.03435289999999</v>
          </cell>
          <cell r="U36">
            <v>173.92643530000001</v>
          </cell>
          <cell r="V36">
            <v>187.2513309</v>
          </cell>
          <cell r="W36">
            <v>202.40205739999999</v>
          </cell>
          <cell r="X36">
            <v>219.7105905</v>
          </cell>
          <cell r="Y36">
            <v>239.47158820000001</v>
          </cell>
          <cell r="Z36">
            <v>261.93906879999997</v>
          </cell>
          <cell r="AA36">
            <v>287.15827990000003</v>
          </cell>
          <cell r="AB36">
            <v>315.41260970000002</v>
          </cell>
          <cell r="AC36">
            <v>346.85811799999999</v>
          </cell>
          <cell r="AD36">
            <v>381.61731680000003</v>
          </cell>
          <cell r="AE36">
            <v>419.785687</v>
          </cell>
          <cell r="AF36">
            <v>461.4483224</v>
          </cell>
          <cell r="AG36">
            <v>506.69783410000002</v>
          </cell>
          <cell r="AH36">
            <v>555.64804330000004</v>
          </cell>
          <cell r="AI36">
            <v>608.44012520000001</v>
          </cell>
          <cell r="AJ36">
            <v>665.24093740000001</v>
          </cell>
          <cell r="AK36">
            <v>726.23572449999995</v>
          </cell>
        </row>
        <row r="37">
          <cell r="A37" t="str">
            <v>auto_cc_cele_0</v>
          </cell>
          <cell r="B37">
            <v>9.4015406210000005</v>
          </cell>
          <cell r="C37">
            <v>12.93692982</v>
          </cell>
          <cell r="D37">
            <v>16.932327749999999</v>
          </cell>
          <cell r="E37">
            <v>21.470434130000001</v>
          </cell>
          <cell r="F37">
            <v>26.746816389999999</v>
          </cell>
          <cell r="G37">
            <v>33.045062710000003</v>
          </cell>
          <cell r="H37">
            <v>40.69287258</v>
          </cell>
          <cell r="I37">
            <v>50.056692910000002</v>
          </cell>
          <cell r="J37">
            <v>61.495968019999999</v>
          </cell>
          <cell r="K37">
            <v>75.338043889999994</v>
          </cell>
          <cell r="L37">
            <v>91.899443599999998</v>
          </cell>
          <cell r="M37">
            <v>111.3478302</v>
          </cell>
          <cell r="N37">
            <v>133.83789200000001</v>
          </cell>
          <cell r="O37">
            <v>159.4776622</v>
          </cell>
          <cell r="P37">
            <v>188.34812439999999</v>
          </cell>
          <cell r="Q37">
            <v>220.51532990000001</v>
          </cell>
          <cell r="R37">
            <v>256.03953360000003</v>
          </cell>
          <cell r="S37">
            <v>294.98495989999998</v>
          </cell>
          <cell r="T37">
            <v>337.43142060000002</v>
          </cell>
          <cell r="U37">
            <v>383.48664359999998</v>
          </cell>
          <cell r="V37">
            <v>433.19161600000001</v>
          </cell>
          <cell r="W37">
            <v>486.84386510000002</v>
          </cell>
          <cell r="X37">
            <v>544.68184880000001</v>
          </cell>
          <cell r="Y37">
            <v>606.96969360000003</v>
          </cell>
          <cell r="Z37">
            <v>673.9885481</v>
          </cell>
          <cell r="AA37">
            <v>745.56099900000004</v>
          </cell>
          <cell r="AB37">
            <v>822.2726887</v>
          </cell>
          <cell r="AC37">
            <v>904.43195149999997</v>
          </cell>
          <cell r="AD37">
            <v>992.29110530000003</v>
          </cell>
          <cell r="AE37">
            <v>1086.036263</v>
          </cell>
          <cell r="AF37">
            <v>1185.7994389999999</v>
          </cell>
          <cell r="AG37">
            <v>1291.6758359999999</v>
          </cell>
          <cell r="AH37">
            <v>1403.7372800000001</v>
          </cell>
          <cell r="AI37">
            <v>1522.0366280000001</v>
          </cell>
          <cell r="AJ37">
            <v>1646.6028389999999</v>
          </cell>
          <cell r="AK37">
            <v>1777.430355</v>
          </cell>
        </row>
        <row r="38">
          <cell r="A38" t="str">
            <v>auto_cd_cele_2</v>
          </cell>
          <cell r="B38">
            <v>5.770071272</v>
          </cell>
          <cell r="C38">
            <v>7.6315558990000003</v>
          </cell>
          <cell r="D38">
            <v>9.6251624230000008</v>
          </cell>
          <cell r="E38">
            <v>11.71526233</v>
          </cell>
          <cell r="F38">
            <v>13.903552250000001</v>
          </cell>
          <cell r="G38">
            <v>16.217390229999999</v>
          </cell>
          <cell r="H38">
            <v>18.696957220000002</v>
          </cell>
          <cell r="I38">
            <v>21.33407588</v>
          </cell>
          <cell r="J38">
            <v>24.051906590000002</v>
          </cell>
          <cell r="K38">
            <v>26.785398520000001</v>
          </cell>
          <cell r="L38">
            <v>29.486486039999999</v>
          </cell>
          <cell r="M38">
            <v>32.099181090000002</v>
          </cell>
          <cell r="N38">
            <v>34.591336169999998</v>
          </cell>
          <cell r="O38">
            <v>36.948206939999999</v>
          </cell>
          <cell r="P38">
            <v>39.173878520000002</v>
          </cell>
          <cell r="Q38">
            <v>41.289661870000003</v>
          </cell>
          <cell r="R38">
            <v>43.330527609999997</v>
          </cell>
          <cell r="S38">
            <v>45.340737679999997</v>
          </cell>
          <cell r="T38">
            <v>47.369340479999998</v>
          </cell>
          <cell r="U38">
            <v>49.466120850000003</v>
          </cell>
          <cell r="V38">
            <v>51.671577829999997</v>
          </cell>
          <cell r="W38">
            <v>54.035397549999999</v>
          </cell>
          <cell r="X38">
            <v>56.594418779999998</v>
          </cell>
          <cell r="Y38">
            <v>59.378715649999997</v>
          </cell>
          <cell r="Z38">
            <v>62.411638140000001</v>
          </cell>
          <cell r="AA38">
            <v>65.6828596</v>
          </cell>
          <cell r="AB38">
            <v>69.222667650000005</v>
          </cell>
          <cell r="AC38">
            <v>73.041411980000007</v>
          </cell>
          <cell r="AD38">
            <v>77.145235360000001</v>
          </cell>
          <cell r="AE38">
            <v>81.536692689999995</v>
          </cell>
          <cell r="AF38">
            <v>86.216642269999994</v>
          </cell>
          <cell r="AG38">
            <v>91.186307850000006</v>
          </cell>
          <cell r="AH38">
            <v>96.448921650000003</v>
          </cell>
          <cell r="AI38">
            <v>102.01057059999999</v>
          </cell>
          <cell r="AJ38">
            <v>107.88018700000001</v>
          </cell>
          <cell r="AK38">
            <v>114.0688887</v>
          </cell>
        </row>
        <row r="39">
          <cell r="A39" t="str">
            <v>auto_cd_cele_0</v>
          </cell>
          <cell r="B39">
            <v>5.770071272</v>
          </cell>
          <cell r="C39">
            <v>7.6315558990000003</v>
          </cell>
          <cell r="D39">
            <v>9.6251624230000008</v>
          </cell>
          <cell r="E39">
            <v>11.71526233</v>
          </cell>
          <cell r="F39">
            <v>13.903552250000001</v>
          </cell>
          <cell r="G39">
            <v>16.217390229999999</v>
          </cell>
          <cell r="H39">
            <v>18.694381119999999</v>
          </cell>
          <cell r="I39">
            <v>21.383913809999999</v>
          </cell>
          <cell r="J39">
            <v>24.334058859999999</v>
          </cell>
          <cell r="K39">
            <v>27.587031</v>
          </cell>
          <cell r="L39">
            <v>31.186012900000001</v>
          </cell>
          <cell r="M39">
            <v>35.142061589999997</v>
          </cell>
          <cell r="N39">
            <v>39.468001979999997</v>
          </cell>
          <cell r="O39">
            <v>44.169325559999997</v>
          </cell>
          <cell r="P39">
            <v>49.247841100000002</v>
          </cell>
          <cell r="Q39">
            <v>54.70365031</v>
          </cell>
          <cell r="R39">
            <v>60.536465659999998</v>
          </cell>
          <cell r="S39">
            <v>66.746930809999995</v>
          </cell>
          <cell r="T39">
            <v>73.338161360000001</v>
          </cell>
          <cell r="U39">
            <v>80.317355109999994</v>
          </cell>
          <cell r="V39">
            <v>87.679856060000006</v>
          </cell>
          <cell r="W39">
            <v>95.46204315</v>
          </cell>
          <cell r="X39">
            <v>103.68982750000001</v>
          </cell>
          <cell r="Y39">
            <v>112.3925192</v>
          </cell>
          <cell r="Z39">
            <v>121.6014917</v>
          </cell>
          <cell r="AA39">
            <v>131.27964600000001</v>
          </cell>
          <cell r="AB39">
            <v>141.5040401</v>
          </cell>
          <cell r="AC39">
            <v>152.31261019999999</v>
          </cell>
          <cell r="AD39">
            <v>163.7379315</v>
          </cell>
          <cell r="AE39">
            <v>175.8052691</v>
          </cell>
          <cell r="AF39">
            <v>188.53357360000001</v>
          </cell>
          <cell r="AG39">
            <v>201.937422</v>
          </cell>
          <cell r="AH39">
            <v>216.0288889</v>
          </cell>
          <cell r="AI39">
            <v>230.8186034</v>
          </cell>
          <cell r="AJ39">
            <v>246.31569440000001</v>
          </cell>
          <cell r="AK39">
            <v>262.52678309999999</v>
          </cell>
        </row>
        <row r="40">
          <cell r="A40" t="str">
            <v>auto_ce_cele_2</v>
          </cell>
          <cell r="B40">
            <v>3.4730440960000002</v>
          </cell>
          <cell r="C40">
            <v>4.6168571680000001</v>
          </cell>
          <cell r="D40">
            <v>5.8344010510000004</v>
          </cell>
          <cell r="E40">
            <v>7.1015013529999997</v>
          </cell>
          <cell r="F40">
            <v>8.4167821860000007</v>
          </cell>
          <cell r="G40">
            <v>9.7938895929999994</v>
          </cell>
          <cell r="H40">
            <v>11.25328799</v>
          </cell>
          <cell r="I40">
            <v>12.78620941</v>
          </cell>
          <cell r="J40">
            <v>14.34390462</v>
          </cell>
          <cell r="K40">
            <v>15.886147879999999</v>
          </cell>
          <cell r="L40">
            <v>17.38433169</v>
          </cell>
          <cell r="M40">
            <v>18.806964730000001</v>
          </cell>
          <cell r="N40">
            <v>20.13699695</v>
          </cell>
          <cell r="O40">
            <v>21.367598529999999</v>
          </cell>
          <cell r="P40">
            <v>22.502484590000002</v>
          </cell>
          <cell r="Q40">
            <v>23.554581370000001</v>
          </cell>
          <cell r="R40">
            <v>24.543666850000001</v>
          </cell>
          <cell r="S40">
            <v>25.493670819999998</v>
          </cell>
          <cell r="T40">
            <v>26.43003371</v>
          </cell>
          <cell r="U40">
            <v>27.37745829</v>
          </cell>
          <cell r="V40">
            <v>28.354835810000001</v>
          </cell>
          <cell r="W40">
            <v>29.38453067</v>
          </cell>
          <cell r="X40">
            <v>30.481619599999998</v>
          </cell>
          <cell r="Y40">
            <v>31.6570775</v>
          </cell>
          <cell r="Z40">
            <v>32.917941509999999</v>
          </cell>
          <cell r="AA40">
            <v>34.255009280000003</v>
          </cell>
          <cell r="AB40">
            <v>35.677555400000003</v>
          </cell>
          <cell r="AC40">
            <v>37.185575669999999</v>
          </cell>
          <cell r="AD40">
            <v>38.777266480000002</v>
          </cell>
          <cell r="AE40">
            <v>40.449226019999998</v>
          </cell>
          <cell r="AF40">
            <v>42.197157330000003</v>
          </cell>
          <cell r="AG40">
            <v>44.016651770000003</v>
          </cell>
          <cell r="AH40">
            <v>45.903840449999997</v>
          </cell>
          <cell r="AI40">
            <v>47.855759110000001</v>
          </cell>
          <cell r="AJ40">
            <v>49.870382079999999</v>
          </cell>
          <cell r="AK40">
            <v>51.946384850000001</v>
          </cell>
        </row>
        <row r="41">
          <cell r="A41" t="str">
            <v>auto_ce_cele_0</v>
          </cell>
          <cell r="B41">
            <v>3.4730440960000002</v>
          </cell>
          <cell r="C41">
            <v>4.6168571680000001</v>
          </cell>
          <cell r="D41">
            <v>5.8344010510000004</v>
          </cell>
          <cell r="E41">
            <v>7.1015013529999997</v>
          </cell>
          <cell r="F41">
            <v>8.4167821860000007</v>
          </cell>
          <cell r="G41">
            <v>9.7938895929999994</v>
          </cell>
          <cell r="H41">
            <v>11.25183395</v>
          </cell>
          <cell r="I41">
            <v>12.815730090000001</v>
          </cell>
          <cell r="J41">
            <v>14.50899695</v>
          </cell>
          <cell r="K41">
            <v>16.35093358</v>
          </cell>
          <cell r="L41">
            <v>18.360798079999999</v>
          </cell>
          <cell r="M41">
            <v>20.539058799999999</v>
          </cell>
          <cell r="N41">
            <v>22.88660497</v>
          </cell>
          <cell r="O41">
            <v>25.399690929999998</v>
          </cell>
          <cell r="P41">
            <v>28.072291830000001</v>
          </cell>
          <cell r="Q41">
            <v>30.897496220000001</v>
          </cell>
          <cell r="R41">
            <v>33.868409049999997</v>
          </cell>
          <cell r="S41">
            <v>36.978875119999998</v>
          </cell>
          <cell r="T41">
            <v>40.224146740000002</v>
          </cell>
          <cell r="U41">
            <v>43.601471920000002</v>
          </cell>
          <cell r="V41">
            <v>47.10184872</v>
          </cell>
          <cell r="W41">
            <v>50.736214850000003</v>
          </cell>
          <cell r="X41">
            <v>54.509750910000001</v>
          </cell>
          <cell r="Y41">
            <v>58.428567209999997</v>
          </cell>
          <cell r="Z41">
            <v>62.498846739999998</v>
          </cell>
          <cell r="AA41">
            <v>66.694044140000003</v>
          </cell>
          <cell r="AB41">
            <v>71.039793239999995</v>
          </cell>
          <cell r="AC41">
            <v>75.543208149999998</v>
          </cell>
          <cell r="AD41">
            <v>80.208779870000001</v>
          </cell>
          <cell r="AE41">
            <v>85.037237379999993</v>
          </cell>
          <cell r="AF41">
            <v>90.025740760000005</v>
          </cell>
          <cell r="AG41">
            <v>95.16863764</v>
          </cell>
          <cell r="AH41">
            <v>100.45838620000001</v>
          </cell>
          <cell r="AI41">
            <v>105.8862883</v>
          </cell>
          <cell r="AJ41">
            <v>111.44281460000001</v>
          </cell>
          <cell r="AK41">
            <v>117.1174991</v>
          </cell>
        </row>
        <row r="42">
          <cell r="A42" t="str">
            <v>auto_cf_cele_2</v>
          </cell>
          <cell r="B42">
            <v>1.7251505170000001</v>
          </cell>
          <cell r="C42">
            <v>2.2631739710000001</v>
          </cell>
          <cell r="D42">
            <v>2.8155767429999998</v>
          </cell>
          <cell r="E42">
            <v>3.3620782660000001</v>
          </cell>
          <cell r="F42">
            <v>3.8927421710000001</v>
          </cell>
          <cell r="G42">
            <v>4.404067092</v>
          </cell>
          <cell r="H42">
            <v>4.8955111459999996</v>
          </cell>
          <cell r="I42">
            <v>5.3625529079999996</v>
          </cell>
          <cell r="J42">
            <v>5.7951926550000001</v>
          </cell>
          <cell r="K42">
            <v>6.187392268</v>
          </cell>
          <cell r="L42">
            <v>6.537121516</v>
          </cell>
          <cell r="M42">
            <v>6.8413150060000003</v>
          </cell>
          <cell r="N42">
            <v>7.0999393890000002</v>
          </cell>
          <cell r="O42">
            <v>7.3144068420000004</v>
          </cell>
          <cell r="P42">
            <v>7.4875368729999998</v>
          </cell>
          <cell r="Q42">
            <v>7.6232698819999998</v>
          </cell>
          <cell r="R42">
            <v>7.7262240780000004</v>
          </cell>
          <cell r="S42">
            <v>7.8012223860000001</v>
          </cell>
          <cell r="T42">
            <v>7.8528743739999998</v>
          </cell>
          <cell r="U42">
            <v>7.885275365</v>
          </cell>
          <cell r="V42">
            <v>7.901280141</v>
          </cell>
          <cell r="W42">
            <v>7.9041861769999997</v>
          </cell>
          <cell r="X42">
            <v>7.8960876190000002</v>
          </cell>
          <cell r="Y42">
            <v>7.8784841170000002</v>
          </cell>
          <cell r="Z42">
            <v>7.8523697290000003</v>
          </cell>
          <cell r="AA42">
            <v>7.8169867909999997</v>
          </cell>
          <cell r="AB42">
            <v>7.7737191149999996</v>
          </cell>
          <cell r="AC42">
            <v>7.7230591390000001</v>
          </cell>
          <cell r="AD42">
            <v>7.6654374130000003</v>
          </cell>
          <cell r="AE42">
            <v>7.6011869689999996</v>
          </cell>
          <cell r="AF42">
            <v>7.5305592819999996</v>
          </cell>
          <cell r="AG42">
            <v>7.4537650380000002</v>
          </cell>
          <cell r="AH42">
            <v>7.3710224289999999</v>
          </cell>
          <cell r="AI42">
            <v>7.2825939789999996</v>
          </cell>
          <cell r="AJ42">
            <v>7.1888008149999996</v>
          </cell>
          <cell r="AK42">
            <v>7.0900142229999998</v>
          </cell>
        </row>
        <row r="43">
          <cell r="A43" t="str">
            <v>auto_cf_cele_0</v>
          </cell>
          <cell r="B43">
            <v>1.7251505170000001</v>
          </cell>
          <cell r="C43">
            <v>2.2631739710000001</v>
          </cell>
          <cell r="D43">
            <v>2.8155767429999998</v>
          </cell>
          <cell r="E43">
            <v>3.3620782660000001</v>
          </cell>
          <cell r="F43">
            <v>3.8927421710000001</v>
          </cell>
          <cell r="G43">
            <v>4.404067092</v>
          </cell>
          <cell r="H43">
            <v>4.8950895640000001</v>
          </cell>
          <cell r="I43">
            <v>5.3678164639999997</v>
          </cell>
          <cell r="J43">
            <v>5.8244249039999998</v>
          </cell>
          <cell r="K43">
            <v>6.2666959709999999</v>
          </cell>
          <cell r="L43">
            <v>6.6971176659999996</v>
          </cell>
          <cell r="M43">
            <v>7.113881106</v>
          </cell>
          <cell r="N43">
            <v>7.5158838599999997</v>
          </cell>
          <cell r="O43">
            <v>7.9013897220000002</v>
          </cell>
          <cell r="P43">
            <v>8.2686627609999999</v>
          </cell>
          <cell r="Q43">
            <v>8.6162895069999994</v>
          </cell>
          <cell r="R43">
            <v>8.943294474</v>
          </cell>
          <cell r="S43">
            <v>9.2491358869999996</v>
          </cell>
          <cell r="T43">
            <v>9.5336481259999992</v>
          </cell>
          <cell r="U43">
            <v>9.7969733669999997</v>
          </cell>
          <cell r="V43">
            <v>10.038423010000001</v>
          </cell>
          <cell r="W43">
            <v>10.25968247</v>
          </cell>
          <cell r="X43">
            <v>10.461630339999999</v>
          </cell>
          <cell r="Y43">
            <v>10.645138680000001</v>
          </cell>
          <cell r="Z43">
            <v>10.810963190000001</v>
          </cell>
          <cell r="AA43">
            <v>10.95686589</v>
          </cell>
          <cell r="AB43">
            <v>11.085293220000001</v>
          </cell>
          <cell r="AC43">
            <v>11.197124240000001</v>
          </cell>
          <cell r="AD43">
            <v>11.29314321</v>
          </cell>
          <cell r="AE43">
            <v>11.37388035</v>
          </cell>
          <cell r="AF43">
            <v>11.439586670000001</v>
          </cell>
          <cell r="AG43">
            <v>11.490295890000001</v>
          </cell>
          <cell r="AH43">
            <v>11.525934769999999</v>
          </cell>
          <cell r="AI43">
            <v>11.546434250000001</v>
          </cell>
          <cell r="AJ43">
            <v>11.551804840000001</v>
          </cell>
          <cell r="AK43">
            <v>11.542162319999999</v>
          </cell>
        </row>
        <row r="44">
          <cell r="A44" t="str">
            <v>auto_cg_cele_2</v>
          </cell>
          <cell r="B44">
            <v>3.1066862139999998</v>
          </cell>
          <cell r="C44">
            <v>4.1089672369999999</v>
          </cell>
          <cell r="D44">
            <v>5.1175531430000003</v>
          </cell>
          <cell r="E44">
            <v>6.0904153680000004</v>
          </cell>
          <cell r="F44">
            <v>7.0065796320000002</v>
          </cell>
          <cell r="G44">
            <v>7.8578602139999996</v>
          </cell>
          <cell r="H44">
            <v>8.6420550400000007</v>
          </cell>
          <cell r="I44">
            <v>9.3512139370000007</v>
          </cell>
          <cell r="J44">
            <v>9.9701738469999999</v>
          </cell>
          <cell r="K44">
            <v>10.49282092</v>
          </cell>
          <cell r="L44">
            <v>10.92110559</v>
          </cell>
          <cell r="M44">
            <v>11.256514989999999</v>
          </cell>
          <cell r="N44">
            <v>11.50483715</v>
          </cell>
          <cell r="O44">
            <v>11.67334619</v>
          </cell>
          <cell r="P44">
            <v>11.7705182</v>
          </cell>
          <cell r="Q44">
            <v>11.80555828</v>
          </cell>
          <cell r="R44">
            <v>11.78780553</v>
          </cell>
          <cell r="S44">
            <v>11.726157649999999</v>
          </cell>
          <cell r="T44">
            <v>11.628615979999999</v>
          </cell>
          <cell r="U44">
            <v>11.50201786</v>
          </cell>
          <cell r="V44">
            <v>11.351423949999999</v>
          </cell>
          <cell r="W44">
            <v>11.18184422</v>
          </cell>
          <cell r="X44">
            <v>10.996805159999999</v>
          </cell>
          <cell r="Y44">
            <v>10.79902749</v>
          </cell>
          <cell r="Z44">
            <v>10.590589870000001</v>
          </cell>
          <cell r="AA44">
            <v>10.37208805</v>
          </cell>
          <cell r="AB44">
            <v>10.145652200000001</v>
          </cell>
          <cell r="AC44">
            <v>9.9126907180000003</v>
          </cell>
          <cell r="AD44">
            <v>9.6745229189999993</v>
          </cell>
          <cell r="AE44">
            <v>9.4323282909999993</v>
          </cell>
          <cell r="AF44">
            <v>9.1871438029999997</v>
          </cell>
          <cell r="AG44">
            <v>8.9398906650000001</v>
          </cell>
          <cell r="AH44">
            <v>8.6914126980000006</v>
          </cell>
          <cell r="AI44">
            <v>8.4425075439999997</v>
          </cell>
          <cell r="AJ44">
            <v>8.1939405860000001</v>
          </cell>
          <cell r="AK44">
            <v>7.9464419939999997</v>
          </cell>
        </row>
        <row r="45">
          <cell r="A45" t="str">
            <v>auto_cg_cele_0</v>
          </cell>
          <cell r="B45">
            <v>3.1066862139999998</v>
          </cell>
          <cell r="C45">
            <v>4.1089672369999999</v>
          </cell>
          <cell r="D45">
            <v>5.1175531430000003</v>
          </cell>
          <cell r="E45">
            <v>6.0904153680000004</v>
          </cell>
          <cell r="F45">
            <v>7.0065796320000002</v>
          </cell>
          <cell r="G45">
            <v>7.8578602139999996</v>
          </cell>
          <cell r="H45">
            <v>8.6414688399999999</v>
          </cell>
          <cell r="I45">
            <v>9.360352572</v>
          </cell>
          <cell r="J45">
            <v>10.01822507</v>
          </cell>
          <cell r="K45">
            <v>10.618661060000001</v>
          </cell>
          <cell r="L45">
            <v>11.166581559999999</v>
          </cell>
          <cell r="M45">
            <v>11.66087548</v>
          </cell>
          <cell r="N45">
            <v>12.10155243</v>
          </cell>
          <cell r="O45">
            <v>12.48792832</v>
          </cell>
          <cell r="P45">
            <v>12.81970375</v>
          </cell>
          <cell r="Q45">
            <v>13.0974591</v>
          </cell>
          <cell r="R45">
            <v>13.32272719</v>
          </cell>
          <cell r="S45">
            <v>13.49782164</v>
          </cell>
          <cell r="T45">
            <v>13.625577699999999</v>
          </cell>
          <cell r="U45">
            <v>13.70911175</v>
          </cell>
          <cell r="V45">
            <v>13.75061835</v>
          </cell>
          <cell r="W45">
            <v>13.75437052</v>
          </cell>
          <cell r="X45">
            <v>13.72370489</v>
          </cell>
          <cell r="Y45">
            <v>13.66175892</v>
          </cell>
          <cell r="Z45">
            <v>13.571371449999999</v>
          </cell>
          <cell r="AA45">
            <v>13.452963199999999</v>
          </cell>
          <cell r="AB45">
            <v>13.31038071</v>
          </cell>
          <cell r="AC45">
            <v>13.14621606</v>
          </cell>
          <cell r="AD45">
            <v>12.962922949999999</v>
          </cell>
          <cell r="AE45">
            <v>12.762664579999999</v>
          </cell>
          <cell r="AF45">
            <v>12.54728854</v>
          </cell>
          <cell r="AG45">
            <v>12.31838726</v>
          </cell>
          <cell r="AH45">
            <v>12.077399160000001</v>
          </cell>
          <cell r="AI45">
            <v>11.82570269</v>
          </cell>
          <cell r="AJ45">
            <v>11.56467243</v>
          </cell>
          <cell r="AK45">
            <v>11.2956909</v>
          </cell>
        </row>
        <row r="46">
          <cell r="A46" t="str">
            <v>auto_ca_cgas_2</v>
          </cell>
          <cell r="B46">
            <v>0.42568169729999999</v>
          </cell>
          <cell r="C46">
            <v>0.4502916602</v>
          </cell>
          <cell r="D46">
            <v>0.47777468490000002</v>
          </cell>
          <cell r="E46">
            <v>0.50651924459999997</v>
          </cell>
          <cell r="F46">
            <v>0.53560430820000005</v>
          </cell>
          <cell r="G46">
            <v>0.56456175099999995</v>
          </cell>
          <cell r="H46">
            <v>0.59314166180000005</v>
          </cell>
          <cell r="I46">
            <v>0.62129924729999997</v>
          </cell>
          <cell r="J46">
            <v>0.64918489170000004</v>
          </cell>
          <cell r="K46">
            <v>0.67702240999999996</v>
          </cell>
          <cell r="L46">
            <v>0.7050952345</v>
          </cell>
          <cell r="M46">
            <v>0.733214853</v>
          </cell>
          <cell r="N46">
            <v>0.76129411859999996</v>
          </cell>
          <cell r="O46">
            <v>0.78922426050000005</v>
          </cell>
          <cell r="P46">
            <v>0.81691502599999999</v>
          </cell>
          <cell r="Q46">
            <v>0.84430563879999998</v>
          </cell>
          <cell r="R46">
            <v>0.87135537839999999</v>
          </cell>
          <cell r="S46">
            <v>0.89802717939999999</v>
          </cell>
          <cell r="T46">
            <v>0.9242749281</v>
          </cell>
          <cell r="U46">
            <v>0.95003997809999996</v>
          </cell>
          <cell r="V46">
            <v>0.97511930530000002</v>
          </cell>
          <cell r="W46">
            <v>0.99960952619999999</v>
          </cell>
          <cell r="X46">
            <v>1.023468826</v>
          </cell>
          <cell r="Y46">
            <v>1.0466599329999999</v>
          </cell>
          <cell r="Z46">
            <v>1.069156607</v>
          </cell>
          <cell r="AA46">
            <v>1.0905254790000001</v>
          </cell>
          <cell r="AB46">
            <v>1.1111010130000001</v>
          </cell>
          <cell r="AC46">
            <v>1.1309459310000001</v>
          </cell>
          <cell r="AD46">
            <v>1.1500866380000001</v>
          </cell>
          <cell r="AE46">
            <v>1.1685170490000001</v>
          </cell>
          <cell r="AF46">
            <v>1.186216017</v>
          </cell>
          <cell r="AG46">
            <v>1.203162327</v>
          </cell>
          <cell r="AH46">
            <v>1.2193423050000001</v>
          </cell>
          <cell r="AI46">
            <v>1.2347494219999999</v>
          </cell>
          <cell r="AJ46">
            <v>1.2493785610000001</v>
          </cell>
          <cell r="AK46">
            <v>1.263218916</v>
          </cell>
        </row>
        <row r="47">
          <cell r="A47" t="str">
            <v>auto_ca_cgas_0</v>
          </cell>
          <cell r="B47">
            <v>0.42568169729999999</v>
          </cell>
          <cell r="C47">
            <v>0.4502916602</v>
          </cell>
          <cell r="D47">
            <v>0.47777468490000002</v>
          </cell>
          <cell r="E47">
            <v>0.50651924459999997</v>
          </cell>
          <cell r="F47">
            <v>0.53560430820000005</v>
          </cell>
          <cell r="G47">
            <v>0.56456175099999995</v>
          </cell>
          <cell r="H47">
            <v>0.59309267249999997</v>
          </cell>
          <cell r="I47">
            <v>0.62116465460000003</v>
          </cell>
          <cell r="J47">
            <v>0.64879079399999995</v>
          </cell>
          <cell r="K47">
            <v>0.67598341319999999</v>
          </cell>
          <cell r="L47">
            <v>0.70288123930000002</v>
          </cell>
          <cell r="M47">
            <v>0.72925843410000002</v>
          </cell>
          <cell r="N47">
            <v>0.75507000069999997</v>
          </cell>
          <cell r="O47">
            <v>0.78028559720000001</v>
          </cell>
          <cell r="P47">
            <v>0.80489629669999996</v>
          </cell>
          <cell r="Q47">
            <v>0.82889879929999999</v>
          </cell>
          <cell r="R47">
            <v>0.85227841189999998</v>
          </cell>
          <cell r="S47">
            <v>0.87500021080000001</v>
          </cell>
          <cell r="T47">
            <v>0.89701006049999998</v>
          </cell>
          <cell r="U47">
            <v>0.9182423019</v>
          </cell>
          <cell r="V47">
            <v>0.93850396039999995</v>
          </cell>
          <cell r="W47">
            <v>0.9578775692</v>
          </cell>
          <cell r="X47">
            <v>0.97631671019999999</v>
          </cell>
          <cell r="Y47">
            <v>0.99376907749999999</v>
          </cell>
          <cell r="Z47">
            <v>1.0101819759999999</v>
          </cell>
          <cell r="AA47">
            <v>1.025137103</v>
          </cell>
          <cell r="AB47">
            <v>1.038882616</v>
          </cell>
          <cell r="AC47">
            <v>1.051430372</v>
          </cell>
          <cell r="AD47">
            <v>1.062764547</v>
          </cell>
          <cell r="AE47">
            <v>1.0728499469999999</v>
          </cell>
          <cell r="AF47">
            <v>1.081648645</v>
          </cell>
          <cell r="AG47">
            <v>1.08913225</v>
          </cell>
          <cell r="AH47">
            <v>1.0952868019999999</v>
          </cell>
          <cell r="AI47">
            <v>1.100110951</v>
          </cell>
          <cell r="AJ47">
            <v>1.103610293</v>
          </cell>
          <cell r="AK47">
            <v>1.105791301</v>
          </cell>
        </row>
        <row r="48">
          <cell r="A48" t="str">
            <v>auto_cb_cgas_2</v>
          </cell>
          <cell r="B48">
            <v>0.49500522540000003</v>
          </cell>
          <cell r="C48">
            <v>0.51319015499999998</v>
          </cell>
          <cell r="D48">
            <v>0.53439477459999996</v>
          </cell>
          <cell r="E48">
            <v>0.55703101249999998</v>
          </cell>
          <cell r="F48">
            <v>0.58017912819999995</v>
          </cell>
          <cell r="G48">
            <v>0.60335701279999998</v>
          </cell>
          <cell r="H48">
            <v>0.62629444560000003</v>
          </cell>
          <cell r="I48">
            <v>0.64891915209999995</v>
          </cell>
          <cell r="J48">
            <v>0.67134569160000002</v>
          </cell>
          <cell r="K48">
            <v>0.69376428140000002</v>
          </cell>
          <cell r="L48">
            <v>0.71642729920000003</v>
          </cell>
          <cell r="M48">
            <v>0.73914811629999999</v>
          </cell>
          <cell r="N48">
            <v>0.76183575530000003</v>
          </cell>
          <cell r="O48">
            <v>0.78437772989999999</v>
          </cell>
          <cell r="P48">
            <v>0.80667739540000005</v>
          </cell>
          <cell r="Q48">
            <v>0.82866491760000005</v>
          </cell>
          <cell r="R48">
            <v>0.85028964669999996</v>
          </cell>
          <cell r="S48">
            <v>0.87150588829999998</v>
          </cell>
          <cell r="T48">
            <v>0.89226162939999998</v>
          </cell>
          <cell r="U48">
            <v>0.91249521820000001</v>
          </cell>
          <cell r="V48">
            <v>0.93201512060000002</v>
          </cell>
          <cell r="W48">
            <v>0.95090259190000004</v>
          </cell>
          <cell r="X48">
            <v>0.96911410580000001</v>
          </cell>
          <cell r="Y48">
            <v>0.98661058040000005</v>
          </cell>
          <cell r="Z48">
            <v>1.003362718</v>
          </cell>
          <cell r="AA48">
            <v>1.0189789950000001</v>
          </cell>
          <cell r="AB48">
            <v>1.0337520309999999</v>
          </cell>
          <cell r="AC48">
            <v>1.0477344319999999</v>
          </cell>
          <cell r="AD48">
            <v>1.060948928</v>
          </cell>
          <cell r="AE48">
            <v>1.0733906630000001</v>
          </cell>
          <cell r="AF48">
            <v>1.0850415010000001</v>
          </cell>
          <cell r="AG48">
            <v>1.0958826239999999</v>
          </cell>
          <cell r="AH48">
            <v>1.1059012349999999</v>
          </cell>
          <cell r="AI48">
            <v>1.115090709</v>
          </cell>
          <cell r="AJ48">
            <v>1.123446285</v>
          </cell>
          <cell r="AK48">
            <v>1.130959491</v>
          </cell>
        </row>
        <row r="49">
          <cell r="A49" t="str">
            <v>auto_cb_cgas_0</v>
          </cell>
          <cell r="B49">
            <v>0.49500522540000003</v>
          </cell>
          <cell r="C49">
            <v>0.51319015499999998</v>
          </cell>
          <cell r="D49">
            <v>0.53439477459999996</v>
          </cell>
          <cell r="E49">
            <v>0.55703101249999998</v>
          </cell>
          <cell r="F49">
            <v>0.58017912819999995</v>
          </cell>
          <cell r="G49">
            <v>0.60335701279999998</v>
          </cell>
          <cell r="H49">
            <v>0.62624845419999997</v>
          </cell>
          <cell r="I49">
            <v>0.64879508959999999</v>
          </cell>
          <cell r="J49">
            <v>0.6709854435</v>
          </cell>
          <cell r="K49">
            <v>0.69281125619999995</v>
          </cell>
          <cell r="L49">
            <v>0.71438628280000005</v>
          </cell>
          <cell r="M49">
            <v>0.7354838199</v>
          </cell>
          <cell r="N49">
            <v>0.75604728190000003</v>
          </cell>
          <cell r="O49">
            <v>0.77603393860000003</v>
          </cell>
          <cell r="P49">
            <v>0.79542228709999996</v>
          </cell>
          <cell r="Q49">
            <v>0.81419827140000001</v>
          </cell>
          <cell r="R49">
            <v>0.83233992810000001</v>
          </cell>
          <cell r="S49">
            <v>0.84980911879999999</v>
          </cell>
          <cell r="T49">
            <v>0.86655199100000002</v>
          </cell>
          <cell r="U49">
            <v>0.88250543739999998</v>
          </cell>
          <cell r="V49">
            <v>0.89749183980000002</v>
          </cell>
          <cell r="W49">
            <v>0.91158348889999996</v>
          </cell>
          <cell r="X49">
            <v>0.92473713349999997</v>
          </cell>
          <cell r="Y49">
            <v>0.93690507479999996</v>
          </cell>
          <cell r="Z49">
            <v>0.94803984490000004</v>
          </cell>
          <cell r="AA49">
            <v>0.95777108789999998</v>
          </cell>
          <cell r="AB49">
            <v>0.9663198408</v>
          </cell>
          <cell r="AC49">
            <v>0.97369988220000003</v>
          </cell>
          <cell r="AD49">
            <v>0.97990288329999997</v>
          </cell>
          <cell r="AE49">
            <v>0.98490481190000001</v>
          </cell>
          <cell r="AF49">
            <v>0.98867972500000001</v>
          </cell>
          <cell r="AG49">
            <v>0.99121013039999994</v>
          </cell>
          <cell r="AH49">
            <v>0.99249135239999997</v>
          </cell>
          <cell r="AI49">
            <v>0.99253035300000003</v>
          </cell>
          <cell r="AJ49">
            <v>0.99134130030000001</v>
          </cell>
          <cell r="AK49">
            <v>0.98894065809999998</v>
          </cell>
        </row>
        <row r="50">
          <cell r="A50" t="str">
            <v>auto_cc_cgas_2</v>
          </cell>
          <cell r="B50">
            <v>0.40659851759999999</v>
          </cell>
          <cell r="C50">
            <v>0.41515657919999999</v>
          </cell>
          <cell r="D50">
            <v>0.42600276500000001</v>
          </cell>
          <cell r="E50">
            <v>0.43800895020000002</v>
          </cell>
          <cell r="F50">
            <v>0.4505135837</v>
          </cell>
          <cell r="G50">
            <v>0.46316019330000002</v>
          </cell>
          <cell r="H50">
            <v>0.4757408239</v>
          </cell>
          <cell r="I50">
            <v>0.488185378</v>
          </cell>
          <cell r="J50">
            <v>0.50055284870000005</v>
          </cell>
          <cell r="K50">
            <v>0.51295821959999999</v>
          </cell>
          <cell r="L50">
            <v>0.52556287410000002</v>
          </cell>
          <cell r="M50">
            <v>0.5382337572</v>
          </cell>
          <cell r="N50">
            <v>0.55090296959999996</v>
          </cell>
          <cell r="O50">
            <v>0.56348733039999999</v>
          </cell>
          <cell r="P50">
            <v>0.57591347910000001</v>
          </cell>
          <cell r="Q50">
            <v>0.58812578110000002</v>
          </cell>
          <cell r="R50">
            <v>0.60008197600000002</v>
          </cell>
          <cell r="S50">
            <v>0.61174430049999995</v>
          </cell>
          <cell r="T50">
            <v>0.62307226019999995</v>
          </cell>
          <cell r="U50">
            <v>0.63402032850000001</v>
          </cell>
          <cell r="V50">
            <v>0.64445880519999998</v>
          </cell>
          <cell r="W50">
            <v>0.65443729289999997</v>
          </cell>
          <cell r="X50">
            <v>0.66392434109999998</v>
          </cell>
          <cell r="Y50">
            <v>0.67289172470000003</v>
          </cell>
          <cell r="Z50">
            <v>0.68131759719999996</v>
          </cell>
          <cell r="AA50">
            <v>0.68894762190000003</v>
          </cell>
          <cell r="AB50">
            <v>0.69596755860000004</v>
          </cell>
          <cell r="AC50">
            <v>0.70241025010000002</v>
          </cell>
          <cell r="AD50">
            <v>0.70829094729999997</v>
          </cell>
          <cell r="AE50">
            <v>0.71360806470000004</v>
          </cell>
          <cell r="AF50">
            <v>0.7183516258</v>
          </cell>
          <cell r="AG50">
            <v>0.72251091079999996</v>
          </cell>
          <cell r="AH50">
            <v>0.72607873609999996</v>
          </cell>
          <cell r="AI50">
            <v>0.72905186830000002</v>
          </cell>
          <cell r="AJ50">
            <v>0.73142872589999997</v>
          </cell>
          <cell r="AK50">
            <v>0.73320621949999998</v>
          </cell>
        </row>
        <row r="51">
          <cell r="A51" t="str">
            <v>auto_cc_cgas_0</v>
          </cell>
          <cell r="B51">
            <v>0.40659851759999999</v>
          </cell>
          <cell r="C51">
            <v>0.41515657919999999</v>
          </cell>
          <cell r="D51">
            <v>0.42600276500000001</v>
          </cell>
          <cell r="E51">
            <v>0.43800895020000002</v>
          </cell>
          <cell r="F51">
            <v>0.4505135837</v>
          </cell>
          <cell r="G51">
            <v>0.46316019330000002</v>
          </cell>
          <cell r="H51">
            <v>0.4757096884</v>
          </cell>
          <cell r="I51">
            <v>0.48810301909999998</v>
          </cell>
          <cell r="J51">
            <v>0.50031592599999997</v>
          </cell>
          <cell r="K51">
            <v>0.51232918859999999</v>
          </cell>
          <cell r="L51">
            <v>0.5242086171</v>
          </cell>
          <cell r="M51">
            <v>0.5357908495</v>
          </cell>
          <cell r="N51">
            <v>0.54702807689999999</v>
          </cell>
          <cell r="O51">
            <v>0.55788208429999997</v>
          </cell>
          <cell r="P51">
            <v>0.56832991499999996</v>
          </cell>
          <cell r="Q51">
            <v>0.57835520110000005</v>
          </cell>
          <cell r="R51">
            <v>0.5879381414</v>
          </cell>
          <cell r="S51">
            <v>0.59704988530000003</v>
          </cell>
          <cell r="T51">
            <v>0.60565249860000003</v>
          </cell>
          <cell r="U51">
            <v>0.61370283410000004</v>
          </cell>
          <cell r="V51">
            <v>0.62108346270000003</v>
          </cell>
          <cell r="W51">
            <v>0.62784064689999997</v>
          </cell>
          <cell r="X51">
            <v>0.63394598020000004</v>
          </cell>
          <cell r="Y51">
            <v>0.63936877459999997</v>
          </cell>
          <cell r="Z51">
            <v>0.64407892710000003</v>
          </cell>
          <cell r="AA51">
            <v>0.64784043329999996</v>
          </cell>
          <cell r="AB51">
            <v>0.65079637010000002</v>
          </cell>
          <cell r="AC51">
            <v>0.65295855030000005</v>
          </cell>
          <cell r="AD51">
            <v>0.65432614820000001</v>
          </cell>
          <cell r="AE51">
            <v>0.65488916880000003</v>
          </cell>
          <cell r="AF51">
            <v>0.65463668310000001</v>
          </cell>
          <cell r="AG51">
            <v>0.65356314569999996</v>
          </cell>
          <cell r="AH51">
            <v>0.65167120379999999</v>
          </cell>
          <cell r="AI51">
            <v>0.64897119150000004</v>
          </cell>
          <cell r="AJ51">
            <v>0.64547861399999995</v>
          </cell>
          <cell r="AK51">
            <v>0.64121124360000004</v>
          </cell>
        </row>
        <row r="52">
          <cell r="A52" t="str">
            <v>auto_cd_cgas_2</v>
          </cell>
          <cell r="B52">
            <v>0.2495444651</v>
          </cell>
          <cell r="C52">
            <v>0.25270390659999997</v>
          </cell>
          <cell r="D52">
            <v>0.25710867869999998</v>
          </cell>
          <cell r="E52">
            <v>0.26210352120000002</v>
          </cell>
          <cell r="F52">
            <v>0.26730318930000002</v>
          </cell>
          <cell r="G52">
            <v>0.27249816090000001</v>
          </cell>
          <cell r="H52">
            <v>0.2775661109</v>
          </cell>
          <cell r="I52">
            <v>0.28244871849999997</v>
          </cell>
          <cell r="J52">
            <v>0.28714067129999998</v>
          </cell>
          <cell r="K52">
            <v>0.29167845910000001</v>
          </cell>
          <cell r="L52">
            <v>0.29613463540000001</v>
          </cell>
          <cell r="M52">
            <v>0.30044035530000002</v>
          </cell>
          <cell r="N52">
            <v>0.30456310539999998</v>
          </cell>
          <cell r="O52">
            <v>0.30846333259999997</v>
          </cell>
          <cell r="P52">
            <v>0.3121069917</v>
          </cell>
          <cell r="Q52">
            <v>0.31547056179999999</v>
          </cell>
          <cell r="R52">
            <v>0.31854024520000002</v>
          </cell>
          <cell r="S52">
            <v>0.32130846610000002</v>
          </cell>
          <cell r="T52">
            <v>0.32377024469999999</v>
          </cell>
          <cell r="U52">
            <v>0.3259210515</v>
          </cell>
          <cell r="V52">
            <v>0.32771993310000003</v>
          </cell>
          <cell r="W52">
            <v>0.32920557499999997</v>
          </cell>
          <cell r="X52">
            <v>0.33038016479999999</v>
          </cell>
          <cell r="Y52">
            <v>0.33124594149999997</v>
          </cell>
          <cell r="Z52">
            <v>0.33180591479999999</v>
          </cell>
          <cell r="AA52">
            <v>0.33196386059999999</v>
          </cell>
          <cell r="AB52">
            <v>0.33180679400000002</v>
          </cell>
          <cell r="AC52">
            <v>0.33135884170000002</v>
          </cell>
          <cell r="AD52">
            <v>0.33063832900000001</v>
          </cell>
          <cell r="AE52">
            <v>0.3296568231</v>
          </cell>
          <cell r="AF52">
            <v>0.32842159250000003</v>
          </cell>
          <cell r="AG52">
            <v>0.32693837749999999</v>
          </cell>
          <cell r="AH52">
            <v>0.32521342660000002</v>
          </cell>
          <cell r="AI52">
            <v>0.32325433129999998</v>
          </cell>
          <cell r="AJ52">
            <v>0.3210697803</v>
          </cell>
          <cell r="AK52">
            <v>0.31866870320000001</v>
          </cell>
        </row>
        <row r="53">
          <cell r="A53" t="str">
            <v>auto_cd_cgas_0</v>
          </cell>
          <cell r="B53">
            <v>0.2495444651</v>
          </cell>
          <cell r="C53">
            <v>0.25270390659999997</v>
          </cell>
          <cell r="D53">
            <v>0.25710867869999998</v>
          </cell>
          <cell r="E53">
            <v>0.26210352120000002</v>
          </cell>
          <cell r="F53">
            <v>0.26730318930000002</v>
          </cell>
          <cell r="G53">
            <v>0.27249816090000001</v>
          </cell>
          <cell r="H53">
            <v>0.27755032169999999</v>
          </cell>
          <cell r="I53">
            <v>0.28242444709999998</v>
          </cell>
          <cell r="J53">
            <v>0.2871081493</v>
          </cell>
          <cell r="K53">
            <v>0.2915955341</v>
          </cell>
          <cell r="L53">
            <v>0.29592678919999998</v>
          </cell>
          <cell r="M53">
            <v>0.30002396460000003</v>
          </cell>
          <cell r="N53">
            <v>0.30386594770000003</v>
          </cell>
          <cell r="O53">
            <v>0.30743431240000002</v>
          </cell>
          <cell r="P53">
            <v>0.310718522</v>
          </cell>
          <cell r="Q53">
            <v>0.31371345830000003</v>
          </cell>
          <cell r="R53">
            <v>0.31641535809999999</v>
          </cell>
          <cell r="S53">
            <v>0.31881902849999999</v>
          </cell>
          <cell r="T53">
            <v>0.32091719439999999</v>
          </cell>
          <cell r="U53">
            <v>0.32270154680000002</v>
          </cell>
          <cell r="V53">
            <v>0.32412909470000001</v>
          </cell>
          <cell r="W53">
            <v>0.32523480989999998</v>
          </cell>
          <cell r="X53">
            <v>0.32601959730000002</v>
          </cell>
          <cell r="Y53">
            <v>0.32648369849999997</v>
          </cell>
          <cell r="Z53">
            <v>0.32662734770000001</v>
          </cell>
          <cell r="AA53">
            <v>0.3263552113</v>
          </cell>
          <cell r="AB53">
            <v>0.32574519130000001</v>
          </cell>
          <cell r="AC53">
            <v>0.32481636559999999</v>
          </cell>
          <cell r="AD53">
            <v>0.32358269789999999</v>
          </cell>
          <cell r="AE53">
            <v>0.32205285309999998</v>
          </cell>
          <cell r="AF53">
            <v>0.3202326929</v>
          </cell>
          <cell r="AG53">
            <v>0.31812774290000001</v>
          </cell>
          <cell r="AH53">
            <v>0.3157447927</v>
          </cell>
          <cell r="AI53">
            <v>0.31309234590000001</v>
          </cell>
          <cell r="AJ53">
            <v>0.31018011600000001</v>
          </cell>
          <cell r="AK53">
            <v>0.30701803849999998</v>
          </cell>
        </row>
        <row r="54">
          <cell r="A54" t="str">
            <v>auto_ce_cgas_2</v>
          </cell>
          <cell r="B54">
            <v>0.15020246549999999</v>
          </cell>
          <cell r="C54">
            <v>0.15230978840000001</v>
          </cell>
          <cell r="D54">
            <v>0.1551013527</v>
          </cell>
          <cell r="E54">
            <v>0.15815939600000001</v>
          </cell>
          <cell r="F54">
            <v>0.16123761340000001</v>
          </cell>
          <cell r="G54">
            <v>0.16420069819999999</v>
          </cell>
          <cell r="H54">
            <v>0.1669692747</v>
          </cell>
          <cell r="I54">
            <v>0.16950305939999999</v>
          </cell>
          <cell r="J54">
            <v>0.17179294749999999</v>
          </cell>
          <cell r="K54">
            <v>0.17386020699999999</v>
          </cell>
          <cell r="L54">
            <v>0.17575185600000001</v>
          </cell>
          <cell r="M54">
            <v>0.1774380321</v>
          </cell>
          <cell r="N54">
            <v>0.1789093122</v>
          </cell>
          <cell r="O54">
            <v>0.18015112080000001</v>
          </cell>
          <cell r="P54">
            <v>0.18115078770000001</v>
          </cell>
          <cell r="Q54">
            <v>0.18190095349999999</v>
          </cell>
          <cell r="R54">
            <v>0.1823998654</v>
          </cell>
          <cell r="S54">
            <v>0.18264995240000001</v>
          </cell>
          <cell r="T54">
            <v>0.18265593920000001</v>
          </cell>
          <cell r="U54">
            <v>0.1824234136</v>
          </cell>
          <cell r="V54">
            <v>0.18194003650000001</v>
          </cell>
          <cell r="W54">
            <v>0.18123272700000001</v>
          </cell>
          <cell r="X54">
            <v>0.18031015810000001</v>
          </cell>
          <cell r="Y54">
            <v>0.17918058889999999</v>
          </cell>
          <cell r="Z54">
            <v>0.17785203890000001</v>
          </cell>
          <cell r="AA54">
            <v>0.17628640340000001</v>
          </cell>
          <cell r="AB54">
            <v>0.17452994960000001</v>
          </cell>
          <cell r="AC54">
            <v>0.17260044329999999</v>
          </cell>
          <cell r="AD54">
            <v>0.17051353189999999</v>
          </cell>
          <cell r="AE54">
            <v>0.16828174409999999</v>
          </cell>
          <cell r="AF54">
            <v>0.1659151717</v>
          </cell>
          <cell r="AG54">
            <v>0.16342255389999999</v>
          </cell>
          <cell r="AH54">
            <v>0.1608122746</v>
          </cell>
          <cell r="AI54">
            <v>0.15809295840000001</v>
          </cell>
          <cell r="AJ54">
            <v>0.15527359339999999</v>
          </cell>
          <cell r="AK54">
            <v>0.15236330670000001</v>
          </cell>
        </row>
        <row r="55">
          <cell r="A55" t="str">
            <v>auto_ce_cgas_0</v>
          </cell>
          <cell r="B55">
            <v>0.15020246549999999</v>
          </cell>
          <cell r="C55">
            <v>0.15230978840000001</v>
          </cell>
          <cell r="D55">
            <v>0.1551013527</v>
          </cell>
          <cell r="E55">
            <v>0.15815939600000001</v>
          </cell>
          <cell r="F55">
            <v>0.16123761340000001</v>
          </cell>
          <cell r="G55">
            <v>0.16420069819999999</v>
          </cell>
          <cell r="H55">
            <v>0.16696039970000001</v>
          </cell>
          <cell r="I55">
            <v>0.16949327450000001</v>
          </cell>
          <cell r="J55">
            <v>0.17179209640000001</v>
          </cell>
          <cell r="K55">
            <v>0.173856072</v>
          </cell>
          <cell r="L55">
            <v>0.1757124005</v>
          </cell>
          <cell r="M55">
            <v>0.17732208769999999</v>
          </cell>
          <cell r="N55">
            <v>0.17867782669999999</v>
          </cell>
          <cell r="O55">
            <v>0.1797734429</v>
          </cell>
          <cell r="P55">
            <v>0.18060769260000001</v>
          </cell>
          <cell r="Q55">
            <v>0.18118351869999999</v>
          </cell>
          <cell r="R55">
            <v>0.18150598809999999</v>
          </cell>
          <cell r="S55">
            <v>0.1815805358</v>
          </cell>
          <cell r="T55">
            <v>0.18141214289999999</v>
          </cell>
          <cell r="U55">
            <v>0.1810054025</v>
          </cell>
          <cell r="V55">
            <v>0.1803474501</v>
          </cell>
          <cell r="W55">
            <v>0.17946382899999999</v>
          </cell>
          <cell r="X55">
            <v>0.17836317879999999</v>
          </cell>
          <cell r="Y55">
            <v>0.17705359330000001</v>
          </cell>
          <cell r="Z55">
            <v>0.17554277679999999</v>
          </cell>
          <cell r="AA55">
            <v>0.17379402120000001</v>
          </cell>
          <cell r="AB55">
            <v>0.1718505065</v>
          </cell>
          <cell r="AC55">
            <v>0.16972859970000001</v>
          </cell>
          <cell r="AD55">
            <v>0.16744263849999999</v>
          </cell>
          <cell r="AE55">
            <v>0.16500432070000001</v>
          </cell>
          <cell r="AF55">
            <v>0.1624234823</v>
          </cell>
          <cell r="AG55">
            <v>0.1597091232</v>
          </cell>
          <cell r="AH55">
            <v>0.15687025830000001</v>
          </cell>
          <cell r="AI55">
            <v>0.15391635340000001</v>
          </cell>
          <cell r="AJ55">
            <v>0.15085731990000001</v>
          </cell>
          <cell r="AK55">
            <v>0.14770320789999999</v>
          </cell>
        </row>
        <row r="56">
          <cell r="A56" t="str">
            <v>auto_cf_cgas_2</v>
          </cell>
          <cell r="B56">
            <v>7.4609436000000001E-2</v>
          </cell>
          <cell r="C56">
            <v>7.5433085900000002E-2</v>
          </cell>
          <cell r="D56">
            <v>7.6481592900000006E-2</v>
          </cell>
          <cell r="E56">
            <v>7.7530963199999997E-2</v>
          </cell>
          <cell r="F56">
            <v>7.84512188E-2</v>
          </cell>
          <cell r="G56">
            <v>7.9172768099999999E-2</v>
          </cell>
          <cell r="H56">
            <v>7.9658329400000005E-2</v>
          </cell>
          <cell r="I56">
            <v>7.9890238299999999E-2</v>
          </cell>
          <cell r="J56">
            <v>7.9864950599999998E-2</v>
          </cell>
          <cell r="K56">
            <v>7.9600424700000005E-2</v>
          </cell>
          <cell r="L56">
            <v>7.9130992299999994E-2</v>
          </cell>
          <cell r="M56">
            <v>7.8466386900000004E-2</v>
          </cell>
          <cell r="N56">
            <v>7.7622702399999993E-2</v>
          </cell>
          <cell r="O56">
            <v>7.6612105200000002E-2</v>
          </cell>
          <cell r="P56">
            <v>7.5445567099999999E-2</v>
          </cell>
          <cell r="Q56">
            <v>7.4134785600000003E-2</v>
          </cell>
          <cell r="R56">
            <v>7.2692963499999999E-2</v>
          </cell>
          <cell r="S56">
            <v>7.1134644499999997E-2</v>
          </cell>
          <cell r="T56">
            <v>6.94749952E-2</v>
          </cell>
          <cell r="U56">
            <v>6.7728986199999994E-2</v>
          </cell>
          <cell r="V56">
            <v>6.5906655999999994E-2</v>
          </cell>
          <cell r="W56">
            <v>6.4025770800000006E-2</v>
          </cell>
          <cell r="X56">
            <v>6.2098909700000003E-2</v>
          </cell>
          <cell r="Y56">
            <v>6.0137384100000003E-2</v>
          </cell>
          <cell r="Z56">
            <v>5.8151270800000002E-2</v>
          </cell>
          <cell r="AA56">
            <v>5.6141625799999997E-2</v>
          </cell>
          <cell r="AB56">
            <v>5.41235984E-2</v>
          </cell>
          <cell r="AC56">
            <v>5.21069168E-2</v>
          </cell>
          <cell r="AD56">
            <v>5.01005042E-2</v>
          </cell>
          <cell r="AE56">
            <v>4.8112031399999998E-2</v>
          </cell>
          <cell r="AF56">
            <v>4.6147894199999998E-2</v>
          </cell>
          <cell r="AG56">
            <v>4.4213410500000001E-2</v>
          </cell>
          <cell r="AH56">
            <v>4.2313100100000001E-2</v>
          </cell>
          <cell r="AI56">
            <v>4.0450921200000003E-2</v>
          </cell>
          <cell r="AJ56">
            <v>3.8630405E-2</v>
          </cell>
          <cell r="AK56">
            <v>3.6854688099999998E-2</v>
          </cell>
        </row>
        <row r="57">
          <cell r="A57" t="str">
            <v>auto_cf_cgas_0</v>
          </cell>
          <cell r="B57">
            <v>7.4609436000000001E-2</v>
          </cell>
          <cell r="C57">
            <v>7.5433085900000002E-2</v>
          </cell>
          <cell r="D57">
            <v>7.6481592900000006E-2</v>
          </cell>
          <cell r="E57">
            <v>7.7530963199999997E-2</v>
          </cell>
          <cell r="F57">
            <v>7.84512188E-2</v>
          </cell>
          <cell r="G57">
            <v>7.9172768099999999E-2</v>
          </cell>
          <cell r="H57">
            <v>7.9655241900000007E-2</v>
          </cell>
          <cell r="I57">
            <v>7.98928312E-2</v>
          </cell>
          <cell r="J57">
            <v>7.9891195299999995E-2</v>
          </cell>
          <cell r="K57">
            <v>7.9662434700000007E-2</v>
          </cell>
          <cell r="L57">
            <v>7.9231122799999998E-2</v>
          </cell>
          <cell r="M57">
            <v>7.8598305600000001E-2</v>
          </cell>
          <cell r="N57">
            <v>7.7775520700000003E-2</v>
          </cell>
          <cell r="O57">
            <v>7.6773929399999996E-2</v>
          </cell>
          <cell r="P57">
            <v>7.5606583099999999E-2</v>
          </cell>
          <cell r="Q57">
            <v>7.4288629100000003E-2</v>
          </cell>
          <cell r="R57">
            <v>7.2836526200000001E-2</v>
          </cell>
          <cell r="S57">
            <v>7.1267008699999995E-2</v>
          </cell>
          <cell r="T57">
            <v>6.9596250499999998E-2</v>
          </cell>
          <cell r="U57">
            <v>6.7839407300000001E-2</v>
          </cell>
          <cell r="V57">
            <v>6.6006396300000006E-2</v>
          </cell>
          <cell r="W57">
            <v>6.4114810199999997E-2</v>
          </cell>
          <cell r="X57">
            <v>6.2177409400000001E-2</v>
          </cell>
          <cell r="Y57">
            <v>6.0205785999999997E-2</v>
          </cell>
          <cell r="Z57">
            <v>5.8210358500000003E-2</v>
          </cell>
          <cell r="AA57">
            <v>5.6192559699999999E-2</v>
          </cell>
          <cell r="AB57">
            <v>5.4167476999999999E-2</v>
          </cell>
          <cell r="AC57">
            <v>5.2144808299999998E-2</v>
          </cell>
          <cell r="AD57">
            <v>5.0133309100000002E-2</v>
          </cell>
          <cell r="AE57">
            <v>4.8140439899999998E-2</v>
          </cell>
          <cell r="AF57">
            <v>4.6172405399999998E-2</v>
          </cell>
          <cell r="AG57">
            <v>4.4234384600000003E-2</v>
          </cell>
          <cell r="AH57">
            <v>4.2330813500000002E-2</v>
          </cell>
          <cell r="AI57">
            <v>4.0465609200000002E-2</v>
          </cell>
          <cell r="AJ57">
            <v>3.8642284800000003E-2</v>
          </cell>
          <cell r="AK57">
            <v>3.6863965999999998E-2</v>
          </cell>
        </row>
        <row r="58">
          <cell r="A58" t="str">
            <v>auto_cg_cgas_2</v>
          </cell>
          <cell r="B58">
            <v>0.13435819299999999</v>
          </cell>
          <cell r="C58">
            <v>0.13614312840000001</v>
          </cell>
          <cell r="D58">
            <v>0.1381479102</v>
          </cell>
          <cell r="E58">
            <v>0.13992812360000001</v>
          </cell>
          <cell r="F58">
            <v>0.1412367934</v>
          </cell>
          <cell r="G58">
            <v>0.14195330819999999</v>
          </cell>
          <cell r="H58">
            <v>0.1420273688</v>
          </cell>
          <cell r="I58">
            <v>0.14144945510000001</v>
          </cell>
          <cell r="J58">
            <v>0.14023825849999999</v>
          </cell>
          <cell r="K58">
            <v>0.1384587595</v>
          </cell>
          <cell r="L58">
            <v>0.1362065982</v>
          </cell>
          <cell r="M58">
            <v>0.13354173150000001</v>
          </cell>
          <cell r="N58">
            <v>0.13052817720000001</v>
          </cell>
          <cell r="O58">
            <v>0.1272184576</v>
          </cell>
          <cell r="P58">
            <v>0.1236583466</v>
          </cell>
          <cell r="Q58">
            <v>0.11989068529999999</v>
          </cell>
          <cell r="R58">
            <v>0.1159572447</v>
          </cell>
          <cell r="S58">
            <v>0.11189880419999999</v>
          </cell>
          <cell r="T58">
            <v>0.107754165</v>
          </cell>
          <cell r="U58">
            <v>0.10355895919999999</v>
          </cell>
          <cell r="V58">
            <v>9.9340894700000001E-2</v>
          </cell>
          <cell r="W58">
            <v>9.5131905700000005E-2</v>
          </cell>
          <cell r="X58">
            <v>9.0956138800000003E-2</v>
          </cell>
          <cell r="Y58">
            <v>8.6833937799999997E-2</v>
          </cell>
          <cell r="Z58">
            <v>8.2782176299999996E-2</v>
          </cell>
          <cell r="AA58">
            <v>7.8808819599999996E-2</v>
          </cell>
          <cell r="AB58">
            <v>7.4930825500000006E-2</v>
          </cell>
          <cell r="AC58">
            <v>7.1159542100000001E-2</v>
          </cell>
          <cell r="AD58">
            <v>6.7504325899999995E-2</v>
          </cell>
          <cell r="AE58">
            <v>6.3972231899999996E-2</v>
          </cell>
          <cell r="AF58">
            <v>6.0568129700000001E-2</v>
          </cell>
          <cell r="AG58">
            <v>5.7295043800000001E-2</v>
          </cell>
          <cell r="AH58">
            <v>5.41545576E-2</v>
          </cell>
          <cell r="AI58">
            <v>5.11471545E-2</v>
          </cell>
          <cell r="AJ58">
            <v>4.8272446599999998E-2</v>
          </cell>
          <cell r="AK58">
            <v>4.5529305499999999E-2</v>
          </cell>
        </row>
        <row r="59">
          <cell r="A59" t="str">
            <v>auto_cg_cgas_0</v>
          </cell>
          <cell r="B59">
            <v>0.13435819299999999</v>
          </cell>
          <cell r="C59">
            <v>0.13614312840000001</v>
          </cell>
          <cell r="D59">
            <v>0.1381479102</v>
          </cell>
          <cell r="E59">
            <v>0.13992812360000001</v>
          </cell>
          <cell r="F59">
            <v>0.1412367934</v>
          </cell>
          <cell r="G59">
            <v>0.14195330819999999</v>
          </cell>
          <cell r="H59">
            <v>0.1420231267</v>
          </cell>
          <cell r="I59">
            <v>0.14146141800000001</v>
          </cell>
          <cell r="J59">
            <v>0.14030908610000001</v>
          </cell>
          <cell r="K59">
            <v>0.1386215713</v>
          </cell>
          <cell r="L59">
            <v>0.13647380319999999</v>
          </cell>
          <cell r="M59">
            <v>0.13390490769999999</v>
          </cell>
          <cell r="N59">
            <v>0.1309659078</v>
          </cell>
          <cell r="O59">
            <v>0.12770426109999999</v>
          </cell>
          <cell r="P59">
            <v>0.1241679156</v>
          </cell>
          <cell r="Q59">
            <v>0.1204057303</v>
          </cell>
          <cell r="R59">
            <v>0.1164660071</v>
          </cell>
          <cell r="S59">
            <v>0.1123945509</v>
          </cell>
          <cell r="T59">
            <v>0.1082331602</v>
          </cell>
          <cell r="U59">
            <v>0.1040188978</v>
          </cell>
          <cell r="V59">
            <v>9.9780110800000002E-2</v>
          </cell>
          <cell r="W59">
            <v>9.5549165399999997E-2</v>
          </cell>
          <cell r="X59">
            <v>9.1350904699999999E-2</v>
          </cell>
          <cell r="Y59">
            <v>8.7206402700000005E-2</v>
          </cell>
          <cell r="Z59">
            <v>8.3133235999999999E-2</v>
          </cell>
          <cell r="AA59">
            <v>7.9139943300000001E-2</v>
          </cell>
          <cell r="AB59">
            <v>7.5243622999999996E-2</v>
          </cell>
          <cell r="AC59">
            <v>7.1455644400000004E-2</v>
          </cell>
          <cell r="AD59">
            <v>6.7785187199999999E-2</v>
          </cell>
          <cell r="AE59">
            <v>6.4239051699999994E-2</v>
          </cell>
          <cell r="AF59">
            <v>6.08218575E-2</v>
          </cell>
          <cell r="AG59">
            <v>5.7536428799999997E-2</v>
          </cell>
          <cell r="AH59">
            <v>5.4384208599999997E-2</v>
          </cell>
          <cell r="AI59">
            <v>5.1365591199999998E-2</v>
          </cell>
          <cell r="AJ59">
            <v>4.8480134500000001E-2</v>
          </cell>
          <cell r="AK59">
            <v>4.57266749E-2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136.3911382</v>
          </cell>
          <cell r="C100">
            <v>138.50092309999999</v>
          </cell>
          <cell r="D100">
            <v>140.32633329999999</v>
          </cell>
          <cell r="E100">
            <v>142.26008949999999</v>
          </cell>
          <cell r="F100">
            <v>144.4229133</v>
          </cell>
          <cell r="G100">
            <v>146.8458033</v>
          </cell>
          <cell r="H100">
            <v>150.60648549999999</v>
          </cell>
          <cell r="I100">
            <v>152.92989030000001</v>
          </cell>
          <cell r="J100">
            <v>154.78477419999999</v>
          </cell>
          <cell r="K100">
            <v>156.312848</v>
          </cell>
          <cell r="L100">
            <v>157.72166189999999</v>
          </cell>
          <cell r="M100">
            <v>158.88702169999999</v>
          </cell>
          <cell r="N100">
            <v>160.03500750000001</v>
          </cell>
          <cell r="O100">
            <v>161.29497720000001</v>
          </cell>
          <cell r="P100">
            <v>162.74749209999999</v>
          </cell>
          <cell r="Q100">
            <v>164.41341109999999</v>
          </cell>
          <cell r="R100">
            <v>166.29425029999999</v>
          </cell>
          <cell r="S100">
            <v>168.37611440000001</v>
          </cell>
          <cell r="T100">
            <v>170.63639760000001</v>
          </cell>
          <cell r="U100">
            <v>173.04957820000001</v>
          </cell>
          <cell r="V100">
            <v>175.48736539999999</v>
          </cell>
          <cell r="W100">
            <v>178.09925530000001</v>
          </cell>
          <cell r="X100">
            <v>180.7891937</v>
          </cell>
          <cell r="Y100">
            <v>183.52302299999999</v>
          </cell>
          <cell r="Z100">
            <v>186.27653230000001</v>
          </cell>
          <cell r="AA100">
            <v>188.70682859999999</v>
          </cell>
          <cell r="AB100">
            <v>191.21028860000001</v>
          </cell>
          <cell r="AC100">
            <v>193.6369795</v>
          </cell>
          <cell r="AD100">
            <v>195.96149790000001</v>
          </cell>
          <cell r="AE100">
            <v>198.19587079999999</v>
          </cell>
          <cell r="AF100">
            <v>200.3706804</v>
          </cell>
          <cell r="AG100">
            <v>202.52199680000001</v>
          </cell>
          <cell r="AH100">
            <v>204.68196850000001</v>
          </cell>
          <cell r="AI100">
            <v>206.8711385</v>
          </cell>
          <cell r="AJ100">
            <v>209.10035550000001</v>
          </cell>
          <cell r="AK100">
            <v>211.3738716</v>
          </cell>
        </row>
        <row r="101">
          <cell r="A101" t="str">
            <v>m_toe_2</v>
          </cell>
          <cell r="B101">
            <v>152.71267259999999</v>
          </cell>
          <cell r="C101">
            <v>152.9209735</v>
          </cell>
          <cell r="D101">
            <v>153.3486437</v>
          </cell>
          <cell r="E101">
            <v>154.02465340000001</v>
          </cell>
          <cell r="F101">
            <v>155.00094319999999</v>
          </cell>
          <cell r="G101">
            <v>156.2844083</v>
          </cell>
          <cell r="H101">
            <v>158.72947690000001</v>
          </cell>
          <cell r="I101">
            <v>160.59957919999999</v>
          </cell>
          <cell r="J101">
            <v>162.43437180000001</v>
          </cell>
          <cell r="K101">
            <v>164.26163869999999</v>
          </cell>
          <cell r="L101">
            <v>166.23384010000001</v>
          </cell>
          <cell r="M101">
            <v>167.98122710000001</v>
          </cell>
          <cell r="N101">
            <v>169.7042922</v>
          </cell>
          <cell r="O101">
            <v>171.46883020000001</v>
          </cell>
          <cell r="P101">
            <v>173.29882169999999</v>
          </cell>
          <cell r="Q101">
            <v>175.19493489999999</v>
          </cell>
          <cell r="R101">
            <v>177.1477338</v>
          </cell>
          <cell r="S101">
            <v>179.14402580000001</v>
          </cell>
          <cell r="T101">
            <v>181.17184990000001</v>
          </cell>
          <cell r="U101">
            <v>183.2233736</v>
          </cell>
          <cell r="V101">
            <v>185.15117230000001</v>
          </cell>
          <cell r="W101">
            <v>187.22741060000001</v>
          </cell>
          <cell r="X101">
            <v>189.33758090000001</v>
          </cell>
          <cell r="Y101">
            <v>191.4624958</v>
          </cell>
          <cell r="Z101">
            <v>193.60510679999999</v>
          </cell>
          <cell r="AA101">
            <v>195.33577260000001</v>
          </cell>
          <cell r="AB101">
            <v>197.29076480000001</v>
          </cell>
          <cell r="AC101">
            <v>199.27204599999999</v>
          </cell>
          <cell r="AD101">
            <v>201.23264349999999</v>
          </cell>
          <cell r="AE101">
            <v>203.1744668</v>
          </cell>
          <cell r="AF101">
            <v>205.11120769999999</v>
          </cell>
          <cell r="AG101">
            <v>207.0559318</v>
          </cell>
          <cell r="AH101">
            <v>209.01662529999999</v>
          </cell>
          <cell r="AI101">
            <v>210.99496540000001</v>
          </cell>
          <cell r="AJ101">
            <v>212.98827919999999</v>
          </cell>
          <cell r="AK101">
            <v>214.99227200000001</v>
          </cell>
        </row>
        <row r="102">
          <cell r="A102" t="str">
            <v>ci_toe_2</v>
          </cell>
          <cell r="B102">
            <v>172.21087080000001</v>
          </cell>
          <cell r="C102">
            <v>173.95496850000001</v>
          </cell>
          <cell r="D102">
            <v>175.7743098</v>
          </cell>
          <cell r="E102">
            <v>177.85782620000001</v>
          </cell>
          <cell r="F102">
            <v>180.31262269999999</v>
          </cell>
          <cell r="G102">
            <v>183.1855506</v>
          </cell>
          <cell r="H102">
            <v>188.49946059999999</v>
          </cell>
          <cell r="I102">
            <v>191.95705359999999</v>
          </cell>
          <cell r="J102">
            <v>195.00223030000001</v>
          </cell>
          <cell r="K102">
            <v>197.74956119999999</v>
          </cell>
          <cell r="L102">
            <v>200.40805409999999</v>
          </cell>
          <cell r="M102">
            <v>202.65696199999999</v>
          </cell>
          <cell r="N102">
            <v>204.81215779999999</v>
          </cell>
          <cell r="O102">
            <v>207.0440529</v>
          </cell>
          <cell r="P102">
            <v>209.44595659999999</v>
          </cell>
          <cell r="Q102">
            <v>212.04990979999999</v>
          </cell>
          <cell r="R102">
            <v>214.85381480000001</v>
          </cell>
          <cell r="S102">
            <v>217.83623879999999</v>
          </cell>
          <cell r="T102">
            <v>220.96989490000001</v>
          </cell>
          <cell r="U102">
            <v>224.23062110000001</v>
          </cell>
          <cell r="V102">
            <v>227.42993150000001</v>
          </cell>
          <cell r="W102">
            <v>230.85965060000001</v>
          </cell>
          <cell r="X102">
            <v>234.38095419999999</v>
          </cell>
          <cell r="Y102">
            <v>237.95189640000001</v>
          </cell>
          <cell r="Z102">
            <v>241.560439</v>
          </cell>
          <cell r="AA102">
            <v>244.66326659999999</v>
          </cell>
          <cell r="AB102">
            <v>247.9921406</v>
          </cell>
          <cell r="AC102">
            <v>251.29047019999999</v>
          </cell>
          <cell r="AD102">
            <v>254.48492469999999</v>
          </cell>
          <cell r="AE102">
            <v>257.58670180000001</v>
          </cell>
          <cell r="AF102">
            <v>260.63652280000002</v>
          </cell>
          <cell r="AG102">
            <v>263.67887430000002</v>
          </cell>
          <cell r="AH102">
            <v>266.74822280000001</v>
          </cell>
          <cell r="AI102">
            <v>269.86273019999999</v>
          </cell>
          <cell r="AJ102">
            <v>273.027107</v>
          </cell>
          <cell r="AK102">
            <v>276.23873550000002</v>
          </cell>
        </row>
        <row r="103">
          <cell r="A103" t="str">
            <v>ch_toe_2</v>
          </cell>
          <cell r="B103">
            <v>73.965462770000002</v>
          </cell>
          <cell r="C103">
            <v>73.842886010000001</v>
          </cell>
          <cell r="D103">
            <v>73.502699530000001</v>
          </cell>
          <cell r="E103">
            <v>73.215225439999998</v>
          </cell>
          <cell r="F103">
            <v>73.043234389999995</v>
          </cell>
          <cell r="G103">
            <v>72.978462660000005</v>
          </cell>
          <cell r="H103">
            <v>72.979956329999993</v>
          </cell>
          <cell r="I103">
            <v>72.921001189999998</v>
          </cell>
          <cell r="J103">
            <v>72.848592510000003</v>
          </cell>
          <cell r="K103">
            <v>72.79370591</v>
          </cell>
          <cell r="L103">
            <v>72.802271450000006</v>
          </cell>
          <cell r="M103">
            <v>72.832879640000002</v>
          </cell>
          <cell r="N103">
            <v>72.897249599999995</v>
          </cell>
          <cell r="O103">
            <v>73.003927160000003</v>
          </cell>
          <cell r="P103">
            <v>73.153097310000007</v>
          </cell>
          <cell r="Q103">
            <v>73.328076820000007</v>
          </cell>
          <cell r="R103">
            <v>73.520693910000006</v>
          </cell>
          <cell r="S103">
            <v>73.725949610000001</v>
          </cell>
          <cell r="T103">
            <v>73.939560400000005</v>
          </cell>
          <cell r="U103">
            <v>74.157122860000001</v>
          </cell>
          <cell r="V103">
            <v>74.356391549999998</v>
          </cell>
          <cell r="W103">
            <v>74.558309499999993</v>
          </cell>
          <cell r="X103">
            <v>74.756042539999996</v>
          </cell>
          <cell r="Y103">
            <v>74.945356160000003</v>
          </cell>
          <cell r="Z103">
            <v>75.123715219999994</v>
          </cell>
          <cell r="AA103">
            <v>75.240295560000007</v>
          </cell>
          <cell r="AB103">
            <v>75.3424689</v>
          </cell>
          <cell r="AC103">
            <v>75.431682140000007</v>
          </cell>
          <cell r="AD103">
            <v>75.509461770000001</v>
          </cell>
          <cell r="AE103">
            <v>75.576921179999999</v>
          </cell>
          <cell r="AF103">
            <v>75.634285050000003</v>
          </cell>
          <cell r="AG103">
            <v>75.681915020000005</v>
          </cell>
          <cell r="AH103">
            <v>75.72098733</v>
          </cell>
          <cell r="AI103">
            <v>75.751467390000002</v>
          </cell>
          <cell r="AJ103">
            <v>75.773446079999999</v>
          </cell>
          <cell r="AK103">
            <v>75.786954890000004</v>
          </cell>
        </row>
        <row r="104">
          <cell r="A104" t="str">
            <v>x_toe_2</v>
          </cell>
          <cell r="B104">
            <v>42.92747731</v>
          </cell>
          <cell r="C104">
            <v>43.624042160000002</v>
          </cell>
          <cell r="D104">
            <v>44.397967659999999</v>
          </cell>
          <cell r="E104">
            <v>45.21169123</v>
          </cell>
          <cell r="F104">
            <v>46.06799934</v>
          </cell>
          <cell r="G104">
            <v>46.96619836</v>
          </cell>
          <cell r="H104">
            <v>47.85654547</v>
          </cell>
          <cell r="I104">
            <v>48.651414680000002</v>
          </cell>
          <cell r="J104">
            <v>49.36832321</v>
          </cell>
          <cell r="K104">
            <v>50.03121951</v>
          </cell>
          <cell r="L104">
            <v>50.745176360000002</v>
          </cell>
          <cell r="M104">
            <v>51.378407099999997</v>
          </cell>
          <cell r="N104">
            <v>52.029892179999997</v>
          </cell>
          <cell r="O104">
            <v>52.715827279999999</v>
          </cell>
          <cell r="P104">
            <v>53.447259819999999</v>
          </cell>
          <cell r="Q104">
            <v>54.230359460000003</v>
          </cell>
          <cell r="R104">
            <v>55.067475369999997</v>
          </cell>
          <cell r="S104">
            <v>55.957951799999996</v>
          </cell>
          <cell r="T104">
            <v>56.898792210000003</v>
          </cell>
          <cell r="U104">
            <v>57.885207780000002</v>
          </cell>
          <cell r="V104">
            <v>58.852214629999999</v>
          </cell>
          <cell r="W104">
            <v>59.908705879999999</v>
          </cell>
          <cell r="X104">
            <v>60.989777910000001</v>
          </cell>
          <cell r="Y104">
            <v>62.088266220000001</v>
          </cell>
          <cell r="Z104">
            <v>63.197484889999998</v>
          </cell>
          <cell r="AA104">
            <v>64.13903904</v>
          </cell>
          <cell r="AB104">
            <v>65.166443909999998</v>
          </cell>
          <cell r="AC104">
            <v>66.186873239999997</v>
          </cell>
          <cell r="AD104">
            <v>67.199754920000004</v>
          </cell>
          <cell r="AE104">
            <v>68.206714570000003</v>
          </cell>
          <cell r="AF104">
            <v>69.211080280000004</v>
          </cell>
          <cell r="AG104">
            <v>70.217139259999996</v>
          </cell>
          <cell r="AH104">
            <v>71.229383720000001</v>
          </cell>
          <cell r="AI104">
            <v>72.251906219999995</v>
          </cell>
          <cell r="AJ104">
            <v>73.288081590000004</v>
          </cell>
          <cell r="AK104">
            <v>74.340453220000001</v>
          </cell>
        </row>
        <row r="105">
          <cell r="A105" t="str">
            <v>y_toe_0</v>
          </cell>
          <cell r="B105">
            <v>136.3911382</v>
          </cell>
          <cell r="C105">
            <v>138.50092309999999</v>
          </cell>
          <cell r="D105">
            <v>140.32633329999999</v>
          </cell>
          <cell r="E105">
            <v>142.26008949999999</v>
          </cell>
          <cell r="F105">
            <v>144.4229133</v>
          </cell>
          <cell r="G105">
            <v>146.8458033</v>
          </cell>
          <cell r="H105">
            <v>149.4119341</v>
          </cell>
          <cell r="I105">
            <v>152.14744680000001</v>
          </cell>
          <cell r="J105">
            <v>154.9882863</v>
          </cell>
          <cell r="K105">
            <v>157.86275699999999</v>
          </cell>
          <cell r="L105">
            <v>160.84111820000001</v>
          </cell>
          <cell r="M105">
            <v>163.64961360000001</v>
          </cell>
          <cell r="N105">
            <v>166.3569339</v>
          </cell>
          <cell r="O105">
            <v>168.9478642</v>
          </cell>
          <cell r="P105">
            <v>171.3962382</v>
          </cell>
          <cell r="Q105">
            <v>173.68308709999999</v>
          </cell>
          <cell r="R105">
            <v>175.8122797</v>
          </cell>
          <cell r="S105">
            <v>177.811375</v>
          </cell>
          <cell r="T105">
            <v>179.7266626</v>
          </cell>
          <cell r="U105">
            <v>181.6137142</v>
          </cell>
          <cell r="V105">
            <v>183.42050979999999</v>
          </cell>
          <cell r="W105">
            <v>185.36168960000001</v>
          </cell>
          <cell r="X105">
            <v>187.3974418</v>
          </cell>
          <cell r="Y105">
            <v>189.53861470000001</v>
          </cell>
          <cell r="Z105">
            <v>191.7954172</v>
          </cell>
          <cell r="AA105">
            <v>193.8437979</v>
          </cell>
          <cell r="AB105">
            <v>196.09656509999999</v>
          </cell>
          <cell r="AC105">
            <v>198.40493079999999</v>
          </cell>
          <cell r="AD105">
            <v>200.73328309999999</v>
          </cell>
          <cell r="AE105">
            <v>203.07327169999999</v>
          </cell>
          <cell r="AF105">
            <v>205.4278454</v>
          </cell>
          <cell r="AG105">
            <v>207.80067790000001</v>
          </cell>
          <cell r="AH105">
            <v>210.19005060000001</v>
          </cell>
          <cell r="AI105">
            <v>212.5874767</v>
          </cell>
          <cell r="AJ105">
            <v>214.98033459999999</v>
          </cell>
          <cell r="AK105">
            <v>217.35438600000001</v>
          </cell>
        </row>
        <row r="106">
          <cell r="A106" t="str">
            <v>m_toe_0</v>
          </cell>
          <cell r="B106">
            <v>152.71267259999999</v>
          </cell>
          <cell r="C106">
            <v>152.9209735</v>
          </cell>
          <cell r="D106">
            <v>153.3486437</v>
          </cell>
          <cell r="E106">
            <v>154.02465340000001</v>
          </cell>
          <cell r="F106">
            <v>155.00094319999999</v>
          </cell>
          <cell r="G106">
            <v>156.2844083</v>
          </cell>
          <cell r="H106">
            <v>157.70844109999999</v>
          </cell>
          <cell r="I106">
            <v>159.3423933</v>
          </cell>
          <cell r="J106">
            <v>161.12371529999999</v>
          </cell>
          <cell r="K106">
            <v>162.98264570000001</v>
          </cell>
          <cell r="L106">
            <v>165.0608794</v>
          </cell>
          <cell r="M106">
            <v>166.97696250000001</v>
          </cell>
          <cell r="N106">
            <v>168.8952439</v>
          </cell>
          <cell r="O106">
            <v>170.83713979999999</v>
          </cell>
          <cell r="P106">
            <v>172.7890682</v>
          </cell>
          <cell r="Q106">
            <v>174.73251310000001</v>
          </cell>
          <cell r="R106">
            <v>176.65400170000001</v>
          </cell>
          <cell r="S106">
            <v>178.5482341</v>
          </cell>
          <cell r="T106">
            <v>180.41775989999999</v>
          </cell>
          <cell r="U106">
            <v>182.27033349999999</v>
          </cell>
          <cell r="V106">
            <v>183.9736173</v>
          </cell>
          <cell r="W106">
            <v>185.8017303</v>
          </cell>
          <cell r="X106">
            <v>187.64790640000001</v>
          </cell>
          <cell r="Y106">
            <v>189.4971309</v>
          </cell>
          <cell r="Z106">
            <v>191.3559467</v>
          </cell>
          <cell r="AA106">
            <v>192.80366309999999</v>
          </cell>
          <cell r="AB106">
            <v>194.47329120000001</v>
          </cell>
          <cell r="AC106">
            <v>196.17275470000001</v>
          </cell>
          <cell r="AD106">
            <v>197.85726690000001</v>
          </cell>
          <cell r="AE106">
            <v>199.5279468</v>
          </cell>
          <cell r="AF106">
            <v>201.19548130000001</v>
          </cell>
          <cell r="AG106">
            <v>202.86845940000001</v>
          </cell>
          <cell r="AH106">
            <v>204.54979030000001</v>
          </cell>
          <cell r="AI106">
            <v>206.23682840000001</v>
          </cell>
          <cell r="AJ106">
            <v>207.9235994</v>
          </cell>
          <cell r="AK106">
            <v>209.60337010000001</v>
          </cell>
        </row>
        <row r="107">
          <cell r="A107" t="str">
            <v>ci_toe_0</v>
          </cell>
          <cell r="B107">
            <v>172.21087080000001</v>
          </cell>
          <cell r="C107">
            <v>173.95496850000001</v>
          </cell>
          <cell r="D107">
            <v>175.7743098</v>
          </cell>
          <cell r="E107">
            <v>177.85782620000001</v>
          </cell>
          <cell r="F107">
            <v>180.31262269999999</v>
          </cell>
          <cell r="G107">
            <v>183.1855506</v>
          </cell>
          <cell r="H107">
            <v>186.2842187</v>
          </cell>
          <cell r="I107">
            <v>189.68358180000001</v>
          </cell>
          <cell r="J107">
            <v>193.28021129999999</v>
          </cell>
          <cell r="K107">
            <v>196.95305089999999</v>
          </cell>
          <cell r="L107">
            <v>200.82468499999999</v>
          </cell>
          <cell r="M107">
            <v>204.45012019999999</v>
          </cell>
          <cell r="N107">
            <v>207.98883169999999</v>
          </cell>
          <cell r="O107">
            <v>211.4518559</v>
          </cell>
          <cell r="P107">
            <v>214.80427539999999</v>
          </cell>
          <cell r="Q107">
            <v>218.01002260000001</v>
          </cell>
          <cell r="R107">
            <v>221.05357330000001</v>
          </cell>
          <cell r="S107">
            <v>223.94735009999999</v>
          </cell>
          <cell r="T107">
            <v>226.7290869</v>
          </cell>
          <cell r="U107">
            <v>229.45177889999999</v>
          </cell>
          <cell r="V107">
            <v>232.00267249999999</v>
          </cell>
          <cell r="W107">
            <v>234.72497060000001</v>
          </cell>
          <cell r="X107">
            <v>237.5336313</v>
          </cell>
          <cell r="Y107">
            <v>240.42579499999999</v>
          </cell>
          <cell r="Z107">
            <v>243.42023370000001</v>
          </cell>
          <cell r="AA107">
            <v>246.00040490000001</v>
          </cell>
          <cell r="AB107">
            <v>248.90606399999999</v>
          </cell>
          <cell r="AC107">
            <v>251.89234859999999</v>
          </cell>
          <cell r="AD107">
            <v>254.88321920000001</v>
          </cell>
          <cell r="AE107">
            <v>257.87561790000001</v>
          </cell>
          <cell r="AF107">
            <v>260.88690550000001</v>
          </cell>
          <cell r="AG107">
            <v>263.93243869999998</v>
          </cell>
          <cell r="AH107">
            <v>267.01576219999998</v>
          </cell>
          <cell r="AI107">
            <v>270.1272975</v>
          </cell>
          <cell r="AJ107">
            <v>273.24917340000002</v>
          </cell>
          <cell r="AK107">
            <v>276.361985</v>
          </cell>
        </row>
        <row r="108">
          <cell r="A108" t="str">
            <v>ch_toe_0</v>
          </cell>
          <cell r="B108">
            <v>73.965462770000002</v>
          </cell>
          <cell r="C108">
            <v>73.842886010000001</v>
          </cell>
          <cell r="D108">
            <v>73.502699530000001</v>
          </cell>
          <cell r="E108">
            <v>73.215225439999998</v>
          </cell>
          <cell r="F108">
            <v>73.043234389999995</v>
          </cell>
          <cell r="G108">
            <v>72.978462660000005</v>
          </cell>
          <cell r="H108">
            <v>72.97959659</v>
          </cell>
          <cell r="I108">
            <v>73.030739389999994</v>
          </cell>
          <cell r="J108">
            <v>73.118003740000006</v>
          </cell>
          <cell r="K108">
            <v>73.23106817</v>
          </cell>
          <cell r="L108">
            <v>73.388269410000007</v>
          </cell>
          <cell r="M108">
            <v>73.546329880000002</v>
          </cell>
          <cell r="N108">
            <v>73.706119869999995</v>
          </cell>
          <cell r="O108">
            <v>73.866523200000003</v>
          </cell>
          <cell r="P108">
            <v>74.023489209999994</v>
          </cell>
          <cell r="Q108">
            <v>74.173373490000003</v>
          </cell>
          <cell r="R108">
            <v>74.317068070000005</v>
          </cell>
          <cell r="S108">
            <v>74.45725444</v>
          </cell>
          <cell r="T108">
            <v>74.596733299999997</v>
          </cell>
          <cell r="U108">
            <v>74.737458430000004</v>
          </cell>
          <cell r="V108">
            <v>74.86089672</v>
          </cell>
          <cell r="W108">
            <v>74.987434379999996</v>
          </cell>
          <cell r="X108">
            <v>75.110579950000002</v>
          </cell>
          <cell r="Y108">
            <v>75.226491109999998</v>
          </cell>
          <cell r="Z108">
            <v>75.332501100000002</v>
          </cell>
          <cell r="AA108">
            <v>75.377156580000005</v>
          </cell>
          <cell r="AB108">
            <v>75.406493740000002</v>
          </cell>
          <cell r="AC108">
            <v>75.419843850000007</v>
          </cell>
          <cell r="AD108">
            <v>75.416596490000003</v>
          </cell>
          <cell r="AE108">
            <v>75.39601845</v>
          </cell>
          <cell r="AF108">
            <v>75.357363460000002</v>
          </cell>
          <cell r="AG108">
            <v>75.300088090000003</v>
          </cell>
          <cell r="AH108">
            <v>75.224009319999993</v>
          </cell>
          <cell r="AI108">
            <v>75.129339970000004</v>
          </cell>
          <cell r="AJ108">
            <v>75.016612359999996</v>
          </cell>
          <cell r="AK108">
            <v>74.884868990000001</v>
          </cell>
        </row>
        <row r="109">
          <cell r="A109" t="str">
            <v>x_toe_0</v>
          </cell>
          <cell r="B109">
            <v>42.92747731</v>
          </cell>
          <cell r="C109">
            <v>43.624042160000002</v>
          </cell>
          <cell r="D109">
            <v>44.397967659999999</v>
          </cell>
          <cell r="E109">
            <v>45.21169123</v>
          </cell>
          <cell r="F109">
            <v>46.06799934</v>
          </cell>
          <cell r="G109">
            <v>46.96619836</v>
          </cell>
          <cell r="H109">
            <v>47.856559959999998</v>
          </cell>
          <cell r="I109">
            <v>48.775518939999998</v>
          </cell>
          <cell r="J109">
            <v>49.713786589999998</v>
          </cell>
          <cell r="K109">
            <v>50.661283660000002</v>
          </cell>
          <cell r="L109">
            <v>51.689043220000002</v>
          </cell>
          <cell r="M109">
            <v>52.630125960000001</v>
          </cell>
          <cell r="N109">
            <v>53.557226239999999</v>
          </cell>
          <cell r="O109">
            <v>54.466624899999999</v>
          </cell>
          <cell r="P109">
            <v>55.357541759999997</v>
          </cell>
          <cell r="Q109">
            <v>56.232204150000001</v>
          </cell>
          <cell r="R109">
            <v>57.095640039999999</v>
          </cell>
          <cell r="S109">
            <v>57.955004539999997</v>
          </cell>
          <cell r="T109">
            <v>58.81860228</v>
          </cell>
          <cell r="U109">
            <v>59.694810410000002</v>
          </cell>
          <cell r="V109">
            <v>60.530557880000003</v>
          </cell>
          <cell r="W109">
            <v>61.451014909999998</v>
          </cell>
          <cell r="X109">
            <v>62.401136940000001</v>
          </cell>
          <cell r="Y109">
            <v>63.383459469999998</v>
          </cell>
          <cell r="Z109">
            <v>64.398629049999997</v>
          </cell>
          <cell r="AA109">
            <v>65.269899499999994</v>
          </cell>
          <cell r="AB109">
            <v>66.257298509999998</v>
          </cell>
          <cell r="AC109">
            <v>67.265493120000002</v>
          </cell>
          <cell r="AD109">
            <v>68.290734299999997</v>
          </cell>
          <cell r="AE109">
            <v>69.329582119999998</v>
          </cell>
          <cell r="AF109">
            <v>70.379057720000006</v>
          </cell>
          <cell r="AG109">
            <v>71.436610529999996</v>
          </cell>
          <cell r="AH109">
            <v>72.500069479999993</v>
          </cell>
          <cell r="AI109">
            <v>73.567667549999996</v>
          </cell>
          <cell r="AJ109">
            <v>74.638148279999996</v>
          </cell>
          <cell r="AK109">
            <v>75.710902070000003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3"/>
  <sheetViews>
    <sheetView zoomScale="77" workbookViewId="0">
      <pane xSplit="2" ySplit="4" topLeftCell="C580" activePane="bottomRight" state="frozen"/>
      <selection pane="topRight" activeCell="C1" sqref="C1"/>
      <selection pane="bottomLeft" activeCell="A4" sqref="A4"/>
      <selection pane="bottomRight" activeCell="C597" sqref="C597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38" width="14.21875" bestFit="1" customWidth="1"/>
  </cols>
  <sheetData>
    <row r="1" spans="1:38" x14ac:dyDescent="0.3">
      <c r="A1" t="s">
        <v>5</v>
      </c>
      <c r="B1" t="s">
        <v>6</v>
      </c>
    </row>
    <row r="4" spans="1:3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</row>
    <row r="5" spans="1:3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-1.9851961630290571E-2</v>
      </c>
      <c r="J5" s="1">
        <f>[1]Results!M1365</f>
        <v>-0.10786461753808929</v>
      </c>
      <c r="K5" s="1">
        <f>[1]Results!N1365</f>
        <v>-0.25416428524474011</v>
      </c>
      <c r="L5" s="1">
        <f>[1]Results!O1365</f>
        <v>-0.40510803475947155</v>
      </c>
      <c r="M5" s="1">
        <f>[1]Results!P1365</f>
        <v>-0.50941111275784046</v>
      </c>
      <c r="N5" s="1">
        <f>[1]Results!Q1365</f>
        <v>-0.55014651984570673</v>
      </c>
      <c r="O5" s="1">
        <f>[1]Results!R1365</f>
        <v>-0.5278660019521153</v>
      </c>
      <c r="P5" s="1">
        <f>[1]Results!S1365</f>
        <v>-0.46393043229695508</v>
      </c>
      <c r="Q5" s="1">
        <f>[1]Results!T1365</f>
        <v>-0.38540019790217483</v>
      </c>
      <c r="R5" s="1">
        <f>[1]Results!U1365</f>
        <v>-0.31413193093162706</v>
      </c>
      <c r="S5" s="1">
        <f>[1]Results!V1365</f>
        <v>-0.26123114891148935</v>
      </c>
      <c r="T5" s="1">
        <f>[1]Results!W1365</f>
        <v>-0.22744707598025826</v>
      </c>
      <c r="U5" s="1">
        <f>[1]Results!X1365</f>
        <v>-0.20734567246930569</v>
      </c>
      <c r="V5" s="1">
        <f>[1]Results!Y1365</f>
        <v>-0.19425506149606253</v>
      </c>
      <c r="W5" s="1">
        <f>[1]Results!Z1365</f>
        <v>-0.1830557180366621</v>
      </c>
      <c r="X5" s="1">
        <f>[1]Results!AA1365</f>
        <v>-0.17418298666940224</v>
      </c>
      <c r="Y5" s="1">
        <f>[1]Results!AB1365</f>
        <v>-0.16816565101537284</v>
      </c>
      <c r="Z5" s="1">
        <f>[1]Results!AC1365</f>
        <v>-0.16716245929061513</v>
      </c>
      <c r="AA5" s="1">
        <f>[1]Results!AD1365</f>
        <v>-0.17274191357687929</v>
      </c>
      <c r="AB5" s="1">
        <f>[1]Results!AE1365</f>
        <v>-0.18485843239681721</v>
      </c>
      <c r="AC5" s="1">
        <f>[1]Results!AF1365</f>
        <v>-0.20220421997245719</v>
      </c>
      <c r="AD5" s="1">
        <f>[1]Results!AG1365</f>
        <v>-0.22161448637801895</v>
      </c>
      <c r="AE5" s="1">
        <f>[1]Results!AH1365</f>
        <v>-0.24006710496851102</v>
      </c>
      <c r="AF5" s="1">
        <f>[1]Results!AI1365</f>
        <v>-0.25547754698381775</v>
      </c>
      <c r="AG5" s="1">
        <f>[1]Results!AJ1365</f>
        <v>-0.26697866713089047</v>
      </c>
      <c r="AH5" s="1">
        <f>[1]Results!AK1365</f>
        <v>-0.27471784232713237</v>
      </c>
      <c r="AI5" s="1">
        <f>[1]Results!AL1365</f>
        <v>-0.27941387924357297</v>
      </c>
      <c r="AJ5" s="1">
        <f>[1]Results!AM1365</f>
        <v>-0.2819504480027768</v>
      </c>
      <c r="AK5" s="1">
        <f>[1]Results!AN1365</f>
        <v>-0.28306841228504798</v>
      </c>
      <c r="AL5" s="1">
        <f>[1]Results!AO1365</f>
        <v>-0.28323019529434834</v>
      </c>
    </row>
    <row r="6" spans="1:3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-4.8276562368498865E-2</v>
      </c>
      <c r="J6" s="1">
        <f>[1]Results!M1366</f>
        <v>-0.16002605742696518</v>
      </c>
      <c r="K6" s="1">
        <f>[1]Results!N1366</f>
        <v>-0.34141987693696585</v>
      </c>
      <c r="L6" s="1">
        <f>[1]Results!O1366</f>
        <v>-0.5328420358037711</v>
      </c>
      <c r="M6" s="1">
        <f>[1]Results!P1366</f>
        <v>-0.67309895764217087</v>
      </c>
      <c r="N6" s="1">
        <f>[1]Results!Q1366</f>
        <v>-0.73989640140498247</v>
      </c>
      <c r="O6" s="1">
        <f>[1]Results!R1366</f>
        <v>-0.73077721680256946</v>
      </c>
      <c r="P6" s="1">
        <f>[1]Results!S1366</f>
        <v>-0.66864590652429001</v>
      </c>
      <c r="Q6" s="1">
        <f>[1]Results!T1366</f>
        <v>-0.58417839643080116</v>
      </c>
      <c r="R6" s="1">
        <f>[1]Results!U1366</f>
        <v>-0.50321768586335525</v>
      </c>
      <c r="S6" s="1">
        <f>[1]Results!V1366</f>
        <v>-0.43968983355107127</v>
      </c>
      <c r="T6" s="1">
        <f>[1]Results!W1366</f>
        <v>-0.39566252105022182</v>
      </c>
      <c r="U6" s="1">
        <f>[1]Results!X1366</f>
        <v>-0.36587224964858001</v>
      </c>
      <c r="V6" s="1">
        <f>[1]Results!Y1366</f>
        <v>-0.34333378178261764</v>
      </c>
      <c r="W6" s="1">
        <f>[1]Results!Z1366</f>
        <v>-0.322660608549874</v>
      </c>
      <c r="X6" s="1">
        <f>[1]Results!AA1366</f>
        <v>-0.30451809529136176</v>
      </c>
      <c r="Y6" s="1">
        <f>[1]Results!AB1366</f>
        <v>-0.29001476019892003</v>
      </c>
      <c r="Z6" s="1">
        <f>[1]Results!AC1366</f>
        <v>-0.28200194037428794</v>
      </c>
      <c r="AA6" s="1">
        <f>[1]Results!AD1366</f>
        <v>-0.28268025338662461</v>
      </c>
      <c r="AB6" s="1">
        <f>[1]Results!AE1366</f>
        <v>-0.29246473239711301</v>
      </c>
      <c r="AC6" s="1">
        <f>[1]Results!AF1366</f>
        <v>-0.30966365395524997</v>
      </c>
      <c r="AD6" s="1">
        <f>[1]Results!AG1366</f>
        <v>-0.3308610463817252</v>
      </c>
      <c r="AE6" s="1">
        <f>[1]Results!AH1366</f>
        <v>-0.35230703560789056</v>
      </c>
      <c r="AF6" s="1">
        <f>[1]Results!AI1366</f>
        <v>-0.37127262924504523</v>
      </c>
      <c r="AG6" s="1">
        <f>[1]Results!AJ1366</f>
        <v>-0.38640822407027819</v>
      </c>
      <c r="AH6" s="1">
        <f>[1]Results!AK1366</f>
        <v>-0.39754999047637574</v>
      </c>
      <c r="AI6" s="1">
        <f>[1]Results!AL1366</f>
        <v>-0.40523610153011536</v>
      </c>
      <c r="AJ6" s="1">
        <f>[1]Results!AM1366</f>
        <v>-0.41026679990954218</v>
      </c>
      <c r="AK6" s="1">
        <f>[1]Results!AN1366</f>
        <v>-0.41333561646347272</v>
      </c>
      <c r="AL6" s="1">
        <f>[1]Results!AO1366</f>
        <v>-0.41485455597330967</v>
      </c>
    </row>
    <row r="7" spans="1:3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5.2815952685756054E-3</v>
      </c>
      <c r="J7" s="1">
        <f>[1]Results!M1367</f>
        <v>-4.7688182434190575E-2</v>
      </c>
      <c r="K7" s="1">
        <f>[1]Results!N1367</f>
        <v>-0.12758807954992746</v>
      </c>
      <c r="L7" s="1">
        <f>[1]Results!O1367</f>
        <v>-0.19144478043266111</v>
      </c>
      <c r="M7" s="1">
        <f>[1]Results!P1367</f>
        <v>-0.20864267439020542</v>
      </c>
      <c r="N7" s="1">
        <f>[1]Results!Q1367</f>
        <v>-0.17917018140535382</v>
      </c>
      <c r="O7" s="1">
        <f>[1]Results!R1367</f>
        <v>-0.11395013430803259</v>
      </c>
      <c r="P7" s="1">
        <f>[1]Results!S1367</f>
        <v>-3.5388875717137447E-2</v>
      </c>
      <c r="Q7" s="1">
        <f>[1]Results!T1367</f>
        <v>3.5083206042022544E-2</v>
      </c>
      <c r="R7" s="1">
        <f>[1]Results!U1367</f>
        <v>8.4057840944060838E-2</v>
      </c>
      <c r="S7" s="1">
        <f>[1]Results!V1367</f>
        <v>0.10810349463953844</v>
      </c>
      <c r="T7" s="1">
        <f>[1]Results!W1367</f>
        <v>0.11146049365658567</v>
      </c>
      <c r="U7" s="1">
        <f>[1]Results!X1367</f>
        <v>0.10169851253599901</v>
      </c>
      <c r="V7" s="1">
        <f>[1]Results!Y1367</f>
        <v>8.5765849506701949E-2</v>
      </c>
      <c r="W7" s="1">
        <f>[1]Results!Z1367</f>
        <v>6.8370453218813312E-2</v>
      </c>
      <c r="X7" s="1">
        <f>[1]Results!AA1367</f>
        <v>4.9548336191509459E-2</v>
      </c>
      <c r="Y7" s="1">
        <f>[1]Results!AB1367</f>
        <v>2.9740003690388008E-2</v>
      </c>
      <c r="Z7" s="1">
        <f>[1]Results!AC1367</f>
        <v>8.2618515665852463E-3</v>
      </c>
      <c r="AA7" s="1">
        <f>[1]Results!AD1367</f>
        <v>-1.4892609292833028E-2</v>
      </c>
      <c r="AB7" s="1">
        <f>[1]Results!AE1367</f>
        <v>-3.8720923056695979E-2</v>
      </c>
      <c r="AC7" s="1">
        <f>[1]Results!AF1367</f>
        <v>-6.1447549642801511E-2</v>
      </c>
      <c r="AD7" s="1">
        <f>[1]Results!AG1367</f>
        <v>-8.0614705374176587E-2</v>
      </c>
      <c r="AE7" s="1">
        <f>[1]Results!AH1367</f>
        <v>-9.4651071597901468E-2</v>
      </c>
      <c r="AF7" s="1">
        <f>[1]Results!AI1367</f>
        <v>-0.10304448792255734</v>
      </c>
      <c r="AG7" s="1">
        <f>[1]Results!AJ1367</f>
        <v>-0.1063272172383542</v>
      </c>
      <c r="AH7" s="1">
        <f>[1]Results!AK1367</f>
        <v>-0.10570707049063913</v>
      </c>
      <c r="AI7" s="1">
        <f>[1]Results!AL1367</f>
        <v>-0.10260855299273014</v>
      </c>
      <c r="AJ7" s="1">
        <f>[1]Results!AM1367</f>
        <v>-9.8335635947199809E-2</v>
      </c>
      <c r="AK7" s="1">
        <f>[1]Results!AN1367</f>
        <v>-9.3872379975428299E-2</v>
      </c>
      <c r="AL7" s="1">
        <f>[1]Results!AO1367</f>
        <v>-8.9836898183148134E-2</v>
      </c>
    </row>
    <row r="8" spans="1:3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1.3675613803268442E-3</v>
      </c>
      <c r="J8" s="1">
        <f>[1]Results!M1368</f>
        <v>1.3555374002081554E-3</v>
      </c>
      <c r="K8" s="1">
        <f>[1]Results!N1368</f>
        <v>1.114543918308374E-3</v>
      </c>
      <c r="L8" s="1">
        <f>[1]Results!O1368</f>
        <v>3.8930473126527936E-3</v>
      </c>
      <c r="M8" s="1">
        <f>[1]Results!P1368</f>
        <v>1.0085078377425272E-2</v>
      </c>
      <c r="N8" s="1">
        <f>[1]Results!Q1368</f>
        <v>1.7896306546618654E-2</v>
      </c>
      <c r="O8" s="1">
        <f>[1]Results!R1368</f>
        <v>2.4968571526931282E-2</v>
      </c>
      <c r="P8" s="1">
        <f>[1]Results!S1368</f>
        <v>2.9731392718452848E-2</v>
      </c>
      <c r="Q8" s="1">
        <f>[1]Results!T1368</f>
        <v>3.1640415863265409E-2</v>
      </c>
      <c r="R8" s="1">
        <f>[1]Results!U1368</f>
        <v>3.1171060778362326E-2</v>
      </c>
      <c r="S8" s="1">
        <f>[1]Results!V1368</f>
        <v>2.9391549862199103E-2</v>
      </c>
      <c r="T8" s="1">
        <f>[1]Results!W1368</f>
        <v>2.7429679448550896E-2</v>
      </c>
      <c r="U8" s="1">
        <f>[1]Results!X1368</f>
        <v>2.6082051968767356E-2</v>
      </c>
      <c r="V8" s="1">
        <f>[1]Results!Y1368</f>
        <v>2.5678941722832773E-2</v>
      </c>
      <c r="W8" s="1">
        <f>[1]Results!Z1368</f>
        <v>2.6146588171094855E-2</v>
      </c>
      <c r="X8" s="1">
        <f>[1]Results!AA1368</f>
        <v>2.7319987562161977E-2</v>
      </c>
      <c r="Y8" s="1">
        <f>[1]Results!AB1368</f>
        <v>2.8952791345233285E-2</v>
      </c>
      <c r="Z8" s="1">
        <f>[1]Results!AC1368</f>
        <v>3.0941541580603967E-2</v>
      </c>
      <c r="AA8" s="1">
        <f>[1]Results!AD1368</f>
        <v>3.3285513026323828E-2</v>
      </c>
      <c r="AB8" s="1">
        <f>[1]Results!AE1368</f>
        <v>3.5938161837430045E-2</v>
      </c>
      <c r="AC8" s="1">
        <f>[1]Results!AF1368</f>
        <v>3.9183413229773811E-2</v>
      </c>
      <c r="AD8" s="1">
        <f>[1]Results!AG1368</f>
        <v>4.3034549632839057E-2</v>
      </c>
      <c r="AE8" s="1">
        <f>[1]Results!AH1368</f>
        <v>4.7379701172847455E-2</v>
      </c>
      <c r="AF8" s="1">
        <f>[1]Results!AI1368</f>
        <v>5.2049528038609842E-2</v>
      </c>
      <c r="AG8" s="1">
        <f>[1]Results!AJ1368</f>
        <v>5.686598078890507E-2</v>
      </c>
      <c r="AH8" s="1">
        <f>[1]Results!AK1368</f>
        <v>6.1685980810804744E-2</v>
      </c>
      <c r="AI8" s="1">
        <f>[1]Results!AL1368</f>
        <v>6.6421964896367147E-2</v>
      </c>
      <c r="AJ8" s="1">
        <f>[1]Results!AM1368</f>
        <v>7.1037248476816472E-2</v>
      </c>
      <c r="AK8" s="1">
        <f>[1]Results!AN1368</f>
        <v>7.5527607274853026E-2</v>
      </c>
      <c r="AL8" s="1">
        <f>[1]Results!AO1368</f>
        <v>7.9901118412012265E-2</v>
      </c>
    </row>
    <row r="9" spans="1:3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</row>
    <row r="10" spans="1:3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1.947978814271888E-2</v>
      </c>
      <c r="J10" s="1">
        <f>[1]Results!M1370</f>
        <v>3.80859680419589E-3</v>
      </c>
      <c r="K10" s="1">
        <f>[1]Results!N1370</f>
        <v>-4.122059406541765E-2</v>
      </c>
      <c r="L10" s="1">
        <f>[1]Results!O1370</f>
        <v>-9.4835590183985005E-2</v>
      </c>
      <c r="M10" s="1">
        <f>[1]Results!P1370</f>
        <v>-0.13696580079260828</v>
      </c>
      <c r="N10" s="1">
        <f>[1]Results!Q1370</f>
        <v>-0.1578787611208898</v>
      </c>
      <c r="O10" s="1">
        <f>[1]Results!R1370</f>
        <v>-0.15490440381755843</v>
      </c>
      <c r="P10" s="1">
        <f>[1]Results!S1370</f>
        <v>-0.13326262706760278</v>
      </c>
      <c r="Q10" s="1">
        <f>[1]Results!T1370</f>
        <v>-0.10181892740156177</v>
      </c>
      <c r="R10" s="1">
        <f>[1]Results!U1370</f>
        <v>-6.9020825152314627E-2</v>
      </c>
      <c r="S10" s="1">
        <f>[1]Results!V1370</f>
        <v>-4.028336774791369E-2</v>
      </c>
      <c r="T10" s="1">
        <f>[1]Results!W1370</f>
        <v>-1.7460332581462151E-2</v>
      </c>
      <c r="U10" s="1">
        <f>[1]Results!X1370</f>
        <v>1.6574131165728232E-4</v>
      </c>
      <c r="V10" s="1">
        <f>[1]Results!Y1370</f>
        <v>1.4325448676249266E-2</v>
      </c>
      <c r="W10" s="1">
        <f>[1]Results!Z1370</f>
        <v>2.6660258964110544E-2</v>
      </c>
      <c r="X10" s="1">
        <f>[1]Results!AA1370</f>
        <v>3.7248516933232036E-2</v>
      </c>
      <c r="Y10" s="1">
        <f>[1]Results!AB1370</f>
        <v>4.5927107636921427E-2</v>
      </c>
      <c r="Z10" s="1">
        <f>[1]Results!AC1370</f>
        <v>5.1975814206653197E-2</v>
      </c>
      <c r="AA10" s="1">
        <f>[1]Results!AD1370</f>
        <v>5.4744023496164904E-2</v>
      </c>
      <c r="AB10" s="1">
        <f>[1]Results!AE1370</f>
        <v>5.4258923407725701E-2</v>
      </c>
      <c r="AC10" s="1">
        <f>[1]Results!AF1370</f>
        <v>5.0554657976661685E-2</v>
      </c>
      <c r="AD10" s="1">
        <f>[1]Results!AG1370</f>
        <v>4.4940615098407383E-2</v>
      </c>
      <c r="AE10" s="1">
        <f>[1]Results!AH1370</f>
        <v>3.8662923382099389E-2</v>
      </c>
      <c r="AF10" s="1">
        <f>[1]Results!AI1370</f>
        <v>3.2751305855698708E-2</v>
      </c>
      <c r="AG10" s="1">
        <f>[1]Results!AJ1370</f>
        <v>2.7848584207817308E-2</v>
      </c>
      <c r="AH10" s="1">
        <f>[1]Results!AK1370</f>
        <v>2.420403251292173E-2</v>
      </c>
      <c r="AI10" s="1">
        <f>[1]Results!AL1370</f>
        <v>2.1783141257360205E-2</v>
      </c>
      <c r="AJ10" s="1">
        <f>[1]Results!AM1370</f>
        <v>2.0398678779651572E-2</v>
      </c>
      <c r="AK10" s="1">
        <f>[1]Results!AN1370</f>
        <v>1.98340537345933E-2</v>
      </c>
      <c r="AL10" s="1">
        <f>[1]Results!AO1370</f>
        <v>1.9920619544357632E-2</v>
      </c>
    </row>
    <row r="11" spans="1:3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</row>
    <row r="12" spans="1:3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-4.4613332538709277E-2</v>
      </c>
      <c r="J12" s="1">
        <f>[1]Results!M1372</f>
        <v>-6.3985007256912779E-2</v>
      </c>
      <c r="K12" s="1">
        <f>[1]Results!N1372</f>
        <v>-8.5355652128645113E-2</v>
      </c>
      <c r="L12" s="1">
        <f>[1]Results!O1372</f>
        <v>-0.11882762822206108</v>
      </c>
      <c r="M12" s="1">
        <f>[1]Results!P1372</f>
        <v>-0.16380266114386641</v>
      </c>
      <c r="N12" s="1">
        <f>[1]Results!Q1372</f>
        <v>-0.21309755023942067</v>
      </c>
      <c r="O12" s="1">
        <f>[1]Results!R1372</f>
        <v>-0.25901146382652102</v>
      </c>
      <c r="P12" s="1">
        <f>[1]Results!S1372</f>
        <v>-0.29527890700096043</v>
      </c>
      <c r="Q12" s="1">
        <f>[1]Results!T1372</f>
        <v>-0.31866446915070196</v>
      </c>
      <c r="R12" s="1">
        <f>[1]Results!U1372</f>
        <v>-0.32916897585260946</v>
      </c>
      <c r="S12" s="1">
        <f>[1]Results!V1372</f>
        <v>-0.32905127221614383</v>
      </c>
      <c r="T12" s="1">
        <f>[1]Results!W1372</f>
        <v>-0.32144724412160003</v>
      </c>
      <c r="U12" s="1">
        <f>[1]Results!X1372</f>
        <v>-0.30920989152220535</v>
      </c>
      <c r="V12" s="1">
        <f>[1]Results!Y1372</f>
        <v>-0.29434638366217591</v>
      </c>
      <c r="W12" s="1">
        <f>[1]Results!Z1372</f>
        <v>-0.27808646060470116</v>
      </c>
      <c r="X12" s="1">
        <f>[1]Results!AA1372</f>
        <v>-0.26097986306431109</v>
      </c>
      <c r="Y12" s="1">
        <f>[1]Results!AB1372</f>
        <v>-0.24383274270392935</v>
      </c>
      <c r="Z12" s="1">
        <f>[1]Results!AC1372</f>
        <v>-0.22740013150889787</v>
      </c>
      <c r="AA12" s="1">
        <f>[1]Results!AD1372</f>
        <v>-0.21259334047071435</v>
      </c>
      <c r="AB12" s="1">
        <f>[1]Results!AE1372</f>
        <v>-0.20039640456435967</v>
      </c>
      <c r="AC12" s="1">
        <f>[1]Results!AF1372</f>
        <v>-0.19131136533912887</v>
      </c>
      <c r="AD12" s="1">
        <f>[1]Results!AG1372</f>
        <v>-0.18594042956524276</v>
      </c>
      <c r="AE12" s="1">
        <f>[1]Results!AH1372</f>
        <v>-0.18407896574899674</v>
      </c>
      <c r="AF12" s="1">
        <f>[1]Results!AI1372</f>
        <v>-0.18518437378472863</v>
      </c>
      <c r="AG12" s="1">
        <f>[1]Results!AJ1372</f>
        <v>-0.18849998748133784</v>
      </c>
      <c r="AH12" s="1">
        <f>[1]Results!AK1372</f>
        <v>-0.19321483594373171</v>
      </c>
      <c r="AI12" s="1">
        <f>[1]Results!AL1372</f>
        <v>-0.19858848449763378</v>
      </c>
      <c r="AJ12" s="1">
        <f>[1]Results!AM1372</f>
        <v>-0.20401353271139583</v>
      </c>
      <c r="AK12" s="1">
        <f>[1]Results!AN1372</f>
        <v>-0.20903009705475889</v>
      </c>
      <c r="AL12" s="1">
        <f>[1]Results!AO1372</f>
        <v>-0.21331392479792666</v>
      </c>
    </row>
    <row r="13" spans="1:3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5.1939958628007162E-3</v>
      </c>
      <c r="J13" s="1">
        <f>[1]Results!M1373</f>
        <v>-4.7621542867453279E-2</v>
      </c>
      <c r="K13" s="1">
        <f>[1]Results!N1373</f>
        <v>-0.12786401878544246</v>
      </c>
      <c r="L13" s="1">
        <f>[1]Results!O1373</f>
        <v>-0.19288319779201521</v>
      </c>
      <c r="M13" s="1">
        <f>[1]Results!P1373</f>
        <v>-0.21231873975919913</v>
      </c>
      <c r="N13" s="1">
        <f>[1]Results!Q1373</f>
        <v>-0.18542765769383765</v>
      </c>
      <c r="O13" s="1">
        <f>[1]Results!R1373</f>
        <v>-0.12212377817601405</v>
      </c>
      <c r="P13" s="1">
        <f>[1]Results!S1373</f>
        <v>-4.4692014114973054E-2</v>
      </c>
      <c r="Q13" s="1">
        <f>[1]Results!T1373</f>
        <v>2.5681842860818635E-2</v>
      </c>
      <c r="R13" s="1">
        <f>[1]Results!U1373</f>
        <v>7.564050347072461E-2</v>
      </c>
      <c r="S13" s="1">
        <f>[1]Results!V1373</f>
        <v>0.1015643380017264</v>
      </c>
      <c r="T13" s="1">
        <f>[1]Results!W1373</f>
        <v>0.10729891579530967</v>
      </c>
      <c r="U13" s="1">
        <f>[1]Results!X1373</f>
        <v>9.99819782680645E-2</v>
      </c>
      <c r="V13" s="1">
        <f>[1]Results!Y1373</f>
        <v>8.6230341376208358E-2</v>
      </c>
      <c r="W13" s="1">
        <f>[1]Results!Z1373</f>
        <v>7.0606679335445663E-2</v>
      </c>
      <c r="X13" s="1">
        <f>[1]Results!AA1373</f>
        <v>5.296702229343761E-2</v>
      </c>
      <c r="Y13" s="1">
        <f>[1]Results!AB1373</f>
        <v>3.4006696506091748E-2</v>
      </c>
      <c r="Z13" s="1">
        <f>[1]Results!AC1373</f>
        <v>1.3047394175412196E-2</v>
      </c>
      <c r="AA13" s="1">
        <f>[1]Results!AD1373</f>
        <v>-9.8307544512439126E-3</v>
      </c>
      <c r="AB13" s="1">
        <f>[1]Results!AE1373</f>
        <v>-3.3428727875583139E-2</v>
      </c>
      <c r="AC13" s="1">
        <f>[1]Results!AF1373</f>
        <v>-5.621054871505661E-2</v>
      </c>
      <c r="AD13" s="1">
        <f>[1]Results!AG1373</f>
        <v>-7.541745424279156E-2</v>
      </c>
      <c r="AE13" s="1">
        <f>[1]Results!AH1373</f>
        <v>-8.9485097867039745E-2</v>
      </c>
      <c r="AF13" s="1">
        <f>[1]Results!AI1373</f>
        <v>-9.7910276320919198E-2</v>
      </c>
      <c r="AG13" s="1">
        <f>[1]Results!AJ1373</f>
        <v>-0.10122651272570898</v>
      </c>
      <c r="AH13" s="1">
        <f>[1]Results!AK1373</f>
        <v>-0.10063449063941161</v>
      </c>
      <c r="AI13" s="1">
        <f>[1]Results!AL1373</f>
        <v>-9.7546662090170738E-2</v>
      </c>
      <c r="AJ13" s="1">
        <f>[1]Results!AM1373</f>
        <v>-9.325537571818357E-2</v>
      </c>
      <c r="AK13" s="1">
        <f>[1]Results!AN1373</f>
        <v>-8.8735882464463872E-2</v>
      </c>
      <c r="AL13" s="1">
        <f>[1]Results!AO1373</f>
        <v>-8.4602477577880225E-2</v>
      </c>
    </row>
    <row r="14" spans="1:3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1.9567387548501049E-2</v>
      </c>
      <c r="J14" s="1">
        <f>[1]Results!M1374</f>
        <v>3.7419572374633781E-3</v>
      </c>
      <c r="K14" s="1">
        <f>[1]Results!N1374</f>
        <v>-4.0944654829897932E-2</v>
      </c>
      <c r="L14" s="1">
        <f>[1]Results!O1374</f>
        <v>-9.3397172824630892E-2</v>
      </c>
      <c r="M14" s="1">
        <f>[1]Results!P1374</f>
        <v>-0.13328973542361</v>
      </c>
      <c r="N14" s="1">
        <f>[1]Results!Q1374</f>
        <v>-0.15162128483240597</v>
      </c>
      <c r="O14" s="1">
        <f>[1]Results!R1374</f>
        <v>-0.14673075994957252</v>
      </c>
      <c r="P14" s="1">
        <f>[1]Results!S1374</f>
        <v>-0.12395948866976718</v>
      </c>
      <c r="Q14" s="1">
        <f>[1]Results!T1374</f>
        <v>-9.2417564220357878E-2</v>
      </c>
      <c r="R14" s="1">
        <f>[1]Results!U1374</f>
        <v>-6.0603487678978399E-2</v>
      </c>
      <c r="S14" s="1">
        <f>[1]Results!V1374</f>
        <v>-3.3744211110110001E-2</v>
      </c>
      <c r="T14" s="1">
        <f>[1]Results!W1374</f>
        <v>-1.3298754720186162E-2</v>
      </c>
      <c r="U14" s="1">
        <f>[1]Results!X1374</f>
        <v>1.882275579591787E-3</v>
      </c>
      <c r="V14" s="1">
        <f>[1]Results!Y1374</f>
        <v>1.3860956806734879E-2</v>
      </c>
      <c r="W14" s="1">
        <f>[1]Results!Z1374</f>
        <v>2.4424032847482118E-2</v>
      </c>
      <c r="X14" s="1">
        <f>[1]Results!AA1374</f>
        <v>3.3829830831303878E-2</v>
      </c>
      <c r="Y14" s="1">
        <f>[1]Results!AB1374</f>
        <v>4.1660414821221493E-2</v>
      </c>
      <c r="Z14" s="1">
        <f>[1]Results!AC1374</f>
        <v>4.7190271597822499E-2</v>
      </c>
      <c r="AA14" s="1">
        <f>[1]Results!AD1374</f>
        <v>4.9682168654575788E-2</v>
      </c>
      <c r="AB14" s="1">
        <f>[1]Results!AE1374</f>
        <v>4.8966728226612861E-2</v>
      </c>
      <c r="AC14" s="1">
        <f>[1]Results!AF1374</f>
        <v>4.531765704890961E-2</v>
      </c>
      <c r="AD14" s="1">
        <f>[1]Results!AG1374</f>
        <v>3.9743363967022355E-2</v>
      </c>
      <c r="AE14" s="1">
        <f>[1]Results!AH1374</f>
        <v>3.3496949651237666E-2</v>
      </c>
      <c r="AF14" s="1">
        <f>[1]Results!AI1374</f>
        <v>2.7617094254060563E-2</v>
      </c>
      <c r="AG14" s="1">
        <f>[1]Results!AJ1374</f>
        <v>2.2747879695172103E-2</v>
      </c>
      <c r="AH14" s="1">
        <f>[1]Results!AK1374</f>
        <v>1.9131452661694207E-2</v>
      </c>
      <c r="AI14" s="1">
        <f>[1]Results!AL1374</f>
        <v>1.6721250354800803E-2</v>
      </c>
      <c r="AJ14" s="1">
        <f>[1]Results!AM1374</f>
        <v>1.5318418550635341E-2</v>
      </c>
      <c r="AK14" s="1">
        <f>[1]Results!AN1374</f>
        <v>1.4697556223632066E-2</v>
      </c>
      <c r="AL14" s="1">
        <f>[1]Results!AO1374</f>
        <v>1.468619893908656E-2</v>
      </c>
    </row>
    <row r="15" spans="1:3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1.9240073592002686E-2</v>
      </c>
      <c r="J15" s="1">
        <f>[1]Results!M1375</f>
        <v>8.2488006921985386E-3</v>
      </c>
      <c r="K15" s="1">
        <f>[1]Results!N1375</f>
        <v>-2.9331399451845264E-2</v>
      </c>
      <c r="L15" s="1">
        <f>[1]Results!O1375</f>
        <v>-7.6175832219428863E-2</v>
      </c>
      <c r="M15" s="1">
        <f>[1]Results!P1375</f>
        <v>-0.11508349149203177</v>
      </c>
      <c r="N15" s="1">
        <f>[1]Results!Q1375</f>
        <v>-0.1371772301497943</v>
      </c>
      <c r="O15" s="1">
        <f>[1]Results!R1375</f>
        <v>-0.13948706208158532</v>
      </c>
      <c r="P15" s="1">
        <f>[1]Results!S1375</f>
        <v>-0.12571952275575041</v>
      </c>
      <c r="Q15" s="1">
        <f>[1]Results!T1375</f>
        <v>-0.10287008712478987</v>
      </c>
      <c r="R15" s="1">
        <f>[1]Results!U1375</f>
        <v>-7.7876293480785341E-2</v>
      </c>
      <c r="S15" s="1">
        <f>[1]Results!V1375</f>
        <v>-5.534705264836693E-2</v>
      </c>
      <c r="T15" s="1">
        <f>[1]Results!W1375</f>
        <v>-3.7008576840335795E-2</v>
      </c>
      <c r="U15" s="1">
        <f>[1]Results!X1375</f>
        <v>-2.2442227461852628E-2</v>
      </c>
      <c r="V15" s="1">
        <f>[1]Results!Y1375</f>
        <v>-1.0341882854196483E-2</v>
      </c>
      <c r="W15" s="1">
        <f>[1]Results!Z1375</f>
        <v>5.6059182136865054E-4</v>
      </c>
      <c r="X15" s="1">
        <f>[1]Results!AA1375</f>
        <v>1.0296899444010908E-2</v>
      </c>
      <c r="Y15" s="1">
        <f>[1]Results!AB1375</f>
        <v>1.8642467889376298E-2</v>
      </c>
      <c r="Z15" s="1">
        <f>[1]Results!AC1375</f>
        <v>2.4918374393401155E-2</v>
      </c>
      <c r="AA15" s="1">
        <f>[1]Results!AD1375</f>
        <v>2.8490125765927403E-2</v>
      </c>
      <c r="AB15" s="1">
        <f>[1]Results!AE1375</f>
        <v>2.9259465078774624E-2</v>
      </c>
      <c r="AC15" s="1">
        <f>[1]Results!AF1375</f>
        <v>2.7229155442346973E-2</v>
      </c>
      <c r="AD15" s="1">
        <f>[1]Results!AG1375</f>
        <v>2.3389151288703967E-2</v>
      </c>
      <c r="AE15" s="1">
        <f>[1]Results!AH1375</f>
        <v>1.8758181546342356E-2</v>
      </c>
      <c r="AF15" s="1">
        <f>[1]Results!AI1375</f>
        <v>1.4210066498706106E-2</v>
      </c>
      <c r="AG15" s="1">
        <f>[1]Results!AJ1375</f>
        <v>1.0320575380951975E-2</v>
      </c>
      <c r="AH15" s="1">
        <f>[1]Results!AK1375</f>
        <v>7.3497723675166587E-3</v>
      </c>
      <c r="AI15" s="1">
        <f>[1]Results!AL1375</f>
        <v>5.3233156448066199E-3</v>
      </c>
      <c r="AJ15" s="1">
        <f>[1]Results!AM1375</f>
        <v>4.1330189965322426E-3</v>
      </c>
      <c r="AK15" s="1">
        <f>[1]Results!AN1375</f>
        <v>3.6370498905757133E-3</v>
      </c>
      <c r="AL15" s="1">
        <f>[1]Results!AO1375</f>
        <v>3.7255290227174724E-3</v>
      </c>
    </row>
    <row r="16" spans="1:3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8.759940577943856E-5</v>
      </c>
      <c r="J16" s="1">
        <f>[1]Results!M1376</f>
        <v>-6.6639566734903835E-5</v>
      </c>
      <c r="K16" s="1">
        <f>[1]Results!N1376</f>
        <v>2.7593923551735443E-4</v>
      </c>
      <c r="L16" s="1">
        <f>[1]Results!O1376</f>
        <v>1.438417359354127E-3</v>
      </c>
      <c r="M16" s="1">
        <f>[1]Results!P1376</f>
        <v>3.6760653689954259E-3</v>
      </c>
      <c r="N16" s="1">
        <f>[1]Results!Q1376</f>
        <v>6.257476288482426E-3</v>
      </c>
      <c r="O16" s="1">
        <f>[1]Results!R1376</f>
        <v>8.1736438679834086E-3</v>
      </c>
      <c r="P16" s="1">
        <f>[1]Results!S1376</f>
        <v>9.30313839783861E-3</v>
      </c>
      <c r="Q16" s="1">
        <f>[1]Results!T1376</f>
        <v>9.401363181205255E-3</v>
      </c>
      <c r="R16" s="1">
        <f>[1]Results!U1376</f>
        <v>8.4173374733370245E-3</v>
      </c>
      <c r="S16" s="1">
        <f>[1]Results!V1376</f>
        <v>6.5391566378060362E-3</v>
      </c>
      <c r="T16" s="1">
        <f>[1]Results!W1376</f>
        <v>4.1615778612780485E-3</v>
      </c>
      <c r="U16" s="1">
        <f>[1]Results!X1376</f>
        <v>1.7165342679345047E-3</v>
      </c>
      <c r="V16" s="1">
        <f>[1]Results!Y1376</f>
        <v>-4.6449186951164501E-4</v>
      </c>
      <c r="W16" s="1">
        <f>[1]Results!Z1376</f>
        <v>-2.2362261166284187E-3</v>
      </c>
      <c r="X16" s="1">
        <f>[1]Results!AA1376</f>
        <v>-3.4186861019281541E-3</v>
      </c>
      <c r="Y16" s="1">
        <f>[1]Results!AB1376</f>
        <v>-4.2666928157035029E-3</v>
      </c>
      <c r="Z16" s="1">
        <f>[1]Results!AC1376</f>
        <v>-4.7855426088299962E-3</v>
      </c>
      <c r="AA16" s="1">
        <f>[1]Results!AD1376</f>
        <v>-5.0618548415888838E-3</v>
      </c>
      <c r="AB16" s="1">
        <f>[1]Results!AE1376</f>
        <v>-5.2921951811121639E-3</v>
      </c>
      <c r="AC16" s="1">
        <f>[1]Results!AF1376</f>
        <v>-5.2370009277502797E-3</v>
      </c>
      <c r="AD16" s="1">
        <f>[1]Results!AG1376</f>
        <v>-5.1972511313823719E-3</v>
      </c>
      <c r="AE16" s="1">
        <f>[1]Results!AH1376</f>
        <v>-5.1659737308630384E-3</v>
      </c>
      <c r="AF16" s="1">
        <f>[1]Results!AI1376</f>
        <v>-5.1342116016387896E-3</v>
      </c>
      <c r="AG16" s="1">
        <f>[1]Results!AJ1376</f>
        <v>-5.1007045126439327E-3</v>
      </c>
      <c r="AH16" s="1">
        <f>[1]Results!AK1376</f>
        <v>-5.0725798512264789E-3</v>
      </c>
      <c r="AI16" s="1">
        <f>[1]Results!AL1376</f>
        <v>-5.0618909025606394E-3</v>
      </c>
      <c r="AJ16" s="1">
        <f>[1]Results!AM1376</f>
        <v>-5.0802602290154174E-3</v>
      </c>
      <c r="AK16" s="1">
        <f>[1]Results!AN1376</f>
        <v>-5.1364975109606335E-3</v>
      </c>
      <c r="AL16" s="1">
        <f>[1]Results!AO1376</f>
        <v>-5.2344206052714641E-3</v>
      </c>
    </row>
    <row r="17" spans="1:3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2.3971455071619484E-4</v>
      </c>
      <c r="J17" s="1">
        <f>[1]Results!M1377</f>
        <v>-4.4402038880020514E-3</v>
      </c>
      <c r="K17" s="1">
        <f>[1]Results!N1377</f>
        <v>-1.188919461357062E-2</v>
      </c>
      <c r="L17" s="1">
        <f>[1]Results!O1377</f>
        <v>-1.8659757964556729E-2</v>
      </c>
      <c r="M17" s="1">
        <f>[1]Results!P1377</f>
        <v>-2.1882309300576521E-2</v>
      </c>
      <c r="N17" s="1">
        <f>[1]Results!Q1377</f>
        <v>-2.0701530971094936E-2</v>
      </c>
      <c r="O17" s="1">
        <f>[1]Results!R1377</f>
        <v>-1.5417341735974213E-2</v>
      </c>
      <c r="P17" s="1">
        <f>[1]Results!S1377</f>
        <v>-7.5431043118534572E-3</v>
      </c>
      <c r="Q17" s="1">
        <f>[1]Results!T1377</f>
        <v>1.0511597232286288E-3</v>
      </c>
      <c r="R17" s="1">
        <f>[1]Results!U1377</f>
        <v>8.8554683284712468E-3</v>
      </c>
      <c r="S17" s="1">
        <f>[1]Results!V1377</f>
        <v>1.5063684900454288E-2</v>
      </c>
      <c r="T17" s="1">
        <f>[1]Results!W1377</f>
        <v>1.9548244258872614E-2</v>
      </c>
      <c r="U17" s="1">
        <f>[1]Results!X1377</f>
        <v>2.2607968773509911E-2</v>
      </c>
      <c r="V17" s="1">
        <f>[1]Results!Y1377</f>
        <v>2.4667331530446746E-2</v>
      </c>
      <c r="W17" s="1">
        <f>[1]Results!Z1377</f>
        <v>2.6099667142739924E-2</v>
      </c>
      <c r="X17" s="1">
        <f>[1]Results!AA1377</f>
        <v>2.6951617489218219E-2</v>
      </c>
      <c r="Y17" s="1">
        <f>[1]Results!AB1377</f>
        <v>2.7284639747542746E-2</v>
      </c>
      <c r="Z17" s="1">
        <f>[1]Results!AC1377</f>
        <v>2.7057439813254855E-2</v>
      </c>
      <c r="AA17" s="1">
        <f>[1]Results!AD1377</f>
        <v>2.6253897730237504E-2</v>
      </c>
      <c r="AB17" s="1">
        <f>[1]Results!AE1377</f>
        <v>2.4999458328952902E-2</v>
      </c>
      <c r="AC17" s="1">
        <f>[1]Results!AF1377</f>
        <v>2.3325502534315611E-2</v>
      </c>
      <c r="AD17" s="1">
        <f>[1]Results!AG1377</f>
        <v>2.1551463809703419E-2</v>
      </c>
      <c r="AE17" s="1">
        <f>[1]Results!AH1377</f>
        <v>1.9904741835757033E-2</v>
      </c>
      <c r="AF17" s="1">
        <f>[1]Results!AI1377</f>
        <v>1.8541239356990882E-2</v>
      </c>
      <c r="AG17" s="1">
        <f>[1]Results!AJ1377</f>
        <v>1.7528008826867024E-2</v>
      </c>
      <c r="AH17" s="1">
        <f>[1]Results!AK1377</f>
        <v>1.6854260145404233E-2</v>
      </c>
      <c r="AI17" s="1">
        <f>[1]Results!AL1377</f>
        <v>1.6459825612551937E-2</v>
      </c>
      <c r="AJ17" s="1">
        <f>[1]Results!AM1377</f>
        <v>1.6265659783120143E-2</v>
      </c>
      <c r="AK17" s="1">
        <f>[1]Results!AN1377</f>
        <v>1.6197003844017583E-2</v>
      </c>
      <c r="AL17" s="1">
        <f>[1]Results!AO1377</f>
        <v>1.6195090521638578E-2</v>
      </c>
    </row>
    <row r="18" spans="1:3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9.6757164790517436E-3</v>
      </c>
      <c r="J18" s="1">
        <f>[1]Results!M1378</f>
        <v>-8.7622056483060984E-2</v>
      </c>
      <c r="K18" s="1">
        <f>[1]Results!N1378</f>
        <v>-0.23499501197626893</v>
      </c>
      <c r="L18" s="1">
        <f>[1]Results!O1378</f>
        <v>-0.35323778577645015</v>
      </c>
      <c r="M18" s="1">
        <f>[1]Results!P1378</f>
        <v>-0.3856389181787323</v>
      </c>
      <c r="N18" s="1">
        <f>[1]Results!Q1378</f>
        <v>-0.33132117565709551</v>
      </c>
      <c r="O18" s="1">
        <f>[1]Results!R1378</f>
        <v>-0.2107678253527645</v>
      </c>
      <c r="P18" s="1">
        <f>[1]Results!S1378</f>
        <v>-6.5459835160619484E-2</v>
      </c>
      <c r="Q18" s="1">
        <f>[1]Results!T1378</f>
        <v>6.4883786177927227E-2</v>
      </c>
      <c r="R18" s="1">
        <f>[1]Results!U1378</f>
        <v>0.15540132827043251</v>
      </c>
      <c r="S18" s="1">
        <f>[1]Results!V1378</f>
        <v>0.19974778033395868</v>
      </c>
      <c r="T18" s="1">
        <f>[1]Results!W1378</f>
        <v>0.20581923267084523</v>
      </c>
      <c r="U18" s="1">
        <f>[1]Results!X1378</f>
        <v>0.18767167532796059</v>
      </c>
      <c r="V18" s="1">
        <f>[1]Results!Y1378</f>
        <v>0.15818013861110813</v>
      </c>
      <c r="W18" s="1">
        <f>[1]Results!Z1378</f>
        <v>0.12602300176713932</v>
      </c>
      <c r="X18" s="1">
        <f>[1]Results!AA1378</f>
        <v>9.1323796691211712E-2</v>
      </c>
      <c r="Y18" s="1">
        <f>[1]Results!AB1378</f>
        <v>5.4812961176220476E-2</v>
      </c>
      <c r="Z18" s="1">
        <f>[1]Results!AC1378</f>
        <v>1.5229127437121903E-2</v>
      </c>
      <c r="AA18" s="1">
        <f>[1]Results!AD1378</f>
        <v>-2.7459725460077244E-2</v>
      </c>
      <c r="AB18" s="1">
        <f>[1]Results!AE1378</f>
        <v>-7.1423484802402015E-2</v>
      </c>
      <c r="AC18" s="1">
        <f>[1]Results!AF1378</f>
        <v>-0.11339689210660975</v>
      </c>
      <c r="AD18" s="1">
        <f>[1]Results!AG1378</f>
        <v>-0.14885298895862542</v>
      </c>
      <c r="AE18" s="1">
        <f>[1]Results!AH1378</f>
        <v>-0.17489119054127089</v>
      </c>
      <c r="AF18" s="1">
        <f>[1]Results!AI1378</f>
        <v>-0.19055195506270106</v>
      </c>
      <c r="AG18" s="1">
        <f>[1]Results!AJ1378</f>
        <v>-0.19679946039310448</v>
      </c>
      <c r="AH18" s="1">
        <f>[1]Results!AK1378</f>
        <v>-0.19584481209788951</v>
      </c>
      <c r="AI18" s="1">
        <f>[1]Results!AL1378</f>
        <v>-0.19030232300135674</v>
      </c>
      <c r="AJ18" s="1">
        <f>[1]Results!AM1378</f>
        <v>-0.18257017085666627</v>
      </c>
      <c r="AK18" s="1">
        <f>[1]Results!AN1378</f>
        <v>-0.17446326638578258</v>
      </c>
      <c r="AL18" s="1">
        <f>[1]Results!AO1378</f>
        <v>-0.16712664297126034</v>
      </c>
    </row>
    <row r="19" spans="1:3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4.0868256795323354E-2</v>
      </c>
      <c r="J19" s="1">
        <f>[1]Results!M1379</f>
        <v>4.0654867946443574E-2</v>
      </c>
      <c r="K19" s="1">
        <f>[1]Results!N1379</f>
        <v>3.3574046446283035E-2</v>
      </c>
      <c r="L19" s="1">
        <f>[1]Results!O1379</f>
        <v>0.1177872254089829</v>
      </c>
      <c r="M19" s="1">
        <f>[1]Results!P1379</f>
        <v>0.3064200374221171</v>
      </c>
      <c r="N19" s="1">
        <f>[1]Results!Q1379</f>
        <v>0.54602773989840259</v>
      </c>
      <c r="O19" s="1">
        <f>[1]Results!R1379</f>
        <v>0.76559269293430265</v>
      </c>
      <c r="P19" s="1">
        <f>[1]Results!S1379</f>
        <v>0.9164378773981019</v>
      </c>
      <c r="Q19" s="1">
        <f>[1]Results!T1379</f>
        <v>0.98055122394136163</v>
      </c>
      <c r="R19" s="1">
        <f>[1]Results!U1379</f>
        <v>0.97134383131984858</v>
      </c>
      <c r="S19" s="1">
        <f>[1]Results!V1379</f>
        <v>0.92118406953234366</v>
      </c>
      <c r="T19" s="1">
        <f>[1]Results!W1379</f>
        <v>0.86505421572564689</v>
      </c>
      <c r="U19" s="1">
        <f>[1]Results!X1379</f>
        <v>0.82820692832328291</v>
      </c>
      <c r="V19" s="1">
        <f>[1]Results!Y1379</f>
        <v>0.82161568996845791</v>
      </c>
      <c r="W19" s="1">
        <f>[1]Results!Z1379</f>
        <v>0.84357683064906208</v>
      </c>
      <c r="X19" s="1">
        <f>[1]Results!AA1379</f>
        <v>0.88958626946742392</v>
      </c>
      <c r="Y19" s="1">
        <f>[1]Results!AB1379</f>
        <v>0.95166157859567502</v>
      </c>
      <c r="Z19" s="1">
        <f>[1]Results!AC1379</f>
        <v>1.0269732488185079</v>
      </c>
      <c r="AA19" s="1">
        <f>[1]Results!AD1379</f>
        <v>1.1159452069577247</v>
      </c>
      <c r="AB19" s="1">
        <f>[1]Results!AE1379</f>
        <v>1.217283377735412</v>
      </c>
      <c r="AC19" s="1">
        <f>[1]Results!AF1379</f>
        <v>1.3425994018515297</v>
      </c>
      <c r="AD19" s="1">
        <f>[1]Results!AG1379</f>
        <v>1.4905773045606807</v>
      </c>
      <c r="AE19" s="1">
        <f>[1]Results!AH1379</f>
        <v>1.6584902308133032</v>
      </c>
      <c r="AF19" s="1">
        <f>[1]Results!AI1379</f>
        <v>1.8413815021748547</v>
      </c>
      <c r="AG19" s="1">
        <f>[1]Results!AJ1379</f>
        <v>2.033612770687343</v>
      </c>
      <c r="AH19" s="1">
        <f>[1]Results!AK1379</f>
        <v>2.2303435614933198</v>
      </c>
      <c r="AI19" s="1">
        <f>[1]Results!AL1379</f>
        <v>2.4283565821612507</v>
      </c>
      <c r="AJ19" s="1">
        <f>[1]Results!AM1379</f>
        <v>2.6260885804825218</v>
      </c>
      <c r="AK19" s="1">
        <f>[1]Results!AN1379</f>
        <v>2.8231656120923709</v>
      </c>
      <c r="AL19" s="1">
        <f>[1]Results!AO1379</f>
        <v>3.0197930642577031</v>
      </c>
    </row>
    <row r="20" spans="1:3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</row>
    <row r="21" spans="1:3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8.9782229053603224E-2</v>
      </c>
      <c r="J21" s="1">
        <f>[1]Results!M1381</f>
        <v>1.7541225060724308E-2</v>
      </c>
      <c r="K21" s="1">
        <f>[1]Results!N1381</f>
        <v>-0.18983761190713988</v>
      </c>
      <c r="L21" s="1">
        <f>[1]Results!O1381</f>
        <v>-0.43687325942001198</v>
      </c>
      <c r="M21" s="1">
        <f>[1]Results!P1381</f>
        <v>-0.63198129372696865</v>
      </c>
      <c r="N21" s="1">
        <f>[1]Results!Q1381</f>
        <v>-0.72830578632139265</v>
      </c>
      <c r="O21" s="1">
        <f>[1]Results!R1381</f>
        <v>-0.71453932643505969</v>
      </c>
      <c r="P21" s="1">
        <f>[1]Results!S1381</f>
        <v>-0.6147584186321553</v>
      </c>
      <c r="Q21" s="1">
        <f>[1]Results!T1381</f>
        <v>-0.46978409546331035</v>
      </c>
      <c r="R21" s="1">
        <f>[1]Results!U1381</f>
        <v>-0.31850904682129144</v>
      </c>
      <c r="S21" s="1">
        <f>[1]Results!V1381</f>
        <v>-0.18590391554615948</v>
      </c>
      <c r="T21" s="1">
        <f>[1]Results!W1381</f>
        <v>-8.0564488987056038E-2</v>
      </c>
      <c r="U21" s="1">
        <f>[1]Results!X1381</f>
        <v>7.6441911969205023E-4</v>
      </c>
      <c r="V21" s="1">
        <f>[1]Results!Y1381</f>
        <v>6.6022622844830181E-2</v>
      </c>
      <c r="W21" s="1">
        <f>[1]Results!Z1381</f>
        <v>0.1226455295522344</v>
      </c>
      <c r="X21" s="1">
        <f>[1]Results!AA1381</f>
        <v>0.17120828125556375</v>
      </c>
      <c r="Y21" s="1">
        <f>[1]Results!AB1381</f>
        <v>0.21085948544923294</v>
      </c>
      <c r="Z21" s="1">
        <f>[1]Results!AC1381</f>
        <v>0.23829546271310065</v>
      </c>
      <c r="AA21" s="1">
        <f>[1]Results!AD1381</f>
        <v>0.25058800838402284</v>
      </c>
      <c r="AB21" s="1">
        <f>[1]Results!AE1381</f>
        <v>0.24734728223496649</v>
      </c>
      <c r="AC21" s="1">
        <f>[1]Results!AF1381</f>
        <v>0.23011405898847315</v>
      </c>
      <c r="AD21" s="1">
        <f>[1]Results!AG1381</f>
        <v>0.20423928677175684</v>
      </c>
      <c r="AE21" s="1">
        <f>[1]Results!AH1381</f>
        <v>0.17541948807577867</v>
      </c>
      <c r="AF21" s="1">
        <f>[1]Results!AI1381</f>
        <v>0.14834316115868162</v>
      </c>
      <c r="AG21" s="1">
        <f>[1]Results!AJ1381</f>
        <v>0.12591898426379533</v>
      </c>
      <c r="AH21" s="1">
        <f>[1]Results!AK1381</f>
        <v>0.10925575600586601</v>
      </c>
      <c r="AI21" s="1">
        <f>[1]Results!AL1381</f>
        <v>9.8171871714369807E-2</v>
      </c>
      <c r="AJ21" s="1">
        <f>[1]Results!AM1381</f>
        <v>9.179773070455699E-2</v>
      </c>
      <c r="AK21" s="1">
        <f>[1]Results!AN1381</f>
        <v>8.9137106447489955E-2</v>
      </c>
      <c r="AL21" s="1">
        <f>[1]Results!AO1381</f>
        <v>8.9415547112392524E-2</v>
      </c>
    </row>
    <row r="22" spans="1:3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0.10628123280280732</v>
      </c>
      <c r="J22" s="1">
        <f>[1]Results!M1382</f>
        <v>4.5533471575209816E-2</v>
      </c>
      <c r="K22" s="1">
        <f>[1]Results!N1382</f>
        <v>-0.1618910675887264</v>
      </c>
      <c r="L22" s="1">
        <f>[1]Results!O1382</f>
        <v>-0.42052105870360457</v>
      </c>
      <c r="M22" s="1">
        <f>[1]Results!P1382</f>
        <v>-0.63630439200443867</v>
      </c>
      <c r="N22" s="1">
        <f>[1]Results!Q1382</f>
        <v>-0.75820588265614886</v>
      </c>
      <c r="O22" s="1">
        <f>[1]Results!R1382</f>
        <v>-0.77083295493216575</v>
      </c>
      <c r="P22" s="1">
        <f>[1]Results!S1382</f>
        <v>-0.69473210134010088</v>
      </c>
      <c r="Q22" s="1">
        <f>[1]Results!T1382</f>
        <v>-0.56852261000372994</v>
      </c>
      <c r="R22" s="1">
        <f>[1]Results!U1382</f>
        <v>-0.43045498639003865</v>
      </c>
      <c r="S22" s="1">
        <f>[1]Results!V1382</f>
        <v>-0.30595180260624133</v>
      </c>
      <c r="T22" s="1">
        <f>[1]Results!W1382</f>
        <v>-0.20456180249155409</v>
      </c>
      <c r="U22" s="1">
        <f>[1]Results!X1382</f>
        <v>-0.12400770227286584</v>
      </c>
      <c r="V22" s="1">
        <f>[1]Results!Y1382</f>
        <v>-5.7112005496695595E-2</v>
      </c>
      <c r="W22" s="1">
        <f>[1]Results!Z1382</f>
        <v>3.0905649566648208E-3</v>
      </c>
      <c r="X22" s="1">
        <f>[1]Results!AA1382</f>
        <v>5.6728093682689718E-2</v>
      </c>
      <c r="Y22" s="1">
        <f>[1]Results!AB1382</f>
        <v>0.10260711036529369</v>
      </c>
      <c r="Z22" s="1">
        <f>[1]Results!AC1382</f>
        <v>0.13697965914607479</v>
      </c>
      <c r="AA22" s="1">
        <f>[1]Results!AD1382</f>
        <v>0.15638937917619167</v>
      </c>
      <c r="AB22" s="1">
        <f>[1]Results!AE1382</f>
        <v>0.15997186729552748</v>
      </c>
      <c r="AC22" s="1">
        <f>[1]Results!AF1382</f>
        <v>0.14866484494790999</v>
      </c>
      <c r="AD22" s="1">
        <f>[1]Results!AG1382</f>
        <v>0.12751442769596277</v>
      </c>
      <c r="AE22" s="1">
        <f>[1]Results!AH1382</f>
        <v>0.10211092918903653</v>
      </c>
      <c r="AF22" s="1">
        <f>[1]Results!AI1382</f>
        <v>7.7229893961328067E-2</v>
      </c>
      <c r="AG22" s="1">
        <f>[1]Results!AJ1382</f>
        <v>5.6000277890144723E-2</v>
      </c>
      <c r="AH22" s="1">
        <f>[1]Results!AK1382</f>
        <v>3.9817246279660878E-2</v>
      </c>
      <c r="AI22" s="1">
        <f>[1]Results!AL1382</f>
        <v>2.8795701628281378E-2</v>
      </c>
      <c r="AJ22" s="1">
        <f>[1]Results!AM1382</f>
        <v>2.2326038839781681E-2</v>
      </c>
      <c r="AK22" s="1">
        <f>[1]Results!AN1382</f>
        <v>1.9622091095361505E-2</v>
      </c>
      <c r="AL22" s="1">
        <f>[1]Results!AO1382</f>
        <v>2.0076229060461692E-2</v>
      </c>
    </row>
    <row r="23" spans="1:3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-7.1186738859974064E-3</v>
      </c>
      <c r="J23" s="1">
        <f>[1]Results!M1383</f>
        <v>-7.2501735755881036E-2</v>
      </c>
      <c r="K23" s="1">
        <f>[1]Results!N1383</f>
        <v>-0.2001049789669973</v>
      </c>
      <c r="L23" s="1">
        <f>[1]Results!O1383</f>
        <v>-0.36818286942331691</v>
      </c>
      <c r="M23" s="1">
        <f>[1]Results!P1383</f>
        <v>-0.5428876393172799</v>
      </c>
      <c r="N23" s="1">
        <f>[1]Results!Q1383</f>
        <v>-0.69507454510632227</v>
      </c>
      <c r="O23" s="1">
        <f>[1]Results!R1383</f>
        <v>-0.80608758470915864</v>
      </c>
      <c r="P23" s="1">
        <f>[1]Results!S1383</f>
        <v>-0.87051972638703123</v>
      </c>
      <c r="Q23" s="1">
        <f>[1]Results!T1383</f>
        <v>-0.89356656154340186</v>
      </c>
      <c r="R23" s="1">
        <f>[1]Results!U1383</f>
        <v>-0.88572381646314646</v>
      </c>
      <c r="S23" s="1">
        <f>[1]Results!V1383</f>
        <v>-0.85764091847372326</v>
      </c>
      <c r="T23" s="1">
        <f>[1]Results!W1383</f>
        <v>-0.8170873735128259</v>
      </c>
      <c r="U23" s="1">
        <f>[1]Results!X1383</f>
        <v>-0.76839552740939343</v>
      </c>
      <c r="V23" s="1">
        <f>[1]Results!Y1383</f>
        <v>-0.71361084660337415</v>
      </c>
      <c r="W23" s="1">
        <f>[1]Results!Z1383</f>
        <v>-0.65402993808668652</v>
      </c>
      <c r="X23" s="1">
        <f>[1]Results!AA1383</f>
        <v>-0.59193479202842569</v>
      </c>
      <c r="Y23" s="1">
        <f>[1]Results!AB1383</f>
        <v>-0.53042833032401759</v>
      </c>
      <c r="Z23" s="1">
        <f>[1]Results!AC1383</f>
        <v>-0.47317648683752322</v>
      </c>
      <c r="AA23" s="1">
        <f>[1]Results!AD1383</f>
        <v>-0.42366138521154895</v>
      </c>
      <c r="AB23" s="1">
        <f>[1]Results!AE1383</f>
        <v>-0.38442420567844637</v>
      </c>
      <c r="AC23" s="1">
        <f>[1]Results!AF1383</f>
        <v>-0.35650275403680265</v>
      </c>
      <c r="AD23" s="1">
        <f>[1]Results!AG1383</f>
        <v>-0.33923785334193379</v>
      </c>
      <c r="AE23" s="1">
        <f>[1]Results!AH1383</f>
        <v>-0.33074389893160694</v>
      </c>
      <c r="AF23" s="1">
        <f>[1]Results!AI1383</f>
        <v>-0.32855604679209449</v>
      </c>
      <c r="AG23" s="1">
        <f>[1]Results!AJ1383</f>
        <v>-0.33019055525580487</v>
      </c>
      <c r="AH23" s="1">
        <f>[1]Results!AK1383</f>
        <v>-0.33348971390123605</v>
      </c>
      <c r="AI23" s="1">
        <f>[1]Results!AL1383</f>
        <v>-0.33674622969677159</v>
      </c>
      <c r="AJ23" s="1">
        <f>[1]Results!AM1383</f>
        <v>-0.33869109722919344</v>
      </c>
      <c r="AK23" s="1">
        <f>[1]Results!AN1383</f>
        <v>-0.338409620670721</v>
      </c>
      <c r="AL23" s="1">
        <f>[1]Results!AO1383</f>
        <v>-0.33525858114453744</v>
      </c>
    </row>
    <row r="24" spans="1:3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0.13809715022317093</v>
      </c>
      <c r="J24" s="1">
        <f>[1]Results!M1384</f>
        <v>0.13642610107229558</v>
      </c>
      <c r="K24" s="1">
        <f>[1]Results!N1384</f>
        <v>7.8954787713492181E-2</v>
      </c>
      <c r="L24" s="1">
        <f>[1]Results!O1384</f>
        <v>1.9782618955255238E-2</v>
      </c>
      <c r="M24" s="1">
        <f>[1]Results!P1384</f>
        <v>-9.485282553090002E-3</v>
      </c>
      <c r="N24" s="1">
        <f>[1]Results!Q1384</f>
        <v>-2.0817515884119508E-3</v>
      </c>
      <c r="O24" s="1">
        <f>[1]Results!R1384</f>
        <v>3.5769920903616637E-2</v>
      </c>
      <c r="P24" s="1">
        <f>[1]Results!S1384</f>
        <v>8.9124132738560569E-2</v>
      </c>
      <c r="Q24" s="1">
        <f>[1]Results!T1384</f>
        <v>0.14230710805100966</v>
      </c>
      <c r="R24" s="1">
        <f>[1]Results!U1384</f>
        <v>0.18482817160632159</v>
      </c>
      <c r="S24" s="1">
        <f>[1]Results!V1384</f>
        <v>0.213335402726611</v>
      </c>
      <c r="T24" s="1">
        <f>[1]Results!W1384</f>
        <v>0.23016271416174128</v>
      </c>
      <c r="U24" s="1">
        <f>[1]Results!X1384</f>
        <v>0.24013107080944618</v>
      </c>
      <c r="V24" s="1">
        <f>[1]Results!Y1384</f>
        <v>0.24759368371336521</v>
      </c>
      <c r="W24" s="1">
        <f>[1]Results!Z1384</f>
        <v>0.25514209212800232</v>
      </c>
      <c r="X24" s="1">
        <f>[1]Results!AA1384</f>
        <v>0.26227895253212452</v>
      </c>
      <c r="Y24" s="1">
        <f>[1]Results!AB1384</f>
        <v>0.26842192057501268</v>
      </c>
      <c r="Z24" s="1">
        <f>[1]Results!AC1384</f>
        <v>0.27247637075953346</v>
      </c>
      <c r="AA24" s="1">
        <f>[1]Results!AD1384</f>
        <v>0.27399059837363016</v>
      </c>
      <c r="AB24" s="1">
        <f>[1]Results!AE1384</f>
        <v>0.27334343328817567</v>
      </c>
      <c r="AC24" s="1">
        <f>[1]Results!AF1384</f>
        <v>0.27217964934138639</v>
      </c>
      <c r="AD24" s="1">
        <f>[1]Results!AG1384</f>
        <v>0.27229517255542568</v>
      </c>
      <c r="AE24" s="1">
        <f>[1]Results!AH1384</f>
        <v>0.27513324852406207</v>
      </c>
      <c r="AF24" s="1">
        <f>[1]Results!AI1384</f>
        <v>0.28142501961718747</v>
      </c>
      <c r="AG24" s="1">
        <f>[1]Results!AJ1384</f>
        <v>0.29116871524335064</v>
      </c>
      <c r="AH24" s="1">
        <f>[1]Results!AK1384</f>
        <v>0.30384768481672708</v>
      </c>
      <c r="AI24" s="1">
        <f>[1]Results!AL1384</f>
        <v>0.31873085517488686</v>
      </c>
      <c r="AJ24" s="1">
        <f>[1]Results!AM1384</f>
        <v>0.33509502912489886</v>
      </c>
      <c r="AK24" s="1">
        <f>[1]Results!AN1384</f>
        <v>0.35235433500115931</v>
      </c>
      <c r="AL24" s="1">
        <f>[1]Results!AO1384</f>
        <v>0.3700979175529362</v>
      </c>
    </row>
    <row r="25" spans="1:3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9.9092516368415318E-3</v>
      </c>
      <c r="J25" s="1">
        <f>[1]Results!M1385</f>
        <v>-9.0876560504982162E-2</v>
      </c>
      <c r="K25" s="1">
        <f>[1]Results!N1385</f>
        <v>-0.24426100730134959</v>
      </c>
      <c r="L25" s="1">
        <f>[1]Results!O1385</f>
        <v>-0.3688455635585286</v>
      </c>
      <c r="M25" s="1">
        <f>[1]Results!P1385</f>
        <v>-0.40928481665056804</v>
      </c>
      <c r="N25" s="1">
        <f>[1]Results!Q1385</f>
        <v>-0.35597592930296518</v>
      </c>
      <c r="O25" s="1">
        <f>[1]Results!R1385</f>
        <v>-0.23402808602053238</v>
      </c>
      <c r="P25" s="1">
        <f>[1]Results!S1385</f>
        <v>-8.5563931099563728E-2</v>
      </c>
      <c r="Q25" s="1">
        <f>[1]Results!T1385</f>
        <v>4.9134275598761157E-2</v>
      </c>
      <c r="R25" s="1">
        <f>[1]Results!U1385</f>
        <v>0.14461086580774829</v>
      </c>
      <c r="S25" s="1">
        <f>[1]Results!V1385</f>
        <v>0.1940132835162478</v>
      </c>
      <c r="T25" s="1">
        <f>[1]Results!W1385</f>
        <v>0.20478335318252494</v>
      </c>
      <c r="U25" s="1">
        <f>[1]Results!X1385</f>
        <v>0.19064580002925435</v>
      </c>
      <c r="V25" s="1">
        <f>[1]Results!Y1385</f>
        <v>0.16428772356928967</v>
      </c>
      <c r="W25" s="1">
        <f>[1]Results!Z1385</f>
        <v>0.1338589747542418</v>
      </c>
      <c r="X25" s="1">
        <f>[1]Results!AA1385</f>
        <v>0.10062383648636875</v>
      </c>
      <c r="Y25" s="1">
        <f>[1]Results!AB1385</f>
        <v>6.4656692343922906E-2</v>
      </c>
      <c r="Z25" s="1">
        <f>[1]Results!AC1385</f>
        <v>2.4815257574184457E-2</v>
      </c>
      <c r="AA25" s="1">
        <f>[1]Results!AD1385</f>
        <v>-1.8701432424084174E-2</v>
      </c>
      <c r="AB25" s="1">
        <f>[1]Results!AE1385</f>
        <v>-6.2910559381479381E-2</v>
      </c>
      <c r="AC25" s="1">
        <f>[1]Results!AF1385</f>
        <v>-0.10601394570983746</v>
      </c>
      <c r="AD25" s="1">
        <f>[1]Results!AG1385</f>
        <v>-0.14244103227623039</v>
      </c>
      <c r="AE25" s="1">
        <f>[1]Results!AH1385</f>
        <v>-0.16919127332498674</v>
      </c>
      <c r="AF25" s="1">
        <f>[1]Results!AI1385</f>
        <v>-0.18529231611582597</v>
      </c>
      <c r="AG25" s="1">
        <f>[1]Results!AJ1385</f>
        <v>-0.19174067831992936</v>
      </c>
      <c r="AH25" s="1">
        <f>[1]Results!AK1385</f>
        <v>-0.19079548932176005</v>
      </c>
      <c r="AI25" s="1">
        <f>[1]Results!AL1385</f>
        <v>-0.18511679137364068</v>
      </c>
      <c r="AJ25" s="1">
        <f>[1]Results!AM1385</f>
        <v>-0.17714103954225013</v>
      </c>
      <c r="AK25" s="1">
        <f>[1]Results!AN1385</f>
        <v>-0.16871063053757185</v>
      </c>
      <c r="AL25" s="1">
        <f>[1]Results!AO1385</f>
        <v>-0.16099041995467633</v>
      </c>
    </row>
    <row r="26" spans="1:3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8.1984511476651534E-2</v>
      </c>
      <c r="J26" s="1">
        <f>[1]Results!M1386</f>
        <v>1.5765782646504078E-2</v>
      </c>
      <c r="K26" s="1">
        <f>[1]Results!N1386</f>
        <v>-0.17305236094103948</v>
      </c>
      <c r="L26" s="1">
        <f>[1]Results!O1386</f>
        <v>-0.3955631907103907</v>
      </c>
      <c r="M26" s="1">
        <f>[1]Results!P1386</f>
        <v>-0.55769729610726237</v>
      </c>
      <c r="N26" s="1">
        <f>[1]Results!Q1386</f>
        <v>-0.64069608914405496</v>
      </c>
      <c r="O26" s="1">
        <f>[1]Results!R1386</f>
        <v>-0.62280067661325544</v>
      </c>
      <c r="P26" s="1">
        <f>[1]Results!S1386</f>
        <v>-0.52733239427300571</v>
      </c>
      <c r="Q26" s="1">
        <f>[1]Results!T1386</f>
        <v>-0.39367325381342022</v>
      </c>
      <c r="R26" s="1">
        <f>[1]Results!U1386</f>
        <v>-0.2583869377768333</v>
      </c>
      <c r="S26" s="1">
        <f>[1]Results!V1386</f>
        <v>-0.14396148508908357</v>
      </c>
      <c r="T26" s="1">
        <f>[1]Results!W1386</f>
        <v>-5.6757720264322131E-2</v>
      </c>
      <c r="U26" s="1">
        <f>[1]Results!X1386</f>
        <v>8.0343864374166074E-3</v>
      </c>
      <c r="V26" s="1">
        <f>[1]Results!Y1386</f>
        <v>5.9157090342520924E-2</v>
      </c>
      <c r="W26" s="1">
        <f>[1]Results!Z1386</f>
        <v>0.10508147268519785</v>
      </c>
      <c r="X26" s="1">
        <f>[1]Results!AA1386</f>
        <v>0.14473717473355574</v>
      </c>
      <c r="Y26" s="1">
        <f>[1]Results!AB1386</f>
        <v>0.17771420652430425</v>
      </c>
      <c r="Z26" s="1">
        <f>[1]Results!AC1386</f>
        <v>0.20094892334399095</v>
      </c>
      <c r="AA26" s="1">
        <f>[1]Results!AD1386</f>
        <v>0.21128990842109729</v>
      </c>
      <c r="AB26" s="1">
        <f>[1]Results!AE1386</f>
        <v>0.21278248161782365</v>
      </c>
      <c r="AC26" s="1">
        <f>[1]Results!AF1386</f>
        <v>0.19587859344365466</v>
      </c>
      <c r="AD26" s="1">
        <f>[1]Results!AG1386</f>
        <v>0.17119892351160626</v>
      </c>
      <c r="AE26" s="1">
        <f>[1]Results!AH1386</f>
        <v>0.1439469584189057</v>
      </c>
      <c r="AF26" s="1">
        <f>[1]Results!AI1386</f>
        <v>0.11845745454395207</v>
      </c>
      <c r="AG26" s="1">
        <f>[1]Results!AJ1386</f>
        <v>9.7417027668345035E-2</v>
      </c>
      <c r="AH26" s="1">
        <f>[1]Results!AK1386</f>
        <v>8.1815063560419787E-2</v>
      </c>
      <c r="AI26" s="1">
        <f>[1]Results!AL1386</f>
        <v>7.1419179096920971E-2</v>
      </c>
      <c r="AJ26" s="1">
        <f>[1]Results!AM1386</f>
        <v>6.535591189915646E-2</v>
      </c>
      <c r="AK26" s="1">
        <f>[1]Results!AN1386</f>
        <v>6.2646586907622037E-2</v>
      </c>
      <c r="AL26" s="1">
        <f>[1]Results!AO1386</f>
        <v>6.254440800839145E-2</v>
      </c>
    </row>
    <row r="27" spans="1:3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4.035968912097232E-3</v>
      </c>
      <c r="J27" s="1">
        <f>[1]Results!M1387</f>
        <v>-3.2950532599329563E-3</v>
      </c>
      <c r="K27" s="1">
        <f>[1]Results!N1387</f>
        <v>1.4174995812354929E-2</v>
      </c>
      <c r="L27" s="1">
        <f>[1]Results!O1387</f>
        <v>7.5571531262541569E-2</v>
      </c>
      <c r="M27" s="1">
        <f>[1]Results!P1387</f>
        <v>0.16502586287436838</v>
      </c>
      <c r="N27" s="1">
        <f>[1]Results!Q1387</f>
        <v>0.31483380986367937</v>
      </c>
      <c r="O27" s="1">
        <f>[1]Results!R1387</f>
        <v>0.43455854834932861</v>
      </c>
      <c r="P27" s="1">
        <f>[1]Results!S1387</f>
        <v>0.508461819219308</v>
      </c>
      <c r="Q27" s="1">
        <f>[1]Results!T1387</f>
        <v>0.52167620161818196</v>
      </c>
      <c r="R27" s="1">
        <f>[1]Results!U1387</f>
        <v>0.47167195180708443</v>
      </c>
      <c r="S27" s="1">
        <f>[1]Results!V1387</f>
        <v>0.36927053979936009</v>
      </c>
      <c r="T27" s="1">
        <f>[1]Results!W1387</f>
        <v>0.2366887230128123</v>
      </c>
      <c r="U27" s="1">
        <f>[1]Results!X1387</f>
        <v>9.832642944558323E-2</v>
      </c>
      <c r="V27" s="1">
        <f>[1]Results!Y1387</f>
        <v>-2.6803169148148509E-2</v>
      </c>
      <c r="W27" s="1">
        <f>[1]Results!Z1387</f>
        <v>-0.14855720527446881</v>
      </c>
      <c r="X27" s="1">
        <f>[1]Results!AA1387</f>
        <v>-0.21141825283972349</v>
      </c>
      <c r="Y27" s="1">
        <f>[1]Results!AB1387</f>
        <v>-0.256803912626824</v>
      </c>
      <c r="Z27" s="1">
        <f>[1]Results!AC1387</f>
        <v>-0.2861798904721935</v>
      </c>
      <c r="AA27" s="1">
        <f>[1]Results!AD1387</f>
        <v>-0.30355625386433438</v>
      </c>
      <c r="AB27" s="1">
        <f>[1]Results!AE1387</f>
        <v>-0.49172907857695236</v>
      </c>
      <c r="AC27" s="1">
        <f>[1]Results!AF1387</f>
        <v>-0.44906811463604202</v>
      </c>
      <c r="AD27" s="1">
        <f>[1]Results!AG1387</f>
        <v>-0.42923242019939911</v>
      </c>
      <c r="AE27" s="1">
        <f>[1]Results!AH1387</f>
        <v>-0.4199721946320123</v>
      </c>
      <c r="AF27" s="1">
        <f>[1]Results!AI1387</f>
        <v>-0.41543432802352287</v>
      </c>
      <c r="AG27" s="1">
        <f>[1]Results!AJ1387</f>
        <v>-0.41309311463318954</v>
      </c>
      <c r="AH27" s="1">
        <f>[1]Results!AK1387</f>
        <v>-0.41232972515651278</v>
      </c>
      <c r="AI27" s="1">
        <f>[1]Results!AL1387</f>
        <v>-0.41353679929334586</v>
      </c>
      <c r="AJ27" s="1">
        <f>[1]Results!AM1387</f>
        <v>-0.41739784516888756</v>
      </c>
      <c r="AK27" s="1">
        <f>[1]Results!AN1387</f>
        <v>-0.42454273632542838</v>
      </c>
      <c r="AL27" s="1">
        <f>[1]Results!AO1387</f>
        <v>-0.43528167455747502</v>
      </c>
    </row>
    <row r="28" spans="1:3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6.6703643420762404E-3</v>
      </c>
      <c r="J28" s="1">
        <f>[1]Results!M1388</f>
        <v>-0.12346394157080054</v>
      </c>
      <c r="K28" s="1">
        <f>[1]Results!N1388</f>
        <v>-0.33065747624850816</v>
      </c>
      <c r="L28" s="1">
        <f>[1]Results!O1388</f>
        <v>-0.51931124889874614</v>
      </c>
      <c r="M28" s="1">
        <f>[1]Results!P1388</f>
        <v>-0.61017875109931063</v>
      </c>
      <c r="N28" s="1">
        <f>[1]Results!Q1388</f>
        <v>-0.57741766014928197</v>
      </c>
      <c r="O28" s="1">
        <f>[1]Results!R1388</f>
        <v>-0.430256416139152</v>
      </c>
      <c r="P28" s="1">
        <f>[1]Results!S1388</f>
        <v>-0.21063536420536932</v>
      </c>
      <c r="Q28" s="1">
        <f>[1]Results!T1388</f>
        <v>2.9367948504277486E-2</v>
      </c>
      <c r="R28" s="1">
        <f>[1]Results!U1388</f>
        <v>0.24747349680356301</v>
      </c>
      <c r="S28" s="1">
        <f>[1]Results!V1388</f>
        <v>0.42091476866013</v>
      </c>
      <c r="T28" s="1">
        <f>[1]Results!W1388</f>
        <v>0.54590979380446658</v>
      </c>
      <c r="U28" s="1">
        <f>[1]Results!X1388</f>
        <v>0.63070624419063748</v>
      </c>
      <c r="V28" s="1">
        <f>[1]Results!Y1388</f>
        <v>0.68716660296372911</v>
      </c>
      <c r="W28" s="1">
        <f>[1]Results!Z1388</f>
        <v>0.72522469897666753</v>
      </c>
      <c r="X28" s="1">
        <f>[1]Results!AA1388</f>
        <v>0.74763095003551605</v>
      </c>
      <c r="Y28" s="1">
        <f>[1]Results!AB1388</f>
        <v>0.75536379466927261</v>
      </c>
      <c r="Z28" s="1">
        <f>[1]Results!AC1388</f>
        <v>0.74740089587777003</v>
      </c>
      <c r="AA28" s="1">
        <f>[1]Results!AD1388</f>
        <v>0.72348778114035284</v>
      </c>
      <c r="AB28" s="1">
        <f>[1]Results!AE1388</f>
        <v>0.68567724180175205</v>
      </c>
      <c r="AC28" s="1">
        <f>[1]Results!AF1388</f>
        <v>0.63842668366396182</v>
      </c>
      <c r="AD28" s="1">
        <f>[1]Results!AG1388</f>
        <v>0.58858910962580335</v>
      </c>
      <c r="AE28" s="1">
        <f>[1]Results!AH1388</f>
        <v>0.54238254281246956</v>
      </c>
      <c r="AF28" s="1">
        <f>[1]Results!AI1388</f>
        <v>0.50406098618047679</v>
      </c>
      <c r="AG28" s="1">
        <f>[1]Results!AJ1388</f>
        <v>0.47543074051754619</v>
      </c>
      <c r="AH28" s="1">
        <f>[1]Results!AK1388</f>
        <v>0.45616317754915148</v>
      </c>
      <c r="AI28" s="1">
        <f>[1]Results!AL1388</f>
        <v>0.44458539029399446</v>
      </c>
      <c r="AJ28" s="1">
        <f>[1]Results!AM1388</f>
        <v>0.43851842018143294</v>
      </c>
      <c r="AK28" s="1">
        <f>[1]Results!AN1388</f>
        <v>0.43590843169105664</v>
      </c>
      <c r="AL28" s="1">
        <f>[1]Results!AO1388</f>
        <v>0.43514350410001068</v>
      </c>
    </row>
    <row r="29" spans="1:3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4.8302346825579434E-2</v>
      </c>
      <c r="J29" s="1">
        <f>[1]Results!M1389</f>
        <v>0.18465511276095636</v>
      </c>
      <c r="K29" s="1">
        <f>[1]Results!N1389</f>
        <v>0.39363417241262688</v>
      </c>
      <c r="L29" s="1">
        <f>[1]Results!O1389</f>
        <v>0.64559877973187074</v>
      </c>
      <c r="M29" s="1">
        <f>[1]Results!P1389</f>
        <v>0.89320557364440667</v>
      </c>
      <c r="N29" s="1">
        <f>[1]Results!Q1389</f>
        <v>1.0985827038981988</v>
      </c>
      <c r="O29" s="1">
        <f>[1]Results!R1389</f>
        <v>1.2348482740317079</v>
      </c>
      <c r="P29" s="1">
        <f>[1]Results!S1389</f>
        <v>1.2960813575090047</v>
      </c>
      <c r="Q29" s="1">
        <f>[1]Results!T1389</f>
        <v>1.2921360268570492</v>
      </c>
      <c r="R29" s="1">
        <f>[1]Results!U1389</f>
        <v>1.2406672556872111</v>
      </c>
      <c r="S29" s="1">
        <f>[1]Results!V1389</f>
        <v>1.1593223141048714</v>
      </c>
      <c r="T29" s="1">
        <f>[1]Results!W1389</f>
        <v>1.0612005522346202</v>
      </c>
      <c r="U29" s="1">
        <f>[1]Results!X1389</f>
        <v>0.95404648452730445</v>
      </c>
      <c r="V29" s="1">
        <f>[1]Results!Y1389</f>
        <v>0.84198560914632292</v>
      </c>
      <c r="W29" s="1">
        <f>[1]Results!Z1389</f>
        <v>0.72761363962150494</v>
      </c>
      <c r="X29" s="1">
        <f>[1]Results!AA1389</f>
        <v>0.61539368293266339</v>
      </c>
      <c r="Y29" s="1">
        <f>[1]Results!AB1389</f>
        <v>0.50987693208781604</v>
      </c>
      <c r="Z29" s="1">
        <f>[1]Results!AC1389</f>
        <v>0.41630903176603784</v>
      </c>
      <c r="AA29" s="1">
        <f>[1]Results!AD1389</f>
        <v>0.33920401378124687</v>
      </c>
      <c r="AB29" s="1">
        <f>[1]Results!AE1389</f>
        <v>0.28134589202171156</v>
      </c>
      <c r="AC29" s="1">
        <f>[1]Results!AF1389</f>
        <v>0.24330578276441361</v>
      </c>
      <c r="AD29" s="1">
        <f>[1]Results!AG1389</f>
        <v>0.22271414136130208</v>
      </c>
      <c r="AE29" s="1">
        <f>[1]Results!AH1389</f>
        <v>0.21569940715271407</v>
      </c>
      <c r="AF29" s="1">
        <f>[1]Results!AI1389</f>
        <v>0.21777016038282415</v>
      </c>
      <c r="AG29" s="1">
        <f>[1]Results!AJ1389</f>
        <v>0.22467449779128845</v>
      </c>
      <c r="AH29" s="1">
        <f>[1]Results!AK1389</f>
        <v>0.23289081789201749</v>
      </c>
      <c r="AI29" s="1">
        <f>[1]Results!AL1389</f>
        <v>0.23976654764008565</v>
      </c>
      <c r="AJ29" s="1">
        <f>[1]Results!AM1389</f>
        <v>0.24344218963909814</v>
      </c>
      <c r="AK29" s="1">
        <f>[1]Results!AN1389</f>
        <v>0.24267105865265481</v>
      </c>
      <c r="AL29" s="1">
        <f>[1]Results!AO1389</f>
        <v>0.23665097181511108</v>
      </c>
    </row>
    <row r="30" spans="1:3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1.4417855259307721E-2</v>
      </c>
      <c r="J30" s="1">
        <f>[1]Results!M1390</f>
        <v>-0.13443386202283136</v>
      </c>
      <c r="K30" s="1">
        <f>[1]Results!N1390</f>
        <v>-0.29452670150631466</v>
      </c>
      <c r="L30" s="1">
        <f>[1]Results!O1390</f>
        <v>-0.3857847382440438</v>
      </c>
      <c r="M30" s="1">
        <f>[1]Results!P1390</f>
        <v>-0.37213684641312916</v>
      </c>
      <c r="N30" s="1">
        <f>[1]Results!Q1390</f>
        <v>-0.27956208338770772</v>
      </c>
      <c r="O30" s="1">
        <f>[1]Results!R1390</f>
        <v>-0.14093873101197474</v>
      </c>
      <c r="P30" s="1">
        <f>[1]Results!S1390</f>
        <v>-1.4161029153081373E-3</v>
      </c>
      <c r="Q30" s="1">
        <f>[1]Results!T1390</f>
        <v>0.10572098309400424</v>
      </c>
      <c r="R30" s="1">
        <f>[1]Results!U1390</f>
        <v>0.16698586189050069</v>
      </c>
      <c r="S30" s="1">
        <f>[1]Results!V1390</f>
        <v>0.18652718243536981</v>
      </c>
      <c r="T30" s="1">
        <f>[1]Results!W1390</f>
        <v>0.17797155097172279</v>
      </c>
      <c r="U30" s="1">
        <f>[1]Results!X1390</f>
        <v>0.15570941835953978</v>
      </c>
      <c r="V30" s="1">
        <f>[1]Results!Y1390</f>
        <v>0.12932884101761744</v>
      </c>
      <c r="W30" s="1">
        <f>[1]Results!Z1390</f>
        <v>0.10319658272297527</v>
      </c>
      <c r="X30" s="1">
        <f>[1]Results!AA1390</f>
        <v>7.3912209381998828E-2</v>
      </c>
      <c r="Y30" s="1">
        <f>[1]Results!AB1390</f>
        <v>4.1172675461798036E-2</v>
      </c>
      <c r="Z30" s="1">
        <f>[1]Results!AC1390</f>
        <v>3.8188557770491016E-3</v>
      </c>
      <c r="AA30" s="1">
        <f>[1]Results!AD1390</f>
        <v>-3.7208143678291172E-2</v>
      </c>
      <c r="AB30" s="1">
        <f>[1]Results!AE1390</f>
        <v>-7.8981870974970114E-2</v>
      </c>
      <c r="AC30" s="1">
        <f>[1]Results!AF1390</f>
        <v>-0.11772119542645676</v>
      </c>
      <c r="AD30" s="1">
        <f>[1]Results!AG1390</f>
        <v>-0.14889878745896201</v>
      </c>
      <c r="AE30" s="1">
        <f>[1]Results!AH1390</f>
        <v>-0.17038551418342429</v>
      </c>
      <c r="AF30" s="1">
        <f>[1]Results!AI1390</f>
        <v>-0.18222966183569778</v>
      </c>
      <c r="AG30" s="1">
        <f>[1]Results!AJ1390</f>
        <v>-0.18611066761649031</v>
      </c>
      <c r="AH30" s="1">
        <f>[1]Results!AK1390</f>
        <v>-0.18444829649886252</v>
      </c>
      <c r="AI30" s="1">
        <f>[1]Results!AL1390</f>
        <v>-0.17961413625848799</v>
      </c>
      <c r="AJ30" s="1">
        <f>[1]Results!AM1390</f>
        <v>-0.17352320912704666</v>
      </c>
      <c r="AK30" s="1">
        <f>[1]Results!AN1390</f>
        <v>-0.16746699893914752</v>
      </c>
      <c r="AL30" s="1">
        <f>[1]Results!AO1390</f>
        <v>-0.16217574707704241</v>
      </c>
    </row>
    <row r="31" spans="1:3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-3.1978681235811379E-2</v>
      </c>
      <c r="J31" s="1">
        <f>[1]Results!M1391</f>
        <v>6.7753561124406225E-2</v>
      </c>
      <c r="K31" s="1">
        <f>[1]Results!N1391</f>
        <v>0.30119389285738762</v>
      </c>
      <c r="L31" s="1">
        <f>[1]Results!O1391</f>
        <v>0.6249517858953002</v>
      </c>
      <c r="M31" s="1">
        <f>[1]Results!P1391</f>
        <v>0.96512271175296371</v>
      </c>
      <c r="N31" s="1">
        <f>[1]Results!Q1391</f>
        <v>1.25899285283535</v>
      </c>
      <c r="O31" s="1">
        <f>[1]Results!R1391</f>
        <v>1.4620677180328667</v>
      </c>
      <c r="P31" s="1">
        <f>[1]Results!S1391</f>
        <v>1.5618790669176486</v>
      </c>
      <c r="Q31" s="1">
        <f>[1]Results!T1391</f>
        <v>1.5710980485348913</v>
      </c>
      <c r="R31" s="1">
        <f>[1]Results!U1391</f>
        <v>1.5152763901846056</v>
      </c>
      <c r="S31" s="1">
        <f>[1]Results!V1391</f>
        <v>1.4205751437925573</v>
      </c>
      <c r="T31" s="1">
        <f>[1]Results!W1391</f>
        <v>1.3061931042883335</v>
      </c>
      <c r="U31" s="1">
        <f>[1]Results!X1391</f>
        <v>1.1826521120953393</v>
      </c>
      <c r="V31" s="1">
        <f>[1]Results!Y1391</f>
        <v>1.0543126079444853</v>
      </c>
      <c r="W31" s="1">
        <f>[1]Results!Z1391</f>
        <v>0.92286970669435142</v>
      </c>
      <c r="X31" s="1">
        <f>[1]Results!AA1391</f>
        <v>0.79244674067884269</v>
      </c>
      <c r="Y31" s="1">
        <f>[1]Results!AB1391</f>
        <v>0.66807906313970378</v>
      </c>
      <c r="Z31" s="1">
        <f>[1]Results!AC1391</f>
        <v>0.55636929639405475</v>
      </c>
      <c r="AA31" s="1">
        <f>[1]Results!AD1391</f>
        <v>0.46357128867696717</v>
      </c>
      <c r="AB31" s="1">
        <f>[1]Results!AE1391</f>
        <v>0.39404966695980592</v>
      </c>
      <c r="AC31" s="1">
        <f>[1]Results!AF1391</f>
        <v>0.34905485459809649</v>
      </c>
      <c r="AD31" s="1">
        <f>[1]Results!AG1391</f>
        <v>0.32620612529667969</v>
      </c>
      <c r="AE31" s="1">
        <f>[1]Results!AH1391</f>
        <v>0.32083869252772512</v>
      </c>
      <c r="AF31" s="1">
        <f>[1]Results!AI1391</f>
        <v>0.32727691532024039</v>
      </c>
      <c r="AG31" s="1">
        <f>[1]Results!AJ1391</f>
        <v>0.34008862228205317</v>
      </c>
      <c r="AH31" s="1">
        <f>[1]Results!AK1391</f>
        <v>0.35482888328053352</v>
      </c>
      <c r="AI31" s="1">
        <f>[1]Results!AL1391</f>
        <v>0.3682500835313518</v>
      </c>
      <c r="AJ31" s="1">
        <f>[1]Results!AM1391</f>
        <v>0.37816940170388724</v>
      </c>
      <c r="AK31" s="1">
        <f>[1]Results!AN1391</f>
        <v>0.38317616968130963</v>
      </c>
      <c r="AL31" s="1">
        <f>[1]Results!AO1391</f>
        <v>0.38235862281803534</v>
      </c>
    </row>
    <row r="32" spans="1:3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-6.5863172802083092E-2</v>
      </c>
      <c r="J32" s="1">
        <f>[1]Results!M1392</f>
        <v>-0.2513354136593815</v>
      </c>
      <c r="K32" s="1">
        <f>[1]Results!N1392</f>
        <v>-0.38696698106155392</v>
      </c>
      <c r="L32" s="1">
        <f>[1]Results!O1392</f>
        <v>-0.40643173208061434</v>
      </c>
      <c r="M32" s="1">
        <f>[1]Results!P1392</f>
        <v>-0.30021970830457212</v>
      </c>
      <c r="N32" s="1">
        <f>[1]Results!Q1392</f>
        <v>-0.1191519344505565</v>
      </c>
      <c r="O32" s="1">
        <f>[1]Results!R1392</f>
        <v>8.628071298918405E-2</v>
      </c>
      <c r="P32" s="1">
        <f>[1]Results!S1392</f>
        <v>0.26438160649333575</v>
      </c>
      <c r="Q32" s="1">
        <f>[1]Results!T1392</f>
        <v>0.38468300477184636</v>
      </c>
      <c r="R32" s="1">
        <f>[1]Results!U1392</f>
        <v>0.44159499638789512</v>
      </c>
      <c r="S32" s="1">
        <f>[1]Results!V1392</f>
        <v>0.44778001212305574</v>
      </c>
      <c r="T32" s="1">
        <f>[1]Results!W1392</f>
        <v>0.42296410302543608</v>
      </c>
      <c r="U32" s="1">
        <f>[1]Results!X1392</f>
        <v>0.38431504592757459</v>
      </c>
      <c r="V32" s="1">
        <f>[1]Results!Y1392</f>
        <v>0.34165583981577985</v>
      </c>
      <c r="W32" s="1">
        <f>[1]Results!Z1392</f>
        <v>0.29845264979582176</v>
      </c>
      <c r="X32" s="1">
        <f>[1]Results!AA1392</f>
        <v>0.25096526712817813</v>
      </c>
      <c r="Y32" s="1">
        <f>[1]Results!AB1392</f>
        <v>0.19937480651368578</v>
      </c>
      <c r="Z32" s="1">
        <f>[1]Results!AC1392</f>
        <v>0.14387912040506601</v>
      </c>
      <c r="AA32" s="1">
        <f>[1]Results!AD1392</f>
        <v>8.7159131217429131E-2</v>
      </c>
      <c r="AB32" s="1">
        <f>[1]Results!AE1392</f>
        <v>3.3721903963124245E-2</v>
      </c>
      <c r="AC32" s="1">
        <f>[1]Results!AF1392</f>
        <v>-1.1972123592773887E-2</v>
      </c>
      <c r="AD32" s="1">
        <f>[1]Results!AG1392</f>
        <v>-4.5406803523584394E-2</v>
      </c>
      <c r="AE32" s="1">
        <f>[1]Results!AH1392</f>
        <v>-6.5246228808413242E-2</v>
      </c>
      <c r="AF32" s="1">
        <f>[1]Results!AI1392</f>
        <v>-7.2722906898281536E-2</v>
      </c>
      <c r="AG32" s="1">
        <f>[1]Results!AJ1392</f>
        <v>-7.0696543125725597E-2</v>
      </c>
      <c r="AH32" s="1">
        <f>[1]Results!AK1392</f>
        <v>-6.2510231110346481E-2</v>
      </c>
      <c r="AI32" s="1">
        <f>[1]Results!AL1392</f>
        <v>-5.1130600367221835E-2</v>
      </c>
      <c r="AJ32" s="1">
        <f>[1]Results!AM1392</f>
        <v>-3.8795997062257559E-2</v>
      </c>
      <c r="AK32" s="1">
        <f>[1]Results!AN1392</f>
        <v>-2.6961887910492699E-2</v>
      </c>
      <c r="AL32" s="1">
        <f>[1]Results!AO1392</f>
        <v>-1.6468096074118144E-2</v>
      </c>
    </row>
    <row r="33" spans="1:3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</row>
    <row r="34" spans="1:3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1.4417855259307721E-2</v>
      </c>
      <c r="J34" s="1">
        <f>[1]Results!M1394</f>
        <v>-0.13443386202283136</v>
      </c>
      <c r="K34" s="1">
        <f>[1]Results!N1394</f>
        <v>-0.29452670150631466</v>
      </c>
      <c r="L34" s="1">
        <f>[1]Results!O1394</f>
        <v>-0.3857847382440438</v>
      </c>
      <c r="M34" s="1">
        <f>[1]Results!P1394</f>
        <v>-0.37213684641312916</v>
      </c>
      <c r="N34" s="1">
        <f>[1]Results!Q1394</f>
        <v>-0.27956208338770772</v>
      </c>
      <c r="O34" s="1">
        <f>[1]Results!R1394</f>
        <v>-0.14093873101197474</v>
      </c>
      <c r="P34" s="1">
        <f>[1]Results!S1394</f>
        <v>-1.4161029153081373E-3</v>
      </c>
      <c r="Q34" s="1">
        <f>[1]Results!T1394</f>
        <v>0.10572098309400424</v>
      </c>
      <c r="R34" s="1">
        <f>[1]Results!U1394</f>
        <v>0.16698586189050069</v>
      </c>
      <c r="S34" s="1">
        <f>[1]Results!V1394</f>
        <v>0.18652718243536981</v>
      </c>
      <c r="T34" s="1">
        <f>[1]Results!W1394</f>
        <v>0.17797155097172279</v>
      </c>
      <c r="U34" s="1">
        <f>[1]Results!X1394</f>
        <v>0.15570941835953978</v>
      </c>
      <c r="V34" s="1">
        <f>[1]Results!Y1394</f>
        <v>0.12932884101761744</v>
      </c>
      <c r="W34" s="1">
        <f>[1]Results!Z1394</f>
        <v>0.10319658272297527</v>
      </c>
      <c r="X34" s="1">
        <f>[1]Results!AA1394</f>
        <v>7.3912209381998828E-2</v>
      </c>
      <c r="Y34" s="1">
        <f>[1]Results!AB1394</f>
        <v>4.1172675461798036E-2</v>
      </c>
      <c r="Z34" s="1">
        <f>[1]Results!AC1394</f>
        <v>3.8188557770491016E-3</v>
      </c>
      <c r="AA34" s="1">
        <f>[1]Results!AD1394</f>
        <v>-3.7208143678291172E-2</v>
      </c>
      <c r="AB34" s="1">
        <f>[1]Results!AE1394</f>
        <v>-7.8981870974970114E-2</v>
      </c>
      <c r="AC34" s="1">
        <f>[1]Results!AF1394</f>
        <v>-0.11772119542645676</v>
      </c>
      <c r="AD34" s="1">
        <f>[1]Results!AG1394</f>
        <v>-0.14889878745896201</v>
      </c>
      <c r="AE34" s="1">
        <f>[1]Results!AH1394</f>
        <v>-0.17038551418342429</v>
      </c>
      <c r="AF34" s="1">
        <f>[1]Results!AI1394</f>
        <v>-0.18222966183569778</v>
      </c>
      <c r="AG34" s="1">
        <f>[1]Results!AJ1394</f>
        <v>-0.18611066761649031</v>
      </c>
      <c r="AH34" s="1">
        <f>[1]Results!AK1394</f>
        <v>-0.18444829649886252</v>
      </c>
      <c r="AI34" s="1">
        <f>[1]Results!AL1394</f>
        <v>-0.17961413625848799</v>
      </c>
      <c r="AJ34" s="1">
        <f>[1]Results!AM1394</f>
        <v>-0.17352320912704666</v>
      </c>
      <c r="AK34" s="1">
        <f>[1]Results!AN1394</f>
        <v>-0.16746699893914752</v>
      </c>
      <c r="AL34" s="1">
        <f>[1]Results!AO1394</f>
        <v>-0.16217574707704241</v>
      </c>
    </row>
    <row r="35" spans="1:3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3.9195035227646002E-2</v>
      </c>
      <c r="J35" s="1">
        <f>[1]Results!M1395</f>
        <v>0.34667684615150574</v>
      </c>
      <c r="K35" s="1">
        <f>[1]Results!N1395</f>
        <v>0.76013468296829423</v>
      </c>
      <c r="L35" s="1">
        <f>[1]Results!O1395</f>
        <v>1.1553684387951124</v>
      </c>
      <c r="M35" s="1">
        <f>[1]Results!P1395</f>
        <v>1.4371792102357173</v>
      </c>
      <c r="N35" s="1">
        <f>[1]Results!Q1395</f>
        <v>1.582698238430913</v>
      </c>
      <c r="O35" s="1">
        <f>[1]Results!R1395</f>
        <v>1.5992014277027122</v>
      </c>
      <c r="P35" s="1">
        <f>[1]Results!S1395</f>
        <v>1.5272826059830491</v>
      </c>
      <c r="Q35" s="1">
        <f>[1]Results!T1395</f>
        <v>1.4136970563526807</v>
      </c>
      <c r="R35" s="1">
        <f>[1]Results!U1395</f>
        <v>1.2931568070104094</v>
      </c>
      <c r="S35" s="1">
        <f>[1]Results!V1395</f>
        <v>1.1813531431049018</v>
      </c>
      <c r="T35" s="1">
        <f>[1]Results!W1395</f>
        <v>1.0785964804420178</v>
      </c>
      <c r="U35" s="1">
        <f>[1]Results!X1395</f>
        <v>0.97837887582641336</v>
      </c>
      <c r="V35" s="1">
        <f>[1]Results!Y1395</f>
        <v>0.87538819806811663</v>
      </c>
      <c r="W35" s="1">
        <f>[1]Results!Z1395</f>
        <v>0.76892963958286042</v>
      </c>
      <c r="X35" s="1">
        <f>[1]Results!AA1395</f>
        <v>0.66665219452612945</v>
      </c>
      <c r="Y35" s="1">
        <f>[1]Results!AB1395</f>
        <v>0.57592467375779943</v>
      </c>
      <c r="Z35" s="1">
        <f>[1]Results!AC1395</f>
        <v>0.50424687600059137</v>
      </c>
      <c r="AA35" s="1">
        <f>[1]Results!AD1395</f>
        <v>0.45607416008708324</v>
      </c>
      <c r="AB35" s="1">
        <f>[1]Results!AE1395</f>
        <v>0.43192799539035764</v>
      </c>
      <c r="AC35" s="1">
        <f>[1]Results!AF1395</f>
        <v>0.4278047330048107</v>
      </c>
      <c r="AD35" s="1">
        <f>[1]Results!AG1395</f>
        <v>0.43673348069046547</v>
      </c>
      <c r="AE35" s="1">
        <f>[1]Results!AH1395</f>
        <v>0.4517855419597927</v>
      </c>
      <c r="AF35" s="1">
        <f>[1]Results!AI1395</f>
        <v>0.46759699495908524</v>
      </c>
      <c r="AG35" s="1">
        <f>[1]Results!AJ1395</f>
        <v>0.48078002341658266</v>
      </c>
      <c r="AH35" s="1">
        <f>[1]Results!AK1395</f>
        <v>0.48957103044791062</v>
      </c>
      <c r="AI35" s="1">
        <f>[1]Results!AL1395</f>
        <v>0.49318811131229268</v>
      </c>
      <c r="AJ35" s="1">
        <f>[1]Results!AM1395</f>
        <v>0.49132082514535824</v>
      </c>
      <c r="AK35" s="1">
        <f>[1]Results!AN1395</f>
        <v>0.48377435515727374</v>
      </c>
      <c r="AL35" s="1">
        <f>[1]Results!AO1395</f>
        <v>0.47037006932222347</v>
      </c>
    </row>
    <row r="36" spans="1:3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3.0614702435793895E-2</v>
      </c>
      <c r="J36" s="1">
        <f>[1]Results!M1396</f>
        <v>0.28580446671380155</v>
      </c>
      <c r="K36" s="1">
        <f>[1]Results!N1396</f>
        <v>0.63778999523809166</v>
      </c>
      <c r="L36" s="1">
        <f>[1]Results!O1396</f>
        <v>0.98186350535911515</v>
      </c>
      <c r="M36" s="1">
        <f>[1]Results!P1396</f>
        <v>1.2356524227773225</v>
      </c>
      <c r="N36" s="1">
        <f>[1]Results!Q1396</f>
        <v>1.372318278875384</v>
      </c>
      <c r="O36" s="1">
        <f>[1]Results!R1396</f>
        <v>1.3970274504142566</v>
      </c>
      <c r="P36" s="1">
        <f>[1]Results!S1396</f>
        <v>1.3419876349761939</v>
      </c>
      <c r="Q36" s="1">
        <f>[1]Results!T1396</f>
        <v>1.2464237642996645</v>
      </c>
      <c r="R36" s="1">
        <f>[1]Results!U1396</f>
        <v>1.1408877183401556</v>
      </c>
      <c r="S36" s="1">
        <f>[1]Results!V1396</f>
        <v>1.040489657339827</v>
      </c>
      <c r="T36" s="1">
        <f>[1]Results!W1396</f>
        <v>0.94718465647645189</v>
      </c>
      <c r="U36" s="1">
        <f>[1]Results!X1396</f>
        <v>0.85656512266554241</v>
      </c>
      <c r="V36" s="1">
        <f>[1]Results!Y1396</f>
        <v>0.76458784008215375</v>
      </c>
      <c r="W36" s="1">
        <f>[1]Results!Z1396</f>
        <v>0.67077360454936841</v>
      </c>
      <c r="X36" s="1">
        <f>[1]Results!AA1396</f>
        <v>0.58115280616550802</v>
      </c>
      <c r="Y36" s="1">
        <f>[1]Results!AB1396</f>
        <v>0.50210132718147005</v>
      </c>
      <c r="Z36" s="1">
        <f>[1]Results!AC1396</f>
        <v>0.43994408553953424</v>
      </c>
      <c r="AA36" s="1">
        <f>[1]Results!AD1396</f>
        <v>0.39849881818854183</v>
      </c>
      <c r="AB36" s="1">
        <f>[1]Results!AE1396</f>
        <v>0.37810596237106697</v>
      </c>
      <c r="AC36" s="1">
        <f>[1]Results!AF1396</f>
        <v>0.37561238035650479</v>
      </c>
      <c r="AD36" s="1">
        <f>[1]Results!AG1396</f>
        <v>0.3850154245792492</v>
      </c>
      <c r="AE36" s="1">
        <f>[1]Results!AH1396</f>
        <v>0.40021239346150761</v>
      </c>
      <c r="AF36" s="1">
        <f>[1]Results!AI1396</f>
        <v>0.41629588582945409</v>
      </c>
      <c r="AG36" s="1">
        <f>[1]Results!AJ1396</f>
        <v>0.43000743630106086</v>
      </c>
      <c r="AH36" s="1">
        <f>[1]Results!AK1396</f>
        <v>0.43952823749768832</v>
      </c>
      <c r="AI36" s="1">
        <f>[1]Results!AL1396</f>
        <v>0.44398541451822204</v>
      </c>
      <c r="AJ36" s="1">
        <f>[1]Results!AM1396</f>
        <v>0.44302336163062339</v>
      </c>
      <c r="AK36" s="1">
        <f>[1]Results!AN1396</f>
        <v>0.43648919859535784</v>
      </c>
      <c r="AL36" s="1">
        <f>[1]Results!AO1396</f>
        <v>0.42432587699823276</v>
      </c>
    </row>
    <row r="37" spans="1:3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-2.4343702379470145E-4</v>
      </c>
      <c r="J37" s="1">
        <f>[1]Results!M1397</f>
        <v>7.0199697219663904E-4</v>
      </c>
      <c r="K37" s="1">
        <f>[1]Results!N1397</f>
        <v>1.1725593677569535E-3</v>
      </c>
      <c r="L37" s="1">
        <f>[1]Results!O1397</f>
        <v>2.1991533984966338E-4</v>
      </c>
      <c r="M37" s="1">
        <f>[1]Results!P1397</f>
        <v>-1.7230895757447406E-3</v>
      </c>
      <c r="N37" s="1">
        <f>[1]Results!Q1397</f>
        <v>-3.5758327718626859E-3</v>
      </c>
      <c r="O37" s="1">
        <f>[1]Results!R1397</f>
        <v>-4.3617726371292243E-3</v>
      </c>
      <c r="P37" s="1">
        <f>[1]Results!S1397</f>
        <v>-3.6130614058826893E-3</v>
      </c>
      <c r="Q37" s="1">
        <f>[1]Results!T1397</f>
        <v>-1.419166817884232E-3</v>
      </c>
      <c r="R37" s="1">
        <f>[1]Results!U1397</f>
        <v>1.6713489717323782E-3</v>
      </c>
      <c r="S37" s="1">
        <f>[1]Results!V1397</f>
        <v>4.8649863649830039E-3</v>
      </c>
      <c r="T37" s="1">
        <f>[1]Results!W1397</f>
        <v>7.4037207538291128E-3</v>
      </c>
      <c r="U37" s="1">
        <f>[1]Results!X1397</f>
        <v>8.8006732003931276E-3</v>
      </c>
      <c r="V37" s="1">
        <f>[1]Results!Y1397</f>
        <v>8.9368041198190085E-3</v>
      </c>
      <c r="W37" s="1">
        <f>[1]Results!Z1397</f>
        <v>8.0081415074539919E-3</v>
      </c>
      <c r="X37" s="1">
        <f>[1]Results!AA1397</f>
        <v>6.3763076234568672E-3</v>
      </c>
      <c r="Y37" s="1">
        <f>[1]Results!AB1397</f>
        <v>4.4281124970346752E-3</v>
      </c>
      <c r="Z37" s="1">
        <f>[1]Results!AC1397</f>
        <v>2.4552062245497552E-3</v>
      </c>
      <c r="AA37" s="1">
        <f>[1]Results!AD1397</f>
        <v>6.3064959403558163E-4</v>
      </c>
      <c r="AB37" s="1">
        <f>[1]Results!AE1397</f>
        <v>-9.6864989143075064E-4</v>
      </c>
      <c r="AC37" s="1">
        <f>[1]Results!AF1397</f>
        <v>-2.3577790237649943E-3</v>
      </c>
      <c r="AD37" s="1">
        <f>[1]Results!AG1397</f>
        <v>-3.5120625861861932E-3</v>
      </c>
      <c r="AE37" s="1">
        <f>[1]Results!AH1397</f>
        <v>-4.4349505473939566E-3</v>
      </c>
      <c r="AF37" s="1">
        <f>[1]Results!AI1397</f>
        <v>-5.1221104917398286E-3</v>
      </c>
      <c r="AG37" s="1">
        <f>[1]Results!AJ1397</f>
        <v>-5.5708176856850145E-3</v>
      </c>
      <c r="AH37" s="1">
        <f>[1]Results!AK1397</f>
        <v>-5.7923328117048811E-3</v>
      </c>
      <c r="AI37" s="1">
        <f>[1]Results!AL1397</f>
        <v>-5.8184379659542707E-3</v>
      </c>
      <c r="AJ37" s="1">
        <f>[1]Results!AM1397</f>
        <v>-5.6986860524910199E-3</v>
      </c>
      <c r="AK37" s="1">
        <f>[1]Results!AN1397</f>
        <v>-5.4915283471457244E-3</v>
      </c>
      <c r="AL37" s="1">
        <f>[1]Results!AO1397</f>
        <v>-5.2529987594307492E-3</v>
      </c>
    </row>
    <row r="38" spans="1:3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1.3554110905289463E-2</v>
      </c>
      <c r="J38" s="1">
        <f>[1]Results!M1398</f>
        <v>3.1514391347120529E-2</v>
      </c>
      <c r="K38" s="1">
        <f>[1]Results!N1398</f>
        <v>0.11425065473451568</v>
      </c>
      <c r="L38" s="1">
        <f>[1]Results!O1398</f>
        <v>0.27879023867978248</v>
      </c>
      <c r="M38" s="1">
        <f>[1]Results!P1398</f>
        <v>0.50256173581908481</v>
      </c>
      <c r="N38" s="1">
        <f>[1]Results!Q1398</f>
        <v>0.73916181224791266</v>
      </c>
      <c r="O38" s="1">
        <f>[1]Results!R1398</f>
        <v>0.9457867779827156</v>
      </c>
      <c r="P38" s="1">
        <f>[1]Results!S1398</f>
        <v>1.091666772357458</v>
      </c>
      <c r="Q38" s="1">
        <f>[1]Results!T1398</f>
        <v>1.1656245871036974</v>
      </c>
      <c r="R38" s="1">
        <f>[1]Results!U1398</f>
        <v>1.1741597143765325</v>
      </c>
      <c r="S38" s="1">
        <f>[1]Results!V1398</f>
        <v>1.1340158322550975</v>
      </c>
      <c r="T38" s="1">
        <f>[1]Results!W1398</f>
        <v>1.0637621302504563</v>
      </c>
      <c r="U38" s="1">
        <f>[1]Results!X1398</f>
        <v>0.97799471160466833</v>
      </c>
      <c r="V38" s="1">
        <f>[1]Results!Y1398</f>
        <v>0.88542994230611516</v>
      </c>
      <c r="W38" s="1">
        <f>[1]Results!Z1398</f>
        <v>0.7901242136308273</v>
      </c>
      <c r="X38" s="1">
        <f>[1]Results!AA1398</f>
        <v>0.69365789289119739</v>
      </c>
      <c r="Y38" s="1">
        <f>[1]Results!AB1398</f>
        <v>0.59867092844685388</v>
      </c>
      <c r="Z38" s="1">
        <f>[1]Results!AC1398</f>
        <v>0.50844105721048471</v>
      </c>
      <c r="AA38" s="1">
        <f>[1]Results!AD1398</f>
        <v>0.42709247002470363</v>
      </c>
      <c r="AB38" s="1">
        <f>[1]Results!AE1398</f>
        <v>0.35869031093076487</v>
      </c>
      <c r="AC38" s="1">
        <f>[1]Results!AF1398</f>
        <v>0.30629218922935131</v>
      </c>
      <c r="AD38" s="1">
        <f>[1]Results!AG1398</f>
        <v>0.27108140576919126</v>
      </c>
      <c r="AE38" s="1">
        <f>[1]Results!AH1398</f>
        <v>0.2517348012368581</v>
      </c>
      <c r="AF38" s="1">
        <f>[1]Results!AI1398</f>
        <v>0.2451334386047721</v>
      </c>
      <c r="AG38" s="1">
        <f>[1]Results!AJ1398</f>
        <v>0.24734360419480517</v>
      </c>
      <c r="AH38" s="1">
        <f>[1]Results!AK1398</f>
        <v>0.25450596081653121</v>
      </c>
      <c r="AI38" s="1">
        <f>[1]Results!AL1398</f>
        <v>0.26339549676426266</v>
      </c>
      <c r="AJ38" s="1">
        <f>[1]Results!AM1398</f>
        <v>0.27160723432173572</v>
      </c>
      <c r="AK38" s="1">
        <f>[1]Results!AN1398</f>
        <v>0.27750433811293274</v>
      </c>
      <c r="AL38" s="1">
        <f>[1]Results!AO1398</f>
        <v>0.28003924324011553</v>
      </c>
    </row>
    <row r="39" spans="1:3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-2.0323494148299925E-2</v>
      </c>
      <c r="J39" s="1">
        <f>[1]Results!M1399</f>
        <v>-0.28665988335376813</v>
      </c>
      <c r="K39" s="1">
        <f>[1]Results!N1399</f>
        <v>-0.56998778625332314</v>
      </c>
      <c r="L39" s="1">
        <f>[1]Results!O1399</f>
        <v>-0.74491039624557942</v>
      </c>
      <c r="M39" s="1">
        <f>[1]Results!P1399</f>
        <v>-0.75324949880124503</v>
      </c>
      <c r="N39" s="1">
        <f>[1]Results!Q1399</f>
        <v>-0.63029657563642427</v>
      </c>
      <c r="O39" s="1">
        <f>[1]Results!R1399</f>
        <v>-0.42416462526654319</v>
      </c>
      <c r="P39" s="1">
        <f>[1]Results!S1399</f>
        <v>-0.20319424786112705</v>
      </c>
      <c r="Q39" s="1">
        <f>[1]Results!T1399</f>
        <v>-2.0546687665889962E-2</v>
      </c>
      <c r="R39" s="1">
        <f>[1]Results!U1399</f>
        <v>9.9410963560675469E-2</v>
      </c>
      <c r="S39" s="1">
        <f>[1]Results!V1399</f>
        <v>0.15966746327598091</v>
      </c>
      <c r="T39" s="1">
        <f>[1]Results!W1399</f>
        <v>0.17895256800839476</v>
      </c>
      <c r="U39" s="1">
        <f>[1]Results!X1399</f>
        <v>0.17823473151046265</v>
      </c>
      <c r="V39" s="1">
        <f>[1]Results!Y1399</f>
        <v>0.17155060716467219</v>
      </c>
      <c r="W39" s="1">
        <f>[1]Results!Z1399</f>
        <v>0.16467887375546386</v>
      </c>
      <c r="X39" s="1">
        <f>[1]Results!AA1399</f>
        <v>0.15135685003861976</v>
      </c>
      <c r="Y39" s="1">
        <f>[1]Results!AB1399</f>
        <v>0.1293603543336852</v>
      </c>
      <c r="Z39" s="1">
        <f>[1]Results!AC1399</f>
        <v>9.5556719142542157E-2</v>
      </c>
      <c r="AA39" s="1">
        <f>[1]Results!AD1399</f>
        <v>5.0490261084101817E-2</v>
      </c>
      <c r="AB39" s="1">
        <f>[1]Results!AE1399</f>
        <v>-1.631573055227431E-3</v>
      </c>
      <c r="AC39" s="1">
        <f>[1]Results!AF1399</f>
        <v>-5.4537892456418824E-2</v>
      </c>
      <c r="AD39" s="1">
        <f>[1]Results!AG1399</f>
        <v>-0.10015931807569878</v>
      </c>
      <c r="AE39" s="1">
        <f>[1]Results!AH1399</f>
        <v>-0.13383340948555089</v>
      </c>
      <c r="AF39" s="1">
        <f>[1]Results!AI1399</f>
        <v>-0.15424938634260865</v>
      </c>
      <c r="AG39" s="1">
        <f>[1]Results!AJ1399</f>
        <v>-0.16277291422802653</v>
      </c>
      <c r="AH39" s="1">
        <f>[1]Results!AK1399</f>
        <v>-0.16215641144290416</v>
      </c>
      <c r="AI39" s="1">
        <f>[1]Results!AL1399</f>
        <v>-0.15533374740210881</v>
      </c>
      <c r="AJ39" s="1">
        <f>[1]Results!AM1399</f>
        <v>-0.1447545878997536</v>
      </c>
      <c r="AK39" s="1">
        <f>[1]Results!AN1399</f>
        <v>-0.13209196007955004</v>
      </c>
      <c r="AL39" s="1">
        <f>[1]Results!AO1399</f>
        <v>-0.11831560142095965</v>
      </c>
    </row>
    <row r="40" spans="1:3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1.3553759487106021E-2</v>
      </c>
      <c r="J40" s="1">
        <f>[1]Results!M1400</f>
        <v>3.1509910317217837E-2</v>
      </c>
      <c r="K40" s="1">
        <f>[1]Results!N1400</f>
        <v>0.1142392381774826</v>
      </c>
      <c r="L40" s="1">
        <f>[1]Results!O1400</f>
        <v>0.27877180946049851</v>
      </c>
      <c r="M40" s="1">
        <f>[1]Results!P1400</f>
        <v>0.50253890475058238</v>
      </c>
      <c r="N40" s="1">
        <f>[1]Results!Q1400</f>
        <v>0.73913806995247189</v>
      </c>
      <c r="O40" s="1">
        <f>[1]Results!R1400</f>
        <v>0.9457652411436257</v>
      </c>
      <c r="P40" s="1">
        <f>[1]Results!S1400</f>
        <v>1.0916493457146625</v>
      </c>
      <c r="Q40" s="1">
        <f>[1]Results!T1400</f>
        <v>1.1656118278887018</v>
      </c>
      <c r="R40" s="1">
        <f>[1]Results!U1400</f>
        <v>1.1741511481807132</v>
      </c>
      <c r="S40" s="1">
        <f>[1]Results!V1400</f>
        <v>1.1340105637069664</v>
      </c>
      <c r="T40" s="1">
        <f>[1]Results!W1400</f>
        <v>1.0637593491244157</v>
      </c>
      <c r="U40" s="1">
        <f>[1]Results!X1400</f>
        <v>0.97799397005153832</v>
      </c>
      <c r="V40" s="1">
        <f>[1]Results!Y1400</f>
        <v>0.88543099144160475</v>
      </c>
      <c r="W40" s="1">
        <f>[1]Results!Z1400</f>
        <v>0.79012699118246044</v>
      </c>
      <c r="X40" s="1">
        <f>[1]Results!AA1400</f>
        <v>0.69366223457603127</v>
      </c>
      <c r="Y40" s="1">
        <f>[1]Results!AB1400</f>
        <v>0.5986765095157498</v>
      </c>
      <c r="Z40" s="1">
        <f>[1]Results!AC1400</f>
        <v>0.50844739681370488</v>
      </c>
      <c r="AA40" s="1">
        <f>[1]Results!AD1400</f>
        <v>0.4270991346962516</v>
      </c>
      <c r="AB40" s="1">
        <f>[1]Results!AE1400</f>
        <v>0.35869697962103153</v>
      </c>
      <c r="AC40" s="1">
        <f>[1]Results!AF1400</f>
        <v>0.3062983752002868</v>
      </c>
      <c r="AD40" s="1">
        <f>[1]Results!AG1400</f>
        <v>0.27108720322031044</v>
      </c>
      <c r="AE40" s="1">
        <f>[1]Results!AH1400</f>
        <v>0.25174021867904184</v>
      </c>
      <c r="AF40" s="1">
        <f>[1]Results!AI1400</f>
        <v>0.24513881388357195</v>
      </c>
      <c r="AG40" s="1">
        <f>[1]Results!AJ1400</f>
        <v>0.24734918898163816</v>
      </c>
      <c r="AH40" s="1">
        <f>[1]Results!AK1400</f>
        <v>0.25451203519746279</v>
      </c>
      <c r="AI40" s="1">
        <f>[1]Results!AL1400</f>
        <v>0.26340219889922079</v>
      </c>
      <c r="AJ40" s="1">
        <f>[1]Results!AM1400</f>
        <v>0.27161487543063689</v>
      </c>
      <c r="AK40" s="1">
        <f>[1]Results!AN1400</f>
        <v>0.27751325297176166</v>
      </c>
      <c r="AL40" s="1">
        <f>[1]Results!AO1400</f>
        <v>0.28004942264154842</v>
      </c>
    </row>
    <row r="41" spans="1:3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-2.8334251340877969E-2</v>
      </c>
      <c r="J41" s="1">
        <f>[1]Results!M1401</f>
        <v>-0.34601688137168018</v>
      </c>
      <c r="K41" s="1">
        <f>[1]Results!N1401</f>
        <v>-0.71867373751280939</v>
      </c>
      <c r="L41" s="1">
        <f>[1]Results!O1401</f>
        <v>-0.99162964652819152</v>
      </c>
      <c r="M41" s="1">
        <f>[1]Results!P1401</f>
        <v>-1.0836861265187347</v>
      </c>
      <c r="N41" s="1">
        <f>[1]Results!Q1401</f>
        <v>-1.0168559597391713</v>
      </c>
      <c r="O41" s="1">
        <f>[1]Results!R1401</f>
        <v>-0.83907993831600081</v>
      </c>
      <c r="P41" s="1">
        <f>[1]Results!S1401</f>
        <v>-0.62338316209761269</v>
      </c>
      <c r="Q41" s="1">
        <f>[1]Results!T1401</f>
        <v>-0.43071670967284037</v>
      </c>
      <c r="R41" s="1">
        <f>[1]Results!U1401</f>
        <v>-0.29250831070113392</v>
      </c>
      <c r="S41" s="1">
        <f>[1]Results!V1401</f>
        <v>-0.20996198740006466</v>
      </c>
      <c r="T41" s="1">
        <f>[1]Results!W1401</f>
        <v>-0.16571346367194595</v>
      </c>
      <c r="U41" s="1">
        <f>[1]Results!X1401</f>
        <v>-0.13863487378680261</v>
      </c>
      <c r="V41" s="1">
        <f>[1]Results!Y1401</f>
        <v>-0.11448446321445926</v>
      </c>
      <c r="W41" s="1">
        <f>[1]Results!Z1401</f>
        <v>-8.835276209385734E-2</v>
      </c>
      <c r="X41" s="1">
        <f>[1]Results!AA1401</f>
        <v>-6.7648222451288653E-2</v>
      </c>
      <c r="Y41" s="1">
        <f>[1]Results!AB1401</f>
        <v>-5.766221419544193E-2</v>
      </c>
      <c r="Z41" s="1">
        <f>[1]Results!AC1401</f>
        <v>-6.3629317343194547E-2</v>
      </c>
      <c r="AA41" s="1">
        <f>[1]Results!AD1401</f>
        <v>-8.6649184975340354E-2</v>
      </c>
      <c r="AB41" s="1">
        <f>[1]Results!AE1401</f>
        <v>-0.12337256662636742</v>
      </c>
      <c r="AC41" s="1">
        <f>[1]Results!AF1401</f>
        <v>-0.16688485201489245</v>
      </c>
      <c r="AD41" s="1">
        <f>[1]Results!AG1401</f>
        <v>-0.20831997269111779</v>
      </c>
      <c r="AE41" s="1">
        <f>[1]Results!AH1401</f>
        <v>-0.24139996360705851</v>
      </c>
      <c r="AF41" s="1">
        <f>[1]Results!AI1401</f>
        <v>-0.26335085199924446</v>
      </c>
      <c r="AG41" s="1">
        <f>[1]Results!AJ1401</f>
        <v>-0.27434864365879497</v>
      </c>
      <c r="AH41" s="1">
        <f>[1]Results!AK1401</f>
        <v>-0.27624674955297746</v>
      </c>
      <c r="AI41" s="1">
        <f>[1]Results!AL1401</f>
        <v>-0.27131876181620829</v>
      </c>
      <c r="AJ41" s="1">
        <f>[1]Results!AM1401</f>
        <v>-0.26152495644409246</v>
      </c>
      <c r="AK41" s="1">
        <f>[1]Results!AN1401</f>
        <v>-0.24817774166501216</v>
      </c>
      <c r="AL41" s="1">
        <f>[1]Results!AO1401</f>
        <v>-0.23200315269381599</v>
      </c>
    </row>
    <row r="42" spans="1:3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8.0281028061390813E-2</v>
      </c>
      <c r="J42" s="1">
        <f>[1]Results!M1402</f>
        <v>0.11690155163655014</v>
      </c>
      <c r="K42" s="1">
        <f>[1]Results!N1402</f>
        <v>9.2440279555239258E-2</v>
      </c>
      <c r="L42" s="1">
        <f>[1]Results!O1402</f>
        <v>2.0646993836570537E-2</v>
      </c>
      <c r="M42" s="1">
        <f>[1]Results!P1402</f>
        <v>-7.1917138108557044E-2</v>
      </c>
      <c r="N42" s="1">
        <f>[1]Results!Q1402</f>
        <v>-0.16041014893715122</v>
      </c>
      <c r="O42" s="1">
        <f>[1]Results!R1402</f>
        <v>-0.22721944400115879</v>
      </c>
      <c r="P42" s="1">
        <f>[1]Results!S1402</f>
        <v>-0.26579770940864389</v>
      </c>
      <c r="Q42" s="1">
        <f>[1]Results!T1402</f>
        <v>-0.27896202167784212</v>
      </c>
      <c r="R42" s="1">
        <f>[1]Results!U1402</f>
        <v>-0.27460913449739444</v>
      </c>
      <c r="S42" s="1">
        <f>[1]Results!V1402</f>
        <v>-0.26125282968768593</v>
      </c>
      <c r="T42" s="1">
        <f>[1]Results!W1402</f>
        <v>-0.24499255205371329</v>
      </c>
      <c r="U42" s="1">
        <f>[1]Results!X1402</f>
        <v>-0.22860562756803482</v>
      </c>
      <c r="V42" s="1">
        <f>[1]Results!Y1402</f>
        <v>-0.21232699879816241</v>
      </c>
      <c r="W42" s="1">
        <f>[1]Results!Z1402</f>
        <v>-0.19525606707284648</v>
      </c>
      <c r="X42" s="1">
        <f>[1]Results!AA1402</f>
        <v>-0.1770530577461793</v>
      </c>
      <c r="Y42" s="1">
        <f>[1]Results!AB1402</f>
        <v>-0.15820213105188774</v>
      </c>
      <c r="Z42" s="1">
        <f>[1]Results!AC1402</f>
        <v>-0.14006026462801691</v>
      </c>
      <c r="AA42" s="1">
        <f>[1]Results!AD1402</f>
        <v>-0.1243672748957203</v>
      </c>
      <c r="AB42" s="1">
        <f>[1]Results!AE1402</f>
        <v>-0.11270377493809436</v>
      </c>
      <c r="AC42" s="1">
        <f>[1]Results!AF1402</f>
        <v>-0.10574907183368287</v>
      </c>
      <c r="AD42" s="1">
        <f>[1]Results!AG1402</f>
        <v>-0.10349198393537762</v>
      </c>
      <c r="AE42" s="1">
        <f>[1]Results!AH1402</f>
        <v>-0.10513928537501105</v>
      </c>
      <c r="AF42" s="1">
        <f>[1]Results!AI1402</f>
        <v>-0.10950675493741624</v>
      </c>
      <c r="AG42" s="1">
        <f>[1]Results!AJ1402</f>
        <v>-0.11541412449076471</v>
      </c>
      <c r="AH42" s="1">
        <f>[1]Results!AK1402</f>
        <v>-0.12193806538851604</v>
      </c>
      <c r="AI42" s="1">
        <f>[1]Results!AL1402</f>
        <v>-0.12848353589126615</v>
      </c>
      <c r="AJ42" s="1">
        <f>[1]Results!AM1402</f>
        <v>-0.1347272120647891</v>
      </c>
      <c r="AK42" s="1">
        <f>[1]Results!AN1402</f>
        <v>-0.14050511102865482</v>
      </c>
      <c r="AL42" s="1">
        <f>[1]Results!AO1402</f>
        <v>-0.14570765100292427</v>
      </c>
    </row>
    <row r="43" spans="1:3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22.228269999999611</v>
      </c>
      <c r="J43" s="1">
        <f>[1]Results!M1403</f>
        <v>32.48182000000088</v>
      </c>
      <c r="K43" s="1">
        <f>[1]Results!N1403</f>
        <v>25.781080000000657</v>
      </c>
      <c r="L43" s="1">
        <f>[1]Results!O1403</f>
        <v>5.7810400000016671</v>
      </c>
      <c r="M43" s="1">
        <f>[1]Results!P1403</f>
        <v>-20.231129999996483</v>
      </c>
      <c r="N43" s="1">
        <f>[1]Results!Q1403</f>
        <v>-45.336559999999736</v>
      </c>
      <c r="O43" s="1">
        <f>[1]Results!R1403</f>
        <v>-64.51415999999881</v>
      </c>
      <c r="P43" s="1">
        <f>[1]Results!S1403</f>
        <v>-75.800320000002102</v>
      </c>
      <c r="Q43" s="1">
        <f>[1]Results!T1403</f>
        <v>-79.884159999997792</v>
      </c>
      <c r="R43" s="1">
        <f>[1]Results!U1403</f>
        <v>-78.941910000001371</v>
      </c>
      <c r="S43" s="1">
        <f>[1]Results!V1403</f>
        <v>-75.375489999998535</v>
      </c>
      <c r="T43" s="1">
        <f>[1]Results!W1403</f>
        <v>-70.929490000002261</v>
      </c>
      <c r="U43" s="1">
        <f>[1]Results!X1403</f>
        <v>-66.408350000001519</v>
      </c>
      <c r="V43" s="1">
        <f>[1]Results!Y1403</f>
        <v>-61.884480000000622</v>
      </c>
      <c r="W43" s="1">
        <f>[1]Results!Z1403</f>
        <v>-57.071209999998246</v>
      </c>
      <c r="X43" s="1">
        <f>[1]Results!AA1403</f>
        <v>-51.904109999999491</v>
      </c>
      <c r="Y43" s="1">
        <f>[1]Results!AB1403</f>
        <v>-46.521709999997256</v>
      </c>
      <c r="Z43" s="1">
        <f>[1]Results!AC1403</f>
        <v>-41.319229999997333</v>
      </c>
      <c r="AA43" s="1">
        <f>[1]Results!AD1403</f>
        <v>-36.810839999998279</v>
      </c>
      <c r="AB43" s="1">
        <f>[1]Results!AE1403</f>
        <v>-33.423810000000231</v>
      </c>
      <c r="AC43" s="1">
        <f>[1]Results!AF1403</f>
        <v>-31.424749999998312</v>
      </c>
      <c r="AD43" s="1">
        <f>[1]Results!AG1403</f>
        <v>-30.817049999997835</v>
      </c>
      <c r="AE43" s="1">
        <f>[1]Results!AH1403</f>
        <v>-31.372480000001815</v>
      </c>
      <c r="AF43" s="1">
        <f>[1]Results!AI1403</f>
        <v>-32.744889999998122</v>
      </c>
      <c r="AG43" s="1">
        <f>[1]Results!AJ1403</f>
        <v>-34.586250000000291</v>
      </c>
      <c r="AH43" s="1">
        <f>[1]Results!AK1403</f>
        <v>-36.62217999999848</v>
      </c>
      <c r="AI43" s="1">
        <f>[1]Results!AL1403</f>
        <v>-38.674279999999271</v>
      </c>
      <c r="AJ43" s="1">
        <f>[1]Results!AM1403</f>
        <v>-40.644459999999526</v>
      </c>
      <c r="AK43" s="1">
        <f>[1]Results!AN1403</f>
        <v>-42.482189999998809</v>
      </c>
      <c r="AL43" s="1">
        <f>[1]Results!AO1403</f>
        <v>-44.153350000000501</v>
      </c>
    </row>
    <row r="44" spans="1:3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-5.9786109999999948E-2</v>
      </c>
      <c r="J44" s="1">
        <f>[1]Results!M1404</f>
        <v>-8.2251829999999138E-2</v>
      </c>
      <c r="K44" s="1">
        <f>[1]Results!N1404</f>
        <v>-5.9837869999999904E-2</v>
      </c>
      <c r="L44" s="1">
        <f>[1]Results!O1404</f>
        <v>-6.0585499999987746E-3</v>
      </c>
      <c r="M44" s="1">
        <f>[1]Results!P1404</f>
        <v>5.8745840000000438E-2</v>
      </c>
      <c r="N44" s="1">
        <f>[1]Results!Q1404</f>
        <v>0.11751974000000082</v>
      </c>
      <c r="O44" s="1">
        <f>[1]Results!R1404</f>
        <v>0.15913065000000004</v>
      </c>
      <c r="P44" s="1">
        <f>[1]Results!S1404</f>
        <v>0.18053132999999999</v>
      </c>
      <c r="Q44" s="1">
        <f>[1]Results!T1404</f>
        <v>0.18496765000000082</v>
      </c>
      <c r="R44" s="1">
        <f>[1]Results!U1404</f>
        <v>0.1786580900000001</v>
      </c>
      <c r="S44" s="1">
        <f>[1]Results!V1404</f>
        <v>0.1676422599999991</v>
      </c>
      <c r="T44" s="1">
        <f>[1]Results!W1404</f>
        <v>0.15584372999999929</v>
      </c>
      <c r="U44" s="1">
        <f>[1]Results!X1404</f>
        <v>0.14470949999999955</v>
      </c>
      <c r="V44" s="1">
        <f>[1]Results!Y1404</f>
        <v>0.13398462000000083</v>
      </c>
      <c r="W44" s="1">
        <f>[1]Results!Z1404</f>
        <v>0.12285158999999907</v>
      </c>
      <c r="X44" s="1">
        <f>[1]Results!AA1404</f>
        <v>0.11088744999999955</v>
      </c>
      <c r="Y44" s="1">
        <f>[1]Results!AB1404</f>
        <v>9.8577159999999053E-2</v>
      </c>
      <c r="Z44" s="1">
        <f>[1]Results!AC1404</f>
        <v>8.6897550000000767E-2</v>
      </c>
      <c r="AA44" s="1">
        <f>[1]Results!AD1404</f>
        <v>7.7049839999999981E-2</v>
      </c>
      <c r="AB44" s="1">
        <f>[1]Results!AE1404</f>
        <v>7.0136009999999249E-2</v>
      </c>
      <c r="AC44" s="1">
        <f>[1]Results!AF1404</f>
        <v>6.6351220000000766E-2</v>
      </c>
      <c r="AD44" s="1">
        <f>[1]Results!AG1404</f>
        <v>6.5675569999999739E-2</v>
      </c>
      <c r="AE44" s="1">
        <f>[1]Results!AH1404</f>
        <v>6.746724000000065E-2</v>
      </c>
      <c r="AF44" s="1">
        <f>[1]Results!AI1404</f>
        <v>7.0869469999999823E-2</v>
      </c>
      <c r="AG44" s="1">
        <f>[1]Results!AJ1404</f>
        <v>7.5083410000000017E-2</v>
      </c>
      <c r="AH44" s="1">
        <f>[1]Results!AK1404</f>
        <v>7.9524209999999595E-2</v>
      </c>
      <c r="AI44" s="1">
        <f>[1]Results!AL1404</f>
        <v>8.3846149999999842E-2</v>
      </c>
      <c r="AJ44" s="1">
        <f>[1]Results!AM1404</f>
        <v>8.7884219999999347E-2</v>
      </c>
      <c r="AK44" s="1">
        <f>[1]Results!AN1404</f>
        <v>9.1567470000000761E-2</v>
      </c>
      <c r="AL44" s="1">
        <f>[1]Results!AO1404</f>
        <v>9.4845699999999977E-2</v>
      </c>
    </row>
    <row r="45" spans="1:3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-3.7269036081109125E-2</v>
      </c>
      <c r="J45" s="1">
        <f>[1]Results!M1405</f>
        <v>2.5572792955400395E-2</v>
      </c>
      <c r="K45" s="1">
        <f>[1]Results!N1405</f>
        <v>0.11789863520631008</v>
      </c>
      <c r="L45" s="1">
        <f>[1]Results!O1405</f>
        <v>0.19497031018344771</v>
      </c>
      <c r="M45" s="1">
        <f>[1]Results!P1405</f>
        <v>0.23063811775613993</v>
      </c>
      <c r="N45" s="1">
        <f>[1]Results!Q1405</f>
        <v>0.22440296782657368</v>
      </c>
      <c r="O45" s="1">
        <f>[1]Results!R1405</f>
        <v>0.18513656460138142</v>
      </c>
      <c r="P45" s="1">
        <f>[1]Results!S1405</f>
        <v>0.12978780870126633</v>
      </c>
      <c r="Q45" s="1">
        <f>[1]Results!T1405</f>
        <v>7.4331841633386297E-2</v>
      </c>
      <c r="R45" s="1">
        <f>[1]Results!U1405</f>
        <v>2.8671352380908732E-2</v>
      </c>
      <c r="S45" s="1">
        <f>[1]Results!V1405</f>
        <v>-4.496614413973532E-3</v>
      </c>
      <c r="T45" s="1">
        <f>[1]Results!W1405</f>
        <v>-2.755581014354351E-2</v>
      </c>
      <c r="U45" s="1">
        <f>[1]Results!X1405</f>
        <v>-4.466909633157462E-2</v>
      </c>
      <c r="V45" s="1">
        <f>[1]Results!Y1405</f>
        <v>-5.9111976077728771E-2</v>
      </c>
      <c r="W45" s="1">
        <f>[1]Results!Z1405</f>
        <v>-7.2238130639041248E-2</v>
      </c>
      <c r="X45" s="1">
        <f>[1]Results!AA1405</f>
        <v>-8.3101582371373009E-2</v>
      </c>
      <c r="Y45" s="1">
        <f>[1]Results!AB1405</f>
        <v>-9.0387165107517001E-2</v>
      </c>
      <c r="Z45" s="1">
        <f>[1]Results!AC1405</f>
        <v>-9.304659200763607E-2</v>
      </c>
      <c r="AA45" s="1">
        <f>[1]Results!AD1405</f>
        <v>-9.0883436833291531E-2</v>
      </c>
      <c r="AB45" s="1">
        <f>[1]Results!AE1405</f>
        <v>-8.4694161116592198E-2</v>
      </c>
      <c r="AC45" s="1">
        <f>[1]Results!AF1405</f>
        <v>-7.6294926192568668E-2</v>
      </c>
      <c r="AD45" s="1">
        <f>[1]Results!AG1405</f>
        <v>-6.7935430217038434E-2</v>
      </c>
      <c r="AE45" s="1">
        <f>[1]Results!AH1405</f>
        <v>-6.1359573451987871E-2</v>
      </c>
      <c r="AF45" s="1">
        <f>[1]Results!AI1405</f>
        <v>-5.7549398788962064E-2</v>
      </c>
      <c r="AG45" s="1">
        <f>[1]Results!AJ1405</f>
        <v>-5.6746768313981413E-2</v>
      </c>
      <c r="AH45" s="1">
        <f>[1]Results!AK1405</f>
        <v>-5.868866119559165E-2</v>
      </c>
      <c r="AI45" s="1">
        <f>[1]Results!AL1405</f>
        <v>-6.2888199880951734E-2</v>
      </c>
      <c r="AJ45" s="1">
        <f>[1]Results!AM1405</f>
        <v>-6.8830573118417754E-2</v>
      </c>
      <c r="AK45" s="1">
        <f>[1]Results!AN1405</f>
        <v>-7.6086563214425654E-2</v>
      </c>
      <c r="AL45" s="1">
        <f>[1]Results!AO1405</f>
        <v>-8.4334204959095327E-2</v>
      </c>
    </row>
    <row r="46" spans="1:3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1.601844653170998E-2</v>
      </c>
      <c r="J46" s="1">
        <f>[1]Results!M1406</f>
        <v>2.0943078089669109E-3</v>
      </c>
      <c r="K46" s="1">
        <f>[1]Results!N1406</f>
        <v>-1.4577171708776704E-2</v>
      </c>
      <c r="L46" s="1">
        <f>[1]Results!O1406</f>
        <v>-2.9694863159000252E-2</v>
      </c>
      <c r="M46" s="1">
        <f>[1]Results!P1406</f>
        <v>-4.134690018732963E-2</v>
      </c>
      <c r="N46" s="1">
        <f>[1]Results!Q1406</f>
        <v>-4.8797267440777586E-2</v>
      </c>
      <c r="O46" s="1">
        <f>[1]Results!R1406</f>
        <v>-5.1788918028339466E-2</v>
      </c>
      <c r="P46" s="1">
        <f>[1]Results!S1406</f>
        <v>-5.0627486550629958E-2</v>
      </c>
      <c r="Q46" s="1">
        <f>[1]Results!T1406</f>
        <v>-4.601117885898072E-2</v>
      </c>
      <c r="R46" s="1">
        <f>[1]Results!U1406</f>
        <v>-3.8881055847892962E-2</v>
      </c>
      <c r="S46" s="1">
        <f>[1]Results!V1406</f>
        <v>-3.0149023634785076E-2</v>
      </c>
      <c r="T46" s="1">
        <f>[1]Results!W1406</f>
        <v>-2.0633212990161555E-2</v>
      </c>
      <c r="U46" s="1">
        <f>[1]Results!X1406</f>
        <v>-1.1022964654793486E-2</v>
      </c>
      <c r="V46" s="1">
        <f>[1]Results!Y1406</f>
        <v>-1.8580896698285748E-3</v>
      </c>
      <c r="W46" s="1">
        <f>[1]Results!Z1406</f>
        <v>6.4660544561216671E-3</v>
      </c>
      <c r="X46" s="1">
        <f>[1]Results!AA1406</f>
        <v>1.3770908501281078E-2</v>
      </c>
      <c r="Y46" s="1">
        <f>[1]Results!AB1406</f>
        <v>1.9925041643117404E-2</v>
      </c>
      <c r="Z46" s="1">
        <f>[1]Results!AC1406</f>
        <v>2.492704046552479E-2</v>
      </c>
      <c r="AA46" s="1">
        <f>[1]Results!AD1406</f>
        <v>2.8870491656196769E-2</v>
      </c>
      <c r="AB46" s="1">
        <f>[1]Results!AE1406</f>
        <v>3.1939879714726685E-2</v>
      </c>
      <c r="AC46" s="1">
        <f>[1]Results!AF1406</f>
        <v>3.4324333647109233E-2</v>
      </c>
      <c r="AD46" s="1">
        <f>[1]Results!AG1406</f>
        <v>3.6313317895081583E-2</v>
      </c>
      <c r="AE46" s="1">
        <f>[1]Results!AH1406</f>
        <v>3.8155880647516849E-2</v>
      </c>
      <c r="AF46" s="1">
        <f>[1]Results!AI1406</f>
        <v>4.0084786557553764E-2</v>
      </c>
      <c r="AG46" s="1">
        <f>[1]Results!AJ1406</f>
        <v>4.2291498451937568E-2</v>
      </c>
      <c r="AH46" s="1">
        <f>[1]Results!AK1406</f>
        <v>4.4916220924500622E-2</v>
      </c>
      <c r="AI46" s="1">
        <f>[1]Results!AL1406</f>
        <v>4.8043579276779713E-2</v>
      </c>
      <c r="AJ46" s="1">
        <f>[1]Results!AM1406</f>
        <v>5.1696899926651808E-2</v>
      </c>
      <c r="AK46" s="1">
        <f>[1]Results!AN1406</f>
        <v>5.5851755639060169E-2</v>
      </c>
      <c r="AL46" s="1">
        <f>[1]Results!AO1406</f>
        <v>6.0449768754412825E-2</v>
      </c>
    </row>
    <row r="47" spans="1:3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-2.9696130906294721E-2</v>
      </c>
      <c r="J47" s="1">
        <f>[1]Results!M1407</f>
        <v>1.859075377416506E-2</v>
      </c>
      <c r="K47" s="1">
        <f>[1]Results!N1407</f>
        <v>9.539638242418505E-2</v>
      </c>
      <c r="L47" s="1">
        <f>[1]Results!O1407</f>
        <v>0.15903157858439404</v>
      </c>
      <c r="M47" s="1">
        <f>[1]Results!P1407</f>
        <v>0.18474625597197977</v>
      </c>
      <c r="N47" s="1">
        <f>[1]Results!Q1407</f>
        <v>0.17428911557923268</v>
      </c>
      <c r="O47" s="1">
        <f>[1]Results!R1407</f>
        <v>0.1373680214842429</v>
      </c>
      <c r="P47" s="1">
        <f>[1]Results!S1407</f>
        <v>9.1299127452169032E-2</v>
      </c>
      <c r="Q47" s="1">
        <f>[1]Results!T1407</f>
        <v>5.128437531989067E-2</v>
      </c>
      <c r="R47" s="1">
        <f>[1]Results!U1407</f>
        <v>2.5459816515147754E-2</v>
      </c>
      <c r="S47" s="1">
        <f>[1]Results!V1407</f>
        <v>1.4402890312827793E-2</v>
      </c>
      <c r="T47" s="1">
        <f>[1]Results!W1407</f>
        <v>1.3735768619312257E-2</v>
      </c>
      <c r="U47" s="1">
        <f>[1]Results!X1407</f>
        <v>1.7754984687047039E-2</v>
      </c>
      <c r="V47" s="1">
        <f>[1]Results!Y1407</f>
        <v>2.2216567157314071E-2</v>
      </c>
      <c r="W47" s="1">
        <f>[1]Results!Z1407</f>
        <v>2.5123652898190359E-2</v>
      </c>
      <c r="X47" s="1">
        <f>[1]Results!AA1407</f>
        <v>2.7816822820523474E-2</v>
      </c>
      <c r="Y47" s="1">
        <f>[1]Results!AB1407</f>
        <v>3.1234841731514907E-2</v>
      </c>
      <c r="Z47" s="1">
        <f>[1]Results!AC1407</f>
        <v>3.6655464273213909E-2</v>
      </c>
      <c r="AA47" s="1">
        <f>[1]Results!AD1407</f>
        <v>4.4552320452413266E-2</v>
      </c>
      <c r="AB47" s="1">
        <f>[1]Results!AE1407</f>
        <v>5.4438433228867704E-2</v>
      </c>
      <c r="AC47" s="1">
        <f>[1]Results!AF1407</f>
        <v>6.4936245057773873E-2</v>
      </c>
      <c r="AD47" s="1">
        <f>[1]Results!AG1407</f>
        <v>7.4286025561704036E-2</v>
      </c>
      <c r="AE47" s="1">
        <f>[1]Results!AH1407</f>
        <v>8.1300519598761917E-2</v>
      </c>
      <c r="AF47" s="1">
        <f>[1]Results!AI1407</f>
        <v>8.5575709197957081E-2</v>
      </c>
      <c r="AG47" s="1">
        <f>[1]Results!AJ1407</f>
        <v>8.7386583638608309E-2</v>
      </c>
      <c r="AH47" s="1">
        <f>[1]Results!AK1407</f>
        <v>8.7390450738722841E-2</v>
      </c>
      <c r="AI47" s="1">
        <f>[1]Results!AL1407</f>
        <v>8.6314696394006421E-2</v>
      </c>
      <c r="AJ47" s="1">
        <f>[1]Results!AM1407</f>
        <v>8.4760852950402241E-2</v>
      </c>
      <c r="AK47" s="1">
        <f>[1]Results!AN1407</f>
        <v>8.3114892382590233E-2</v>
      </c>
      <c r="AL47" s="1">
        <f>[1]Results!AO1407</f>
        <v>8.1557180630498091E-2</v>
      </c>
    </row>
    <row r="48" spans="1:3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-2.9998876375243386E-2</v>
      </c>
      <c r="J48" s="1">
        <f>[1]Results!M1408</f>
        <v>3.0127506354158534E-2</v>
      </c>
      <c r="K48" s="1">
        <f>[1]Results!N1408</f>
        <v>0.22869313373441238</v>
      </c>
      <c r="L48" s="1">
        <f>[1]Results!O1408</f>
        <v>0.39360446564085172</v>
      </c>
      <c r="M48" s="1">
        <f>[1]Results!P1408</f>
        <v>0.4617434163620725</v>
      </c>
      <c r="N48" s="1">
        <f>[1]Results!Q1408</f>
        <v>0.42646947092471676</v>
      </c>
      <c r="O48" s="1">
        <f>[1]Results!R1408</f>
        <v>0.32449619447101274</v>
      </c>
      <c r="P48" s="1">
        <f>[1]Results!S1408</f>
        <v>0.19492107441346287</v>
      </c>
      <c r="Q48" s="1">
        <f>[1]Results!T1408</f>
        <v>7.9264883808819603E-2</v>
      </c>
      <c r="R48" s="1">
        <f>[1]Results!U1408</f>
        <v>8.643794368084351E-4</v>
      </c>
      <c r="S48" s="1">
        <f>[1]Results!V1408</f>
        <v>-3.728390065667643E-2</v>
      </c>
      <c r="T48" s="1">
        <f>[1]Results!W1408</f>
        <v>-4.6103120414114906E-2</v>
      </c>
      <c r="U48" s="1">
        <f>[1]Results!X1408</f>
        <v>-4.078935998705277E-2</v>
      </c>
      <c r="V48" s="1">
        <f>[1]Results!Y1408</f>
        <v>-3.3116663168823376E-2</v>
      </c>
      <c r="W48" s="1">
        <f>[1]Results!Z1408</f>
        <v>-2.8446498755147973E-2</v>
      </c>
      <c r="X48" s="1">
        <f>[1]Results!AA1408</f>
        <v>-2.5425805820916345E-2</v>
      </c>
      <c r="Y48" s="1">
        <f>[1]Results!AB1408</f>
        <v>-1.9155561031025323E-2</v>
      </c>
      <c r="Z48" s="1">
        <f>[1]Results!AC1408</f>
        <v>-7.5860961080326944E-3</v>
      </c>
      <c r="AA48" s="1">
        <f>[1]Results!AD1408</f>
        <v>1.0861278554543871E-2</v>
      </c>
      <c r="AB48" s="1">
        <f>[1]Results!AE1408</f>
        <v>3.4981229844135639E-2</v>
      </c>
      <c r="AC48" s="1">
        <f>[1]Results!AF1408</f>
        <v>6.179533026102052E-2</v>
      </c>
      <c r="AD48" s="1">
        <f>[1]Results!AG1408</f>
        <v>8.6911495545327969E-2</v>
      </c>
      <c r="AE48" s="1">
        <f>[1]Results!AH1408</f>
        <v>0.10642471692370384</v>
      </c>
      <c r="AF48" s="1">
        <f>[1]Results!AI1408</f>
        <v>0.11907339636967572</v>
      </c>
      <c r="AG48" s="1">
        <f>[1]Results!AJ1408</f>
        <v>0.12543655453199248</v>
      </c>
      <c r="AH48" s="1">
        <f>[1]Results!AK1408</f>
        <v>0.12715008318399218</v>
      </c>
      <c r="AI48" s="1">
        <f>[1]Results!AL1408</f>
        <v>0.12604296507446652</v>
      </c>
      <c r="AJ48" s="1">
        <f>[1]Results!AM1408</f>
        <v>0.12357150816485647</v>
      </c>
      <c r="AK48" s="1">
        <f>[1]Results!AN1408</f>
        <v>0.12063836354943863</v>
      </c>
      <c r="AL48" s="1">
        <f>[1]Results!AO1408</f>
        <v>0.11764098564069955</v>
      </c>
    </row>
    <row r="49" spans="1:3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-4.9650223913277891E-2</v>
      </c>
      <c r="J49" s="1">
        <f>[1]Results!M1409</f>
        <v>-0.2391807787000988</v>
      </c>
      <c r="K49" s="1">
        <f>[1]Results!N1409</f>
        <v>-0.27805486654396416</v>
      </c>
      <c r="L49" s="1">
        <f>[1]Results!O1409</f>
        <v>-0.12979404230447633</v>
      </c>
      <c r="M49" s="1">
        <f>[1]Results!P1409</f>
        <v>0.15000056804930217</v>
      </c>
      <c r="N49" s="1">
        <f>[1]Results!Q1409</f>
        <v>0.45847617903607141</v>
      </c>
      <c r="O49" s="1">
        <f>[1]Results!R1409</f>
        <v>0.72305805071448681</v>
      </c>
      <c r="P49" s="1">
        <f>[1]Results!S1409</f>
        <v>0.89774824406853027</v>
      </c>
      <c r="Q49" s="1">
        <f>[1]Results!T1409</f>
        <v>0.97905946274986499</v>
      </c>
      <c r="R49" s="1">
        <f>[1]Results!U1409</f>
        <v>0.9938263122316715</v>
      </c>
      <c r="S49" s="1">
        <f>[1]Results!V1409</f>
        <v>0.97937758272500508</v>
      </c>
      <c r="T49" s="1">
        <f>[1]Results!W1409</f>
        <v>0.96615019069299368</v>
      </c>
      <c r="U49" s="1">
        <f>[1]Results!X1409</f>
        <v>0.96926570795082823</v>
      </c>
      <c r="V49" s="1">
        <f>[1]Results!Y1409</f>
        <v>0.98931533315381737</v>
      </c>
      <c r="W49" s="1">
        <f>[1]Results!Z1409</f>
        <v>1.0195012430114003</v>
      </c>
      <c r="X49" s="1">
        <f>[1]Results!AA1409</f>
        <v>1.0488837170696708</v>
      </c>
      <c r="Y49" s="1">
        <f>[1]Results!AB1409</f>
        <v>1.0751804067502868</v>
      </c>
      <c r="Z49" s="1">
        <f>[1]Results!AC1409</f>
        <v>1.0984946710674848</v>
      </c>
      <c r="AA49" s="1">
        <f>[1]Results!AD1409</f>
        <v>1.1229273614256963</v>
      </c>
      <c r="AB49" s="1">
        <f>[1]Results!AE1409</f>
        <v>1.1563929504667447</v>
      </c>
      <c r="AC49" s="1">
        <f>[1]Results!AF1409</f>
        <v>1.1991965221472722</v>
      </c>
      <c r="AD49" s="1">
        <f>[1]Results!AG1409</f>
        <v>1.2555522079282566</v>
      </c>
      <c r="AE49" s="1">
        <f>[1]Results!AH1409</f>
        <v>1.3230824903889493</v>
      </c>
      <c r="AF49" s="1">
        <f>[1]Results!AI1409</f>
        <v>1.3975517174268481</v>
      </c>
      <c r="AG49" s="1">
        <f>[1]Results!AJ1409</f>
        <v>1.474628728464078</v>
      </c>
      <c r="AH49" s="1">
        <f>[1]Results!AK1409</f>
        <v>1.5511379127837066</v>
      </c>
      <c r="AI49" s="1">
        <f>[1]Results!AL1409</f>
        <v>1.6254561435426029</v>
      </c>
      <c r="AJ49" s="1">
        <f>[1]Results!AM1409</f>
        <v>1.6972164740081008</v>
      </c>
      <c r="AK49" s="1">
        <f>[1]Results!AN1409</f>
        <v>1.7667676293069423</v>
      </c>
      <c r="AL49" s="1">
        <f>[1]Results!AO1409</f>
        <v>1.8346136851629669</v>
      </c>
    </row>
    <row r="50" spans="1:38" x14ac:dyDescent="0.3">
      <c r="A50" s="3" t="str">
        <f>[1]Results!E1410</f>
        <v>GDP_2</v>
      </c>
      <c r="B50" t="str">
        <f>[1]Results!C1410</f>
        <v>PIB</v>
      </c>
      <c r="C50" s="1">
        <f>[1]Results!F1410</f>
        <v>2199527.2370000002</v>
      </c>
      <c r="D50" s="1">
        <f>[1]Results!G1410</f>
        <v>2224516.25</v>
      </c>
      <c r="E50" s="1">
        <f>[1]Results!H1410</f>
        <v>2258093.6910000001</v>
      </c>
      <c r="F50" s="1">
        <f>[1]Results!I1410</f>
        <v>2294147.773</v>
      </c>
      <c r="G50" s="1">
        <f>[1]Results!J1410</f>
        <v>2330065.2549999999</v>
      </c>
      <c r="H50" s="1">
        <f>[1]Results!K1410</f>
        <v>2365743.8220000002</v>
      </c>
      <c r="I50" s="1">
        <f>[1]Results!L1410</f>
        <v>2398969.1630000002</v>
      </c>
      <c r="J50" s="1">
        <f>[1]Results!M1410</f>
        <v>2431334.0210000002</v>
      </c>
      <c r="K50" s="1">
        <f>[1]Results!N1410</f>
        <v>2462905.5219999999</v>
      </c>
      <c r="L50" s="1">
        <f>[1]Results!O1410</f>
        <v>2495364.0780000002</v>
      </c>
      <c r="M50" s="1">
        <f>[1]Results!P1410</f>
        <v>2532766.94</v>
      </c>
      <c r="N50" s="1">
        <f>[1]Results!Q1410</f>
        <v>2570708.1150000002</v>
      </c>
      <c r="O50" s="1">
        <f>[1]Results!R1410</f>
        <v>2611239.5189999999</v>
      </c>
      <c r="P50" s="1">
        <f>[1]Results!S1410</f>
        <v>2652969.4449999998</v>
      </c>
      <c r="Q50" s="1">
        <f>[1]Results!T1410</f>
        <v>2695231.6069999998</v>
      </c>
      <c r="R50" s="1">
        <f>[1]Results!U1410</f>
        <v>2737755.4330000002</v>
      </c>
      <c r="S50" s="1">
        <f>[1]Results!V1410</f>
        <v>2780582.6979999999</v>
      </c>
      <c r="T50" s="1">
        <f>[1]Results!W1410</f>
        <v>2823931.176</v>
      </c>
      <c r="U50" s="1">
        <f>[1]Results!X1410</f>
        <v>2868037.696</v>
      </c>
      <c r="V50" s="1">
        <f>[1]Results!Y1410</f>
        <v>2913044.4169999999</v>
      </c>
      <c r="W50" s="1">
        <f>[1]Results!Z1410</f>
        <v>2956554.787</v>
      </c>
      <c r="X50" s="1">
        <f>[1]Results!AA1410</f>
        <v>3002903.716</v>
      </c>
      <c r="Y50" s="1">
        <f>[1]Results!AB1410</f>
        <v>3050046.7859999998</v>
      </c>
      <c r="Z50" s="1">
        <f>[1]Results!AC1410</f>
        <v>3097966.9649999999</v>
      </c>
      <c r="AA50" s="1">
        <f>[1]Results!AD1410</f>
        <v>3146514.6549999998</v>
      </c>
      <c r="AB50" s="1">
        <f>[1]Results!AE1410</f>
        <v>3187455.5970000001</v>
      </c>
      <c r="AC50" s="1">
        <f>[1]Results!AF1410</f>
        <v>3233817.8930000002</v>
      </c>
      <c r="AD50" s="1">
        <f>[1]Results!AG1410</f>
        <v>3279927.9670000002</v>
      </c>
      <c r="AE50" s="1">
        <f>[1]Results!AH1410</f>
        <v>3326707.8840000001</v>
      </c>
      <c r="AF50" s="1">
        <f>[1]Results!AI1410</f>
        <v>3374396.8560000001</v>
      </c>
      <c r="AG50" s="1">
        <f>[1]Results!AJ1410</f>
        <v>3422913.179</v>
      </c>
      <c r="AH50" s="1">
        <f>[1]Results!AK1410</f>
        <v>3472073.7579999999</v>
      </c>
      <c r="AI50" s="1">
        <f>[1]Results!AL1410</f>
        <v>3521741.2990000001</v>
      </c>
      <c r="AJ50" s="1">
        <f>[1]Results!AM1410</f>
        <v>3571889.9079999998</v>
      </c>
      <c r="AK50" s="1">
        <f>[1]Results!AN1410</f>
        <v>3622597.6140000001</v>
      </c>
      <c r="AL50" s="1">
        <f>[1]Results!AO1410</f>
        <v>3673991.665</v>
      </c>
    </row>
    <row r="51" spans="1:3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-4.4953596400887363E-8</v>
      </c>
      <c r="E51" s="1">
        <f>[1]Results!H1411</f>
        <v>4.4285131117760557E-8</v>
      </c>
      <c r="F51" s="1">
        <f>[1]Results!I1411</f>
        <v>0</v>
      </c>
      <c r="G51" s="1">
        <f>[1]Results!J1411</f>
        <v>0</v>
      </c>
      <c r="H51" s="1">
        <f>[1]Results!K1411</f>
        <v>4.2269987510223928E-8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-3.6526281999016419E-8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-3.4328340170475258E-8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-3.2279223738385099E-8</v>
      </c>
      <c r="AA51" s="1">
        <f>[1]Results!AD1411</f>
        <v>-3.17811887917685E-8</v>
      </c>
      <c r="AB51" s="1">
        <f>[1]Results!AE1411</f>
        <v>0</v>
      </c>
      <c r="AC51" s="1">
        <f>[1]Results!AF1411</f>
        <v>0</v>
      </c>
      <c r="AD51" s="1">
        <f>[1]Results!AG1411</f>
        <v>-3.0488478408585706E-8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-2.8395052975582757E-8</v>
      </c>
      <c r="AJ51" s="1">
        <f>[1]Results!AM1411</f>
        <v>0</v>
      </c>
      <c r="AK51" s="1">
        <f>[1]Results!AN1411</f>
        <v>0</v>
      </c>
      <c r="AL51" s="1">
        <f>[1]Results!AO1411</f>
        <v>0</v>
      </c>
    </row>
    <row r="52" spans="1:3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1184352.5120000001</v>
      </c>
      <c r="D52" s="1">
        <f>[1]Results!G1412</f>
        <v>1211719.2960000001</v>
      </c>
      <c r="E52" s="1">
        <f>[1]Results!H1412</f>
        <v>1239321.368</v>
      </c>
      <c r="F52" s="1">
        <f>[1]Results!I1412</f>
        <v>1269672.8049999999</v>
      </c>
      <c r="G52" s="1">
        <f>[1]Results!J1412</f>
        <v>1304261.5919999999</v>
      </c>
      <c r="H52" s="1">
        <f>[1]Results!K1412</f>
        <v>1343585.497</v>
      </c>
      <c r="I52" s="1">
        <f>[1]Results!L1412</f>
        <v>1386205.4580000001</v>
      </c>
      <c r="J52" s="1">
        <f>[1]Results!M1412</f>
        <v>1435860.541</v>
      </c>
      <c r="K52" s="1">
        <f>[1]Results!N1412</f>
        <v>1493423.415</v>
      </c>
      <c r="L52" s="1">
        <f>[1]Results!O1412</f>
        <v>1553510.5549999999</v>
      </c>
      <c r="M52" s="1">
        <f>[1]Results!P1412</f>
        <v>1615725.084</v>
      </c>
      <c r="N52" s="1">
        <f>[1]Results!Q1412</f>
        <v>1674430.497</v>
      </c>
      <c r="O52" s="1">
        <f>[1]Results!R1412</f>
        <v>1734111.4240000001</v>
      </c>
      <c r="P52" s="1">
        <f>[1]Results!S1412</f>
        <v>1795951.9820000001</v>
      </c>
      <c r="Q52" s="1">
        <f>[1]Results!T1412</f>
        <v>1860765.3470000001</v>
      </c>
      <c r="R52" s="1">
        <f>[1]Results!U1412</f>
        <v>1928711.7649999999</v>
      </c>
      <c r="S52" s="1">
        <f>[1]Results!V1412</f>
        <v>1999404.9979999999</v>
      </c>
      <c r="T52" s="1">
        <f>[1]Results!W1412</f>
        <v>2072207.7860000001</v>
      </c>
      <c r="U52" s="1">
        <f>[1]Results!X1412</f>
        <v>2146568.3420000002</v>
      </c>
      <c r="V52" s="1">
        <f>[1]Results!Y1412</f>
        <v>2222243.92</v>
      </c>
      <c r="W52" s="1">
        <f>[1]Results!Z1412</f>
        <v>2297329.8229999999</v>
      </c>
      <c r="X52" s="1">
        <f>[1]Results!AA1412</f>
        <v>2376685.4330000002</v>
      </c>
      <c r="Y52" s="1">
        <f>[1]Results!AB1412</f>
        <v>2457639.9900000002</v>
      </c>
      <c r="Z52" s="1">
        <f>[1]Results!AC1412</f>
        <v>2540820.0559999999</v>
      </c>
      <c r="AA52" s="1">
        <f>[1]Results!AD1412</f>
        <v>2626901.7779999999</v>
      </c>
      <c r="AB52" s="1">
        <f>[1]Results!AE1412</f>
        <v>2709811.3730000001</v>
      </c>
      <c r="AC52" s="1">
        <f>[1]Results!AF1412</f>
        <v>2800644.7220000001</v>
      </c>
      <c r="AD52" s="1">
        <f>[1]Results!AG1412</f>
        <v>2893328.3280000002</v>
      </c>
      <c r="AE52" s="1">
        <f>[1]Results!AH1412</f>
        <v>2987287.6140000001</v>
      </c>
      <c r="AF52" s="1">
        <f>[1]Results!AI1412</f>
        <v>3082865.7149999999</v>
      </c>
      <c r="AG52" s="1">
        <f>[1]Results!AJ1412</f>
        <v>3180805.0350000001</v>
      </c>
      <c r="AH52" s="1">
        <f>[1]Results!AK1412</f>
        <v>3281873.2420000001</v>
      </c>
      <c r="AI52" s="1">
        <f>[1]Results!AL1412</f>
        <v>3386582.702</v>
      </c>
      <c r="AJ52" s="1">
        <f>[1]Results!AM1412</f>
        <v>3495088.4249999998</v>
      </c>
      <c r="AK52" s="1">
        <f>[1]Results!AN1412</f>
        <v>3607259.6540000001</v>
      </c>
      <c r="AL52" s="1">
        <f>[1]Results!AO1412</f>
        <v>3722850.7420000001</v>
      </c>
    </row>
    <row r="53" spans="1:3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1020616.37</v>
      </c>
      <c r="D53" s="1">
        <f>[1]Results!G1413</f>
        <v>1048020.129</v>
      </c>
      <c r="E53" s="1">
        <f>[1]Results!H1413</f>
        <v>1076024.118</v>
      </c>
      <c r="F53" s="1">
        <f>[1]Results!I1413</f>
        <v>1104393.023</v>
      </c>
      <c r="G53" s="1">
        <f>[1]Results!J1413</f>
        <v>1133606.246</v>
      </c>
      <c r="H53" s="1">
        <f>[1]Results!K1413</f>
        <v>1164626.94</v>
      </c>
      <c r="I53" s="1">
        <f>[1]Results!L1413</f>
        <v>1197962.6769999999</v>
      </c>
      <c r="J53" s="1">
        <f>[1]Results!M1413</f>
        <v>1235274.159</v>
      </c>
      <c r="K53" s="1">
        <f>[1]Results!N1413</f>
        <v>1276516.58</v>
      </c>
      <c r="L53" s="1">
        <f>[1]Results!O1413</f>
        <v>1321511.3659999999</v>
      </c>
      <c r="M53" s="1">
        <f>[1]Results!P1413</f>
        <v>1371247.1229999999</v>
      </c>
      <c r="N53" s="1">
        <f>[1]Results!Q1413</f>
        <v>1422536.9110000001</v>
      </c>
      <c r="O53" s="1">
        <f>[1]Results!R1413</f>
        <v>1476728.67</v>
      </c>
      <c r="P53" s="1">
        <f>[1]Results!S1413</f>
        <v>1533519.8219999999</v>
      </c>
      <c r="Q53" s="1">
        <f>[1]Results!T1413</f>
        <v>1592779.1059999999</v>
      </c>
      <c r="R53" s="1">
        <f>[1]Results!U1413</f>
        <v>1654436.7709999999</v>
      </c>
      <c r="S53" s="1">
        <f>[1]Results!V1413</f>
        <v>1718414.8289999999</v>
      </c>
      <c r="T53" s="1">
        <f>[1]Results!W1413</f>
        <v>1784609.632</v>
      </c>
      <c r="U53" s="1">
        <f>[1]Results!X1413</f>
        <v>1852910.5020000001</v>
      </c>
      <c r="V53" s="1">
        <f>[1]Results!Y1413</f>
        <v>1923236.017</v>
      </c>
      <c r="W53" s="1">
        <f>[1]Results!Z1413</f>
        <v>1994007.6310000001</v>
      </c>
      <c r="X53" s="1">
        <f>[1]Results!AA1413</f>
        <v>2068178.2279999999</v>
      </c>
      <c r="Y53" s="1">
        <f>[1]Results!AB1413</f>
        <v>2144482.1630000002</v>
      </c>
      <c r="Z53" s="1">
        <f>[1]Results!AC1413</f>
        <v>2223085.7039999999</v>
      </c>
      <c r="AA53" s="1">
        <f>[1]Results!AD1413</f>
        <v>2304237.648</v>
      </c>
      <c r="AB53" s="1">
        <f>[1]Results!AE1413</f>
        <v>2382383.1159999999</v>
      </c>
      <c r="AC53" s="1">
        <f>[1]Results!AF1413</f>
        <v>2466738.0869999998</v>
      </c>
      <c r="AD53" s="1">
        <f>[1]Results!AG1413</f>
        <v>2553598.7039999999</v>
      </c>
      <c r="AE53" s="1">
        <f>[1]Results!AH1413</f>
        <v>2642929.13</v>
      </c>
      <c r="AF53" s="1">
        <f>[1]Results!AI1413</f>
        <v>2734816.2910000002</v>
      </c>
      <c r="AG53" s="1">
        <f>[1]Results!AJ1413</f>
        <v>2829437.378</v>
      </c>
      <c r="AH53" s="1">
        <f>[1]Results!AK1413</f>
        <v>2927033.6460000002</v>
      </c>
      <c r="AI53" s="1">
        <f>[1]Results!AL1413</f>
        <v>3027867.3250000002</v>
      </c>
      <c r="AJ53" s="1">
        <f>[1]Results!AM1413</f>
        <v>3132178.2850000001</v>
      </c>
      <c r="AK53" s="1">
        <f>[1]Results!AN1413</f>
        <v>3240156.5550000002</v>
      </c>
      <c r="AL53" s="1">
        <f>[1]Results!AO1413</f>
        <v>3351939.432</v>
      </c>
    </row>
    <row r="54" spans="1:3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-62149.696750000003</v>
      </c>
      <c r="D54" s="1">
        <f>[1]Results!G1414</f>
        <v>-59005.23704</v>
      </c>
      <c r="E54" s="1">
        <f>[1]Results!H1414</f>
        <v>-55653.058400000002</v>
      </c>
      <c r="F54" s="1">
        <f>[1]Results!I1414</f>
        <v>-54852.93705</v>
      </c>
      <c r="G54" s="1">
        <f>[1]Results!J1414</f>
        <v>-57485.853329999998</v>
      </c>
      <c r="H54" s="1">
        <f>[1]Results!K1414</f>
        <v>-62914.772019999997</v>
      </c>
      <c r="I54" s="1">
        <f>[1]Results!L1414</f>
        <v>-69053.257370000007</v>
      </c>
      <c r="J54" s="1">
        <f>[1]Results!M1414</f>
        <v>-77944.195689999993</v>
      </c>
      <c r="K54" s="1">
        <f>[1]Results!N1414</f>
        <v>-90367.438909999997</v>
      </c>
      <c r="L54" s="1">
        <f>[1]Results!O1414</f>
        <v>-100941.42110000001</v>
      </c>
      <c r="M54" s="1">
        <f>[1]Results!P1414</f>
        <v>-108373.122</v>
      </c>
      <c r="N54" s="1">
        <f>[1]Results!Q1414</f>
        <v>-110370.0912</v>
      </c>
      <c r="O54" s="1">
        <f>[1]Results!R1414</f>
        <v>-110340.7549</v>
      </c>
      <c r="P54" s="1">
        <f>[1]Results!S1414</f>
        <v>-109873.12270000001</v>
      </c>
      <c r="Q54" s="1">
        <f>[1]Results!T1414</f>
        <v>-109933.5478</v>
      </c>
      <c r="R54" s="1">
        <f>[1]Results!U1414</f>
        <v>-110725.6237</v>
      </c>
      <c r="S54" s="1">
        <f>[1]Results!V1414</f>
        <v>-111904.5165</v>
      </c>
      <c r="T54" s="1">
        <f>[1]Results!W1414</f>
        <v>-112917.2764</v>
      </c>
      <c r="U54" s="1">
        <f>[1]Results!X1414</f>
        <v>-113331.0983</v>
      </c>
      <c r="V54" s="1">
        <f>[1]Results!Y1414</f>
        <v>-113014.60649999999</v>
      </c>
      <c r="W54" s="1">
        <f>[1]Results!Z1414</f>
        <v>-111678.1652</v>
      </c>
      <c r="X54" s="1">
        <f>[1]Results!AA1414</f>
        <v>-111279.26949999999</v>
      </c>
      <c r="Y54" s="1">
        <f>[1]Results!AB1414</f>
        <v>-110365.9287</v>
      </c>
      <c r="Z54" s="1">
        <f>[1]Results!AC1414</f>
        <v>-109424.1577</v>
      </c>
      <c r="AA54" s="1">
        <f>[1]Results!AD1414</f>
        <v>-108882.7267</v>
      </c>
      <c r="AB54" s="1">
        <f>[1]Results!AE1414</f>
        <v>-108202.71799999999</v>
      </c>
      <c r="AC54" s="1">
        <f>[1]Results!AF1414</f>
        <v>-109270.9602</v>
      </c>
      <c r="AD54" s="1">
        <f>[1]Results!AG1414</f>
        <v>-109630.4007</v>
      </c>
      <c r="AE54" s="1">
        <f>[1]Results!AH1414</f>
        <v>-108777.74099999999</v>
      </c>
      <c r="AF54" s="1">
        <f>[1]Results!AI1414</f>
        <v>-107029.7938</v>
      </c>
      <c r="AG54" s="1">
        <f>[1]Results!AJ1414</f>
        <v>-104996.5368</v>
      </c>
      <c r="AH54" s="1">
        <f>[1]Results!AK1414</f>
        <v>-103218.6488</v>
      </c>
      <c r="AI54" s="1">
        <f>[1]Results!AL1414</f>
        <v>-101933.4985</v>
      </c>
      <c r="AJ54" s="1">
        <f>[1]Results!AM1414</f>
        <v>-101031.5855</v>
      </c>
      <c r="AK54" s="1">
        <f>[1]Results!AN1414</f>
        <v>-100172.9651</v>
      </c>
      <c r="AL54" s="1">
        <f>[1]Results!AO1414</f>
        <v>-98972.528160000002</v>
      </c>
    </row>
    <row r="55" spans="1:3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2093878.6029999999</v>
      </c>
      <c r="D55" s="1">
        <f>[1]Results!G1415</f>
        <v>2152883.84</v>
      </c>
      <c r="E55" s="1">
        <f>[1]Results!H1415</f>
        <v>2208536.8990000002</v>
      </c>
      <c r="F55" s="1">
        <f>[1]Results!I1415</f>
        <v>2263389.8360000001</v>
      </c>
      <c r="G55" s="1">
        <f>[1]Results!J1415</f>
        <v>2320875.6889999998</v>
      </c>
      <c r="H55" s="1">
        <f>[1]Results!K1415</f>
        <v>2383790.4610000001</v>
      </c>
      <c r="I55" s="1">
        <f>[1]Results!L1415</f>
        <v>2452843.7179999999</v>
      </c>
      <c r="J55" s="1">
        <f>[1]Results!M1415</f>
        <v>2530787.9139999999</v>
      </c>
      <c r="K55" s="1">
        <f>[1]Results!N1415</f>
        <v>2621155.3530000001</v>
      </c>
      <c r="L55" s="1">
        <f>[1]Results!O1415</f>
        <v>2722096.7740000002</v>
      </c>
      <c r="M55" s="1">
        <f>[1]Results!P1415</f>
        <v>2830469.8960000002</v>
      </c>
      <c r="N55" s="1">
        <f>[1]Results!Q1415</f>
        <v>2940839.9870000002</v>
      </c>
      <c r="O55" s="1">
        <f>[1]Results!R1415</f>
        <v>3051180.7420000001</v>
      </c>
      <c r="P55" s="1">
        <f>[1]Results!S1415</f>
        <v>3161053.8650000002</v>
      </c>
      <c r="Q55" s="1">
        <f>[1]Results!T1415</f>
        <v>3270987.4130000002</v>
      </c>
      <c r="R55" s="1">
        <f>[1]Results!U1415</f>
        <v>3381713.0359999998</v>
      </c>
      <c r="S55" s="1">
        <f>[1]Results!V1415</f>
        <v>3493617.5529999998</v>
      </c>
      <c r="T55" s="1">
        <f>[1]Results!W1415</f>
        <v>3606534.8289999999</v>
      </c>
      <c r="U55" s="1">
        <f>[1]Results!X1415</f>
        <v>3719865.9270000001</v>
      </c>
      <c r="V55" s="1">
        <f>[1]Results!Y1415</f>
        <v>3832880.534</v>
      </c>
      <c r="W55" s="1">
        <f>[1]Results!Z1415</f>
        <v>3944558.699</v>
      </c>
      <c r="X55" s="1">
        <f>[1]Results!AA1415</f>
        <v>4055837.969</v>
      </c>
      <c r="Y55" s="1">
        <f>[1]Results!AB1415</f>
        <v>4166203.8969999999</v>
      </c>
      <c r="Z55" s="1">
        <f>[1]Results!AC1415</f>
        <v>4275628.0549999997</v>
      </c>
      <c r="AA55" s="1">
        <f>[1]Results!AD1415</f>
        <v>4384510.7819999997</v>
      </c>
      <c r="AB55" s="1">
        <f>[1]Results!AE1415</f>
        <v>4492713.5</v>
      </c>
      <c r="AC55" s="1">
        <f>[1]Results!AF1415</f>
        <v>4601984.46</v>
      </c>
      <c r="AD55" s="1">
        <f>[1]Results!AG1415</f>
        <v>4711614.8609999996</v>
      </c>
      <c r="AE55" s="1">
        <f>[1]Results!AH1415</f>
        <v>4820392.602</v>
      </c>
      <c r="AF55" s="1">
        <f>[1]Results!AI1415</f>
        <v>4927422.3959999997</v>
      </c>
      <c r="AG55" s="1">
        <f>[1]Results!AJ1415</f>
        <v>5032418.932</v>
      </c>
      <c r="AH55" s="1">
        <f>[1]Results!AK1415</f>
        <v>5135637.5810000002</v>
      </c>
      <c r="AI55" s="1">
        <f>[1]Results!AL1415</f>
        <v>5237571.08</v>
      </c>
      <c r="AJ55" s="1">
        <f>[1]Results!AM1415</f>
        <v>5338602.665</v>
      </c>
      <c r="AK55" s="1">
        <f>[1]Results!AN1415</f>
        <v>5438775.6299999999</v>
      </c>
      <c r="AL55" s="1">
        <f>[1]Results!AO1415</f>
        <v>5537748.159</v>
      </c>
    </row>
    <row r="56" spans="1:3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">
      <c r="A58" s="13" t="s">
        <v>35</v>
      </c>
      <c r="B58" t="s">
        <v>4</v>
      </c>
      <c r="C58" s="1">
        <f>[1]Results!F1731</f>
        <v>1209846.2930000001</v>
      </c>
      <c r="D58" s="1">
        <f>[1]Results!G1731</f>
        <v>1224268.696</v>
      </c>
      <c r="E58" s="1">
        <f>[1]Results!H1731</f>
        <v>1243902.1769999999</v>
      </c>
      <c r="F58" s="1">
        <f>[1]Results!I1731</f>
        <v>1263252.7239999999</v>
      </c>
      <c r="G58" s="1">
        <f>[1]Results!J1731</f>
        <v>1280189.68</v>
      </c>
      <c r="H58" s="1">
        <f>[1]Results!K1731</f>
        <v>1295678.1710000001</v>
      </c>
      <c r="I58" s="1">
        <f>[1]Results!L1731</f>
        <v>1309763.4709999999</v>
      </c>
      <c r="J58" s="1">
        <f>[1]Results!M1731</f>
        <v>1324679.0209999999</v>
      </c>
      <c r="K58" s="1">
        <f>[1]Results!N1731</f>
        <v>1340616.115</v>
      </c>
      <c r="L58" s="1">
        <f>[1]Results!O1731</f>
        <v>1357917.0160000001</v>
      </c>
      <c r="M58" s="1">
        <f>[1]Results!P1731</f>
        <v>1377322.088</v>
      </c>
      <c r="N58" s="1">
        <f>[1]Results!Q1731</f>
        <v>1397864.773</v>
      </c>
      <c r="O58" s="1">
        <f>[1]Results!R1731</f>
        <v>1419239.865</v>
      </c>
      <c r="P58" s="1">
        <f>[1]Results!S1731</f>
        <v>1440932.44</v>
      </c>
      <c r="Q58" s="1">
        <f>[1]Results!T1731</f>
        <v>1462972.5789999999</v>
      </c>
      <c r="R58" s="1">
        <f>[1]Results!U1731</f>
        <v>1485540.713</v>
      </c>
      <c r="S58" s="1">
        <f>[1]Results!V1731</f>
        <v>1508792.736</v>
      </c>
      <c r="T58" s="1">
        <f>[1]Results!W1731</f>
        <v>1532773.6669999999</v>
      </c>
      <c r="U58" s="1">
        <f>[1]Results!X1731</f>
        <v>1557407.102</v>
      </c>
      <c r="V58" s="1">
        <f>[1]Results!Y1731</f>
        <v>1582537.493</v>
      </c>
      <c r="W58" s="1">
        <f>[1]Results!Z1731</f>
        <v>1606942.361</v>
      </c>
      <c r="X58" s="1">
        <f>[1]Results!AA1731</f>
        <v>1632088.2990000001</v>
      </c>
      <c r="Y58" s="1">
        <f>[1]Results!AB1731</f>
        <v>1657659.0290000001</v>
      </c>
      <c r="Z58" s="1">
        <f>[1]Results!AC1731</f>
        <v>1683471.368</v>
      </c>
      <c r="AA58" s="1">
        <f>[1]Results!AD1731</f>
        <v>1709445.35</v>
      </c>
      <c r="AB58" s="1">
        <f>[1]Results!AE1731</f>
        <v>1731220.4850000001</v>
      </c>
      <c r="AC58" s="1">
        <f>[1]Results!AF1731</f>
        <v>1755892.92</v>
      </c>
      <c r="AD58" s="1">
        <f>[1]Results!AG1731</f>
        <v>1780264.554</v>
      </c>
      <c r="AE58" s="1">
        <f>[1]Results!AH1731</f>
        <v>1804746.1340000001</v>
      </c>
      <c r="AF58" s="1">
        <f>[1]Results!AI1731</f>
        <v>1829441.2139999999</v>
      </c>
      <c r="AG58" s="1">
        <f>[1]Results!AJ1731</f>
        <v>1854289.129</v>
      </c>
      <c r="AH58" s="1">
        <f>[1]Results!AK1731</f>
        <v>1879211.382</v>
      </c>
      <c r="AI58" s="1">
        <f>[1]Results!AL1731</f>
        <v>1904197.9850000001</v>
      </c>
      <c r="AJ58" s="1">
        <f>[1]Results!AM1731</f>
        <v>1929325.0279999999</v>
      </c>
      <c r="AK58" s="1">
        <f>[1]Results!AN1731</f>
        <v>1954722.0859999999</v>
      </c>
      <c r="AL58" s="1">
        <f>[1]Results!AO1731</f>
        <v>1980519.0490000001</v>
      </c>
    </row>
    <row r="59" spans="1:38" x14ac:dyDescent="0.3">
      <c r="A59" s="14"/>
      <c r="B59" t="s">
        <v>6</v>
      </c>
      <c r="C59" s="1">
        <f>[1]Results!F1702</f>
        <v>1209846.2930000001</v>
      </c>
      <c r="D59" s="1">
        <f>[1]Results!G1702</f>
        <v>1224268.696</v>
      </c>
      <c r="E59" s="1">
        <f>[1]Results!H1702</f>
        <v>1243902.1769999999</v>
      </c>
      <c r="F59" s="1">
        <f>[1]Results!I1702</f>
        <v>1263252.7239999999</v>
      </c>
      <c r="G59" s="1">
        <f>[1]Results!J1702</f>
        <v>1280189.68</v>
      </c>
      <c r="H59" s="1">
        <f>[1]Results!K1702</f>
        <v>1295678.1710000001</v>
      </c>
      <c r="I59" s="1">
        <f>[1]Results!L1702</f>
        <v>1309890.2</v>
      </c>
      <c r="J59" s="1">
        <f>[1]Results!M1702</f>
        <v>1323518.31</v>
      </c>
      <c r="K59" s="1">
        <f>[1]Results!N1702</f>
        <v>1337465.7339999999</v>
      </c>
      <c r="L59" s="1">
        <f>[1]Results!O1702</f>
        <v>1353120.34</v>
      </c>
      <c r="M59" s="1">
        <f>[1]Results!P1702</f>
        <v>1372010.598</v>
      </c>
      <c r="N59" s="1">
        <f>[1]Results!Q1702</f>
        <v>1393233.351</v>
      </c>
      <c r="O59" s="1">
        <f>[1]Results!R1702</f>
        <v>1416248.564</v>
      </c>
      <c r="P59" s="1">
        <f>[1]Results!S1702</f>
        <v>1439989.2080000001</v>
      </c>
      <c r="Q59" s="1">
        <f>[1]Results!T1702</f>
        <v>1463921.811</v>
      </c>
      <c r="R59" s="1">
        <f>[1]Results!U1702</f>
        <v>1487849.263</v>
      </c>
      <c r="S59" s="1">
        <f>[1]Results!V1702</f>
        <v>1511806.5160000001</v>
      </c>
      <c r="T59" s="1">
        <f>[1]Results!W1702</f>
        <v>1535928.41</v>
      </c>
      <c r="U59" s="1">
        <f>[1]Results!X1702</f>
        <v>1560329.9140000001</v>
      </c>
      <c r="V59" s="1">
        <f>[1]Results!Y1702</f>
        <v>1585040.753</v>
      </c>
      <c r="W59" s="1">
        <f>[1]Results!Z1702</f>
        <v>1608967.4779999999</v>
      </c>
      <c r="X59" s="1">
        <f>[1]Results!AA1702</f>
        <v>1633578.784</v>
      </c>
      <c r="Y59" s="1">
        <f>[1]Results!AB1702</f>
        <v>1658567.6410000001</v>
      </c>
      <c r="Z59" s="1">
        <f>[1]Results!AC1702</f>
        <v>1683727.746</v>
      </c>
      <c r="AA59" s="1">
        <f>[1]Results!AD1702</f>
        <v>1708975.9410000001</v>
      </c>
      <c r="AB59" s="1">
        <f>[1]Results!AE1702</f>
        <v>1729983.987</v>
      </c>
      <c r="AC59" s="1">
        <f>[1]Results!AF1702</f>
        <v>1753901.7919999999</v>
      </c>
      <c r="AD59" s="1">
        <f>[1]Results!AG1702</f>
        <v>1777614.577</v>
      </c>
      <c r="AE59" s="1">
        <f>[1]Results!AH1702</f>
        <v>1801589.7919999999</v>
      </c>
      <c r="AF59" s="1">
        <f>[1]Results!AI1702</f>
        <v>1825955.1780000001</v>
      </c>
      <c r="AG59" s="1">
        <f>[1]Results!AJ1702</f>
        <v>1850639.898</v>
      </c>
      <c r="AH59" s="1">
        <f>[1]Results!AK1702</f>
        <v>1875531.044</v>
      </c>
      <c r="AI59" s="1">
        <f>[1]Results!AL1702</f>
        <v>1900574.2520000001</v>
      </c>
      <c r="AJ59" s="1">
        <f>[1]Results!AM1702</f>
        <v>1925802.656</v>
      </c>
      <c r="AK59" s="1">
        <f>[1]Results!AN1702</f>
        <v>1951311.814</v>
      </c>
      <c r="AL59" s="1">
        <f>[1]Results!AO1702</f>
        <v>1977209.074</v>
      </c>
    </row>
    <row r="60" spans="1:38" x14ac:dyDescent="0.3">
      <c r="A60" s="14"/>
      <c r="C60" s="1"/>
      <c r="D60" s="1"/>
      <c r="E60" s="1"/>
      <c r="F60" s="1"/>
      <c r="G60" s="1"/>
      <c r="H60" s="4">
        <f t="shared" ref="H60:U60" si="0">H58/G58-1</f>
        <v>1.209859073383579E-2</v>
      </c>
      <c r="I60" s="4">
        <f t="shared" si="0"/>
        <v>1.0870986573100039E-2</v>
      </c>
      <c r="J60" s="4">
        <f t="shared" si="0"/>
        <v>1.1387972202806962E-2</v>
      </c>
      <c r="K60" s="4">
        <f t="shared" si="0"/>
        <v>1.2030909939201084E-2</v>
      </c>
      <c r="L60" s="4">
        <f t="shared" si="0"/>
        <v>1.2905186508219924E-2</v>
      </c>
      <c r="M60" s="4">
        <f t="shared" si="0"/>
        <v>1.4290322436021352E-2</v>
      </c>
      <c r="N60" s="4">
        <f t="shared" si="0"/>
        <v>1.4914946314285915E-2</v>
      </c>
      <c r="O60" s="4">
        <f t="shared" si="0"/>
        <v>1.5291244484347599E-2</v>
      </c>
      <c r="P60" s="4">
        <f t="shared" si="0"/>
        <v>1.5284643234003248E-2</v>
      </c>
      <c r="Q60" s="4">
        <f t="shared" si="0"/>
        <v>1.5295747661840497E-2</v>
      </c>
      <c r="R60" s="4">
        <f t="shared" si="0"/>
        <v>1.5426218046701967E-2</v>
      </c>
      <c r="S60" s="4">
        <f t="shared" si="0"/>
        <v>1.5652228711418692E-2</v>
      </c>
      <c r="T60" s="4">
        <f t="shared" si="0"/>
        <v>1.5894118806255797E-2</v>
      </c>
      <c r="U60" s="4">
        <f t="shared" si="0"/>
        <v>1.6071149661785133E-2</v>
      </c>
      <c r="V60" s="4">
        <f>V58/U58-1</f>
        <v>1.6136044947867578E-2</v>
      </c>
      <c r="W60" s="4">
        <f t="shared" ref="W60:AL60" si="1">W58/V58-1</f>
        <v>1.542135216887397E-2</v>
      </c>
      <c r="X60" s="4">
        <f t="shared" si="1"/>
        <v>1.5648313598722874E-2</v>
      </c>
      <c r="Y60" s="4">
        <f t="shared" si="1"/>
        <v>1.5667491774597808E-2</v>
      </c>
      <c r="Z60" s="4">
        <f t="shared" si="1"/>
        <v>1.5571561188654881E-2</v>
      </c>
      <c r="AA60" s="4">
        <f t="shared" si="1"/>
        <v>1.5428823141113268E-2</v>
      </c>
      <c r="AB60" s="4">
        <f t="shared" si="1"/>
        <v>1.2738128773756907E-2</v>
      </c>
      <c r="AC60" s="4">
        <f t="shared" si="1"/>
        <v>1.4251468957173108E-2</v>
      </c>
      <c r="AD60" s="4">
        <f t="shared" si="1"/>
        <v>1.3879909032266102E-2</v>
      </c>
      <c r="AE60" s="4">
        <f t="shared" si="1"/>
        <v>1.3751652778230872E-2</v>
      </c>
      <c r="AF60" s="4">
        <f t="shared" si="1"/>
        <v>1.3683409281097125E-2</v>
      </c>
      <c r="AG60" s="4">
        <f t="shared" si="1"/>
        <v>1.3582242932896005E-2</v>
      </c>
      <c r="AH60" s="4">
        <f t="shared" si="1"/>
        <v>1.3440327406460284E-2</v>
      </c>
      <c r="AI60" s="4">
        <f t="shared" si="1"/>
        <v>1.3296323787379105E-2</v>
      </c>
      <c r="AJ60" s="4">
        <f t="shared" si="1"/>
        <v>1.3195604237549841E-2</v>
      </c>
      <c r="AK60" s="4">
        <f t="shared" si="1"/>
        <v>1.3163701103451331E-2</v>
      </c>
      <c r="AL60" s="4">
        <f t="shared" si="1"/>
        <v>1.3197253555767174E-2</v>
      </c>
    </row>
    <row r="61" spans="1:38" x14ac:dyDescent="0.3">
      <c r="A61" s="18" t="s">
        <v>3</v>
      </c>
      <c r="B61" t="s">
        <v>4</v>
      </c>
      <c r="C61" s="1">
        <f>[1]Results!F1789</f>
        <v>0.99469770400000002</v>
      </c>
      <c r="D61" s="1">
        <f>[1]Results!G1789</f>
        <v>1.0064190399999999</v>
      </c>
      <c r="E61" s="1">
        <f>[1]Results!H1789</f>
        <v>1.0176969199999999</v>
      </c>
      <c r="F61" s="1">
        <f>[1]Results!I1789</f>
        <v>1.029669556</v>
      </c>
      <c r="G61" s="1">
        <f>[1]Results!J1789</f>
        <v>1.0431002549999999</v>
      </c>
      <c r="H61" s="1">
        <f>[1]Results!K1789</f>
        <v>1.058355146</v>
      </c>
      <c r="I61" s="1">
        <f>[1]Results!L1789</f>
        <v>1.075379866</v>
      </c>
      <c r="J61" s="1">
        <f>[1]Results!M1789</f>
        <v>1.0941775730000001</v>
      </c>
      <c r="K61" s="1">
        <f>[1]Results!N1789</f>
        <v>1.114303979</v>
      </c>
      <c r="L61" s="1">
        <f>[1]Results!O1789</f>
        <v>1.135479363</v>
      </c>
      <c r="M61" s="1">
        <f>[1]Results!P1789</f>
        <v>1.1573562829999999</v>
      </c>
      <c r="N61" s="1">
        <f>[1]Results!Q1789</f>
        <v>1.1805331450000001</v>
      </c>
      <c r="O61" s="1">
        <f>[1]Results!R1789</f>
        <v>1.2053729929999999</v>
      </c>
      <c r="P61" s="1">
        <f>[1]Results!S1789</f>
        <v>1.23187902</v>
      </c>
      <c r="Q61" s="1">
        <f>[1]Results!T1789</f>
        <v>1.2597972420000001</v>
      </c>
      <c r="R61" s="1">
        <f>[1]Results!U1789</f>
        <v>1.2887510280000001</v>
      </c>
      <c r="S61" s="1">
        <f>[1]Results!V1789</f>
        <v>1.318374916</v>
      </c>
      <c r="T61" s="1">
        <f>[1]Results!W1789</f>
        <v>1.3484073759999999</v>
      </c>
      <c r="U61" s="1">
        <f>[1]Results!X1789</f>
        <v>1.378720401</v>
      </c>
      <c r="V61" s="1">
        <f>[1]Results!Y1789</f>
        <v>1.409297217</v>
      </c>
      <c r="W61" s="1">
        <f>[1]Results!Z1789</f>
        <v>1.4404118050000001</v>
      </c>
      <c r="X61" s="1">
        <f>[1]Results!AA1789</f>
        <v>1.4717094470000001</v>
      </c>
      <c r="Y61" s="1">
        <f>[1]Results!AB1789</f>
        <v>1.5032163460000001</v>
      </c>
      <c r="Z61" s="1">
        <f>[1]Results!AC1789</f>
        <v>1.5350438310000001</v>
      </c>
      <c r="AA61" s="1">
        <f>[1]Results!AD1789</f>
        <v>1.5673287600000001</v>
      </c>
      <c r="AB61" s="1">
        <f>[1]Results!AE1789</f>
        <v>1.6006932</v>
      </c>
      <c r="AC61" s="1">
        <f>[1]Results!AF1789</f>
        <v>1.63453325</v>
      </c>
      <c r="AD61" s="1">
        <f>[1]Results!AG1789</f>
        <v>1.6685054580000001</v>
      </c>
      <c r="AE61" s="1">
        <f>[1]Results!AH1789</f>
        <v>1.7025876010000001</v>
      </c>
      <c r="AF61" s="1">
        <f>[1]Results!AI1789</f>
        <v>1.736963772</v>
      </c>
      <c r="AG61" s="1">
        <f>[1]Results!AJ1789</f>
        <v>1.771910627</v>
      </c>
      <c r="AH61" s="1">
        <f>[1]Results!AK1789</f>
        <v>1.80768079</v>
      </c>
      <c r="AI61" s="1">
        <f>[1]Results!AL1789</f>
        <v>1.844426388</v>
      </c>
      <c r="AJ61" s="1">
        <f>[1]Results!AM1789</f>
        <v>1.882181117</v>
      </c>
      <c r="AK61" s="1">
        <f>[1]Results!AN1789</f>
        <v>1.9208926980000001</v>
      </c>
      <c r="AL61" s="1">
        <f>[1]Results!AO1789</f>
        <v>1.9604812389999999</v>
      </c>
    </row>
    <row r="62" spans="1:38" x14ac:dyDescent="0.3">
      <c r="A62" s="18"/>
      <c r="B62" t="s">
        <v>6</v>
      </c>
      <c r="C62" s="1">
        <f>[1]Results!F1760</f>
        <v>0.99469770400000002</v>
      </c>
      <c r="D62" s="1">
        <f>[1]Results!G1760</f>
        <v>1.0064190399999999</v>
      </c>
      <c r="E62" s="1">
        <f>[1]Results!H1760</f>
        <v>1.0176969199999999</v>
      </c>
      <c r="F62" s="1">
        <f>[1]Results!I1760</f>
        <v>1.029669556</v>
      </c>
      <c r="G62" s="1">
        <f>[1]Results!J1760</f>
        <v>1.0431002549999999</v>
      </c>
      <c r="H62" s="1">
        <f>[1]Results!K1760</f>
        <v>1.058355146</v>
      </c>
      <c r="I62" s="1">
        <f>[1]Results!L1760</f>
        <v>1.0757442530000001</v>
      </c>
      <c r="J62" s="1">
        <f>[1]Results!M1760</f>
        <v>1.097668973</v>
      </c>
      <c r="K62" s="1">
        <f>[1]Results!N1760</f>
        <v>1.121972183</v>
      </c>
      <c r="L62" s="1">
        <f>[1]Results!O1760</f>
        <v>1.1471905099999999</v>
      </c>
      <c r="M62" s="1">
        <f>[1]Results!P1760</f>
        <v>1.172000803</v>
      </c>
      <c r="N62" s="1">
        <f>[1]Results!Q1760</f>
        <v>1.1968026009999999</v>
      </c>
      <c r="O62" s="1">
        <f>[1]Results!R1760</f>
        <v>1.2219563579999999</v>
      </c>
      <c r="P62" s="1">
        <f>[1]Results!S1760</f>
        <v>1.247862619</v>
      </c>
      <c r="Q62" s="1">
        <f>[1]Results!T1760</f>
        <v>1.274743666</v>
      </c>
      <c r="R62" s="1">
        <f>[1]Results!U1760</f>
        <v>1.3025881079999999</v>
      </c>
      <c r="S62" s="1">
        <f>[1]Results!V1760</f>
        <v>1.331200003</v>
      </c>
      <c r="T62" s="1">
        <f>[1]Results!W1760</f>
        <v>1.360316901</v>
      </c>
      <c r="U62" s="1">
        <f>[1]Results!X1760</f>
        <v>1.389727237</v>
      </c>
      <c r="V62" s="1">
        <f>[1]Results!Y1760</f>
        <v>1.4193406690000001</v>
      </c>
      <c r="W62" s="1">
        <f>[1]Results!Z1760</f>
        <v>1.449405982</v>
      </c>
      <c r="X62" s="1">
        <f>[1]Results!AA1760</f>
        <v>1.4796784810000001</v>
      </c>
      <c r="Y62" s="1">
        <f>[1]Results!AB1760</f>
        <v>1.5102619850000001</v>
      </c>
      <c r="Z62" s="1">
        <f>[1]Results!AC1760</f>
        <v>1.541375736</v>
      </c>
      <c r="AA62" s="1">
        <f>[1]Results!AD1760</f>
        <v>1.5732283760000001</v>
      </c>
      <c r="AB62" s="1">
        <f>[1]Results!AE1760</f>
        <v>1.606460942</v>
      </c>
      <c r="AC62" s="1">
        <f>[1]Results!AF1760</f>
        <v>1.6404343560000001</v>
      </c>
      <c r="AD62" s="1">
        <f>[1]Results!AG1760</f>
        <v>1.6747058399999999</v>
      </c>
      <c r="AE62" s="1">
        <f>[1]Results!AH1760</f>
        <v>1.7091610349999999</v>
      </c>
      <c r="AF62" s="1">
        <f>[1]Results!AI1760</f>
        <v>1.7439116240000001</v>
      </c>
      <c r="AG62" s="1">
        <f>[1]Results!AJ1760</f>
        <v>1.7791893729999999</v>
      </c>
      <c r="AH62" s="1">
        <f>[1]Results!AK1760</f>
        <v>1.8152249490000001</v>
      </c>
      <c r="AI62" s="1">
        <f>[1]Results!AL1760</f>
        <v>1.852161556</v>
      </c>
      <c r="AJ62" s="1">
        <f>[1]Results!AM1760</f>
        <v>1.890029161</v>
      </c>
      <c r="AK62" s="1">
        <f>[1]Results!AN1760</f>
        <v>1.92877101</v>
      </c>
      <c r="AL62" s="1">
        <f>[1]Results!AO1760</f>
        <v>1.968300162</v>
      </c>
    </row>
    <row r="63" spans="1:3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">
      <c r="A64" s="18" t="s">
        <v>1</v>
      </c>
      <c r="B64" t="str">
        <f>B61</f>
        <v>Baseline</v>
      </c>
      <c r="D64" s="1">
        <f t="shared" ref="D64:AL64" si="2">(D61/C61-1)*100</f>
        <v>1.1783817287266851</v>
      </c>
      <c r="E64" s="1">
        <f t="shared" si="2"/>
        <v>1.1205948567904578</v>
      </c>
      <c r="F64" s="1">
        <f t="shared" si="2"/>
        <v>1.1764441617844401</v>
      </c>
      <c r="G64" s="1">
        <f t="shared" si="2"/>
        <v>1.3043698263911718</v>
      </c>
      <c r="H64" s="1">
        <f t="shared" si="2"/>
        <v>1.462456837382331</v>
      </c>
      <c r="I64" s="1">
        <f t="shared" si="2"/>
        <v>1.6086018067133834</v>
      </c>
      <c r="J64" s="1">
        <f t="shared" si="2"/>
        <v>1.7480062249928707</v>
      </c>
      <c r="K64" s="1">
        <f t="shared" si="2"/>
        <v>1.8394094794702776</v>
      </c>
      <c r="L64" s="1">
        <f t="shared" si="2"/>
        <v>1.9003238253715304</v>
      </c>
      <c r="M64" s="1">
        <f t="shared" si="2"/>
        <v>1.9266682172188521</v>
      </c>
      <c r="N64" s="1">
        <f t="shared" si="2"/>
        <v>2.0025693332672789</v>
      </c>
      <c r="O64" s="1">
        <f t="shared" si="2"/>
        <v>2.1041211850091557</v>
      </c>
      <c r="P64" s="1">
        <f t="shared" si="2"/>
        <v>2.1989896201366266</v>
      </c>
      <c r="Q64" s="1">
        <f t="shared" si="2"/>
        <v>2.2663119954750233</v>
      </c>
      <c r="R64" s="1">
        <f t="shared" si="2"/>
        <v>2.298289362344863</v>
      </c>
      <c r="S64" s="1">
        <f t="shared" si="2"/>
        <v>2.2986509695338775</v>
      </c>
      <c r="T64" s="1">
        <f t="shared" si="2"/>
        <v>2.2779908533999915</v>
      </c>
      <c r="U64" s="1">
        <f t="shared" si="2"/>
        <v>2.2480613455202691</v>
      </c>
      <c r="V64" s="1">
        <f t="shared" si="2"/>
        <v>2.2177677198235601</v>
      </c>
      <c r="W64" s="1">
        <f t="shared" si="2"/>
        <v>2.2078088017681852</v>
      </c>
      <c r="X64" s="1">
        <f t="shared" si="2"/>
        <v>2.1728259856909515</v>
      </c>
      <c r="Y64" s="1">
        <f t="shared" si="2"/>
        <v>2.1408369066479249</v>
      </c>
      <c r="Z64" s="1">
        <f t="shared" si="2"/>
        <v>2.1172923701030522</v>
      </c>
      <c r="AA64" s="1">
        <f t="shared" si="2"/>
        <v>2.1031926481843932</v>
      </c>
      <c r="AB64" s="1">
        <f t="shared" si="2"/>
        <v>2.1287454713712961</v>
      </c>
      <c r="AC64" s="1">
        <f t="shared" si="2"/>
        <v>2.1140871967220143</v>
      </c>
      <c r="AD64" s="1">
        <f t="shared" si="2"/>
        <v>2.0784042172283801</v>
      </c>
      <c r="AE64" s="1">
        <f t="shared" si="2"/>
        <v>2.0426749482050477</v>
      </c>
      <c r="AF64" s="1">
        <f t="shared" si="2"/>
        <v>2.0190544662612053</v>
      </c>
      <c r="AG64" s="1">
        <f t="shared" si="2"/>
        <v>2.0119507132702719</v>
      </c>
      <c r="AH64" s="1">
        <f t="shared" si="2"/>
        <v>2.0187340408111876</v>
      </c>
      <c r="AI64" s="1">
        <f t="shared" si="2"/>
        <v>2.0327481601439157</v>
      </c>
      <c r="AJ64" s="1">
        <f t="shared" si="2"/>
        <v>2.0469631775838604</v>
      </c>
      <c r="AK64" s="1">
        <f t="shared" si="2"/>
        <v>2.0567404831742353</v>
      </c>
      <c r="AL64" s="1">
        <f t="shared" si="2"/>
        <v>2.0609449471705954</v>
      </c>
    </row>
    <row r="65" spans="1:38" x14ac:dyDescent="0.3">
      <c r="A65" s="18"/>
      <c r="B65" t="str">
        <f>B62</f>
        <v>NZ50</v>
      </c>
      <c r="D65" s="1">
        <f t="shared" ref="D65:AL65" si="3">(D62/C62-1)*100</f>
        <v>1.1783817287266851</v>
      </c>
      <c r="E65" s="1">
        <f t="shared" si="3"/>
        <v>1.1205948567904578</v>
      </c>
      <c r="F65" s="1">
        <f t="shared" si="3"/>
        <v>1.1764441617844401</v>
      </c>
      <c r="G65" s="1">
        <f t="shared" si="3"/>
        <v>1.3043698263911718</v>
      </c>
      <c r="H65" s="1">
        <f t="shared" si="3"/>
        <v>1.462456837382331</v>
      </c>
      <c r="I65" s="1">
        <f t="shared" si="3"/>
        <v>1.6430313648231776</v>
      </c>
      <c r="J65" s="1">
        <f t="shared" si="3"/>
        <v>2.0380978042742859</v>
      </c>
      <c r="K65" s="1">
        <f t="shared" si="3"/>
        <v>2.2140746069899242</v>
      </c>
      <c r="L65" s="1">
        <f t="shared" si="3"/>
        <v>2.2476784524701365</v>
      </c>
      <c r="M65" s="1">
        <f t="shared" si="3"/>
        <v>2.1627003347508555</v>
      </c>
      <c r="N65" s="1">
        <f t="shared" si="3"/>
        <v>2.1161929186835238</v>
      </c>
      <c r="O65" s="1">
        <f t="shared" si="3"/>
        <v>2.1017465185137807</v>
      </c>
      <c r="P65" s="1">
        <f t="shared" si="3"/>
        <v>2.1200643403010977</v>
      </c>
      <c r="Q65" s="1">
        <f t="shared" si="3"/>
        <v>2.1541671808024576</v>
      </c>
      <c r="R65" s="1">
        <f t="shared" si="3"/>
        <v>2.1843169527072437</v>
      </c>
      <c r="S65" s="1">
        <f t="shared" si="3"/>
        <v>2.1965420092719068</v>
      </c>
      <c r="T65" s="1">
        <f t="shared" si="3"/>
        <v>2.1872669722342364</v>
      </c>
      <c r="U65" s="1">
        <f t="shared" si="3"/>
        <v>2.1620209216234754</v>
      </c>
      <c r="V65" s="1">
        <f t="shared" si="3"/>
        <v>2.1308808816272951</v>
      </c>
      <c r="W65" s="1">
        <f t="shared" si="3"/>
        <v>2.1182591083775959</v>
      </c>
      <c r="X65" s="1">
        <f t="shared" si="3"/>
        <v>2.0886141892575649</v>
      </c>
      <c r="Y65" s="1">
        <f t="shared" si="3"/>
        <v>2.0669019920686482</v>
      </c>
      <c r="Z65" s="1">
        <f t="shared" si="3"/>
        <v>2.0601558742140869</v>
      </c>
      <c r="AA65" s="1">
        <f t="shared" si="3"/>
        <v>2.0665071634422105</v>
      </c>
      <c r="AB65" s="1">
        <f t="shared" si="3"/>
        <v>2.1123802816533921</v>
      </c>
      <c r="AC65" s="1">
        <f t="shared" si="3"/>
        <v>2.1147986304419053</v>
      </c>
      <c r="AD65" s="1">
        <f t="shared" si="3"/>
        <v>2.0891713145758883</v>
      </c>
      <c r="AE65" s="1">
        <f t="shared" si="3"/>
        <v>2.0573878813248792</v>
      </c>
      <c r="AF65" s="1">
        <f t="shared" si="3"/>
        <v>2.0331957193255423</v>
      </c>
      <c r="AG65" s="1">
        <f t="shared" si="3"/>
        <v>2.0229092182483033</v>
      </c>
      <c r="AH65" s="1">
        <f t="shared" si="3"/>
        <v>2.0253929428118322</v>
      </c>
      <c r="AI65" s="1">
        <f t="shared" si="3"/>
        <v>2.0348225722849556</v>
      </c>
      <c r="AJ65" s="1">
        <f t="shared" si="3"/>
        <v>2.0445087458666578</v>
      </c>
      <c r="AK65" s="1">
        <f t="shared" si="3"/>
        <v>2.0498016538274877</v>
      </c>
      <c r="AL65" s="1">
        <f t="shared" si="3"/>
        <v>2.0494476428282837</v>
      </c>
    </row>
    <row r="66" spans="1:3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38" x14ac:dyDescent="0.3">
      <c r="A67" s="15" t="s">
        <v>2</v>
      </c>
      <c r="B67" t="str">
        <f>B64</f>
        <v>Baseline</v>
      </c>
      <c r="C67" s="6">
        <f>[1]Emissions!B820</f>
        <v>352.41218830000003</v>
      </c>
      <c r="D67" s="6">
        <f>[1]Emissions!C820</f>
        <v>354.24761139999998</v>
      </c>
      <c r="E67" s="6">
        <f>[1]Emissions!D820</f>
        <v>356.16947119999998</v>
      </c>
      <c r="F67" s="6">
        <f>[1]Emissions!E820</f>
        <v>358.45450449999998</v>
      </c>
      <c r="G67" s="6">
        <f>[1]Emissions!F820</f>
        <v>361.24571070000002</v>
      </c>
      <c r="H67" s="6">
        <f>[1]Emissions!G820</f>
        <v>364.62746499999997</v>
      </c>
      <c r="I67" s="6">
        <f>[1]Emissions!H820</f>
        <v>368.14126379999999</v>
      </c>
      <c r="J67" s="6">
        <f>[1]Emissions!I820</f>
        <v>372.16778249999999</v>
      </c>
      <c r="K67" s="6">
        <f>[1]Emissions!J820</f>
        <v>376.57082320000001</v>
      </c>
      <c r="L67" s="6">
        <f>[1]Emissions!K820</f>
        <v>381.18904270000002</v>
      </c>
      <c r="M67" s="6">
        <f>[1]Emissions!L820</f>
        <v>386.50365190000002</v>
      </c>
      <c r="N67" s="6">
        <f>[1]Emissions!M820</f>
        <v>391.25512620000001</v>
      </c>
      <c r="O67" s="6">
        <f>[1]Emissions!N820</f>
        <v>396.04449039999997</v>
      </c>
      <c r="P67" s="6">
        <f>[1]Emissions!O820</f>
        <v>400.90188590000002</v>
      </c>
      <c r="Q67" s="6">
        <f>[1]Emissions!P820</f>
        <v>405.74885330000001</v>
      </c>
      <c r="R67" s="6">
        <f>[1]Emissions!Q820</f>
        <v>410.51323380000002</v>
      </c>
      <c r="S67" s="6">
        <f>[1]Emissions!R820</f>
        <v>415.15422080000002</v>
      </c>
      <c r="T67" s="6">
        <f>[1]Emissions!S820</f>
        <v>419.66554239999999</v>
      </c>
      <c r="U67" s="6">
        <f>[1]Emissions!T820</f>
        <v>424.06933739999999</v>
      </c>
      <c r="V67" s="6">
        <f>[1]Emissions!U820</f>
        <v>428.40440189999998</v>
      </c>
      <c r="W67" s="6">
        <f>[1]Emissions!V820</f>
        <v>432.2699935</v>
      </c>
      <c r="X67" s="6">
        <f>[1]Emissions!W820</f>
        <v>436.58415710000003</v>
      </c>
      <c r="Y67" s="6">
        <f>[1]Emissions!X820</f>
        <v>440.956367</v>
      </c>
      <c r="Z67" s="6">
        <f>[1]Emissions!Y820</f>
        <v>445.34216249999997</v>
      </c>
      <c r="AA67" s="6">
        <f>[1]Emissions!Z820</f>
        <v>449.77159510000001</v>
      </c>
      <c r="AB67" s="6">
        <f>[1]Emissions!AA820</f>
        <v>452.9192281</v>
      </c>
      <c r="AC67" s="6">
        <f>[1]Emissions!AB820</f>
        <v>456.96169400000002</v>
      </c>
      <c r="AD67" s="6">
        <f>[1]Emissions!AC820</f>
        <v>461.12640679999998</v>
      </c>
      <c r="AE67" s="6">
        <f>[1]Emissions!AD820</f>
        <v>465.25422650000002</v>
      </c>
      <c r="AF67" s="6">
        <f>[1]Emissions!AE820</f>
        <v>469.35654019999998</v>
      </c>
      <c r="AG67" s="6">
        <f>[1]Emissions!AF820</f>
        <v>473.47183790000003</v>
      </c>
      <c r="AH67" s="6">
        <f>[1]Emissions!AG820</f>
        <v>477.62833360000002</v>
      </c>
      <c r="AI67" s="6">
        <f>[1]Emissions!AH820</f>
        <v>481.83523589999999</v>
      </c>
      <c r="AJ67" s="6">
        <f>[1]Emissions!AI820</f>
        <v>486.08479290000002</v>
      </c>
      <c r="AK67" s="6">
        <f>[1]Emissions!AJ820</f>
        <v>490.35966459999997</v>
      </c>
      <c r="AL67" s="6">
        <f>[1]Emissions!AK820</f>
        <v>494.64095370000001</v>
      </c>
    </row>
    <row r="68" spans="1:38" x14ac:dyDescent="0.3">
      <c r="A68" s="11"/>
      <c r="B68" t="s">
        <v>32</v>
      </c>
      <c r="C68" s="6">
        <f>[1]Emissions!B824</f>
        <v>115.311927</v>
      </c>
      <c r="D68" s="6">
        <f>[1]Emissions!C824</f>
        <v>115.0300843</v>
      </c>
      <c r="E68" s="6">
        <f>[1]Emissions!D824</f>
        <v>114.427746</v>
      </c>
      <c r="F68" s="6">
        <f>[1]Emissions!E824</f>
        <v>113.93245109999999</v>
      </c>
      <c r="G68" s="6">
        <f>[1]Emissions!F824</f>
        <v>113.63229219999999</v>
      </c>
      <c r="H68" s="6">
        <f>[1]Emissions!G824</f>
        <v>113.5051517</v>
      </c>
      <c r="I68" s="6">
        <f>[1]Emissions!H824</f>
        <v>113.48489170000001</v>
      </c>
      <c r="J68" s="6">
        <f>[1]Emissions!I824</f>
        <v>113.54389399999999</v>
      </c>
      <c r="K68" s="6">
        <f>[1]Emissions!J824</f>
        <v>113.6616223</v>
      </c>
      <c r="L68" s="6">
        <f>[1]Emissions!K824</f>
        <v>113.8242544</v>
      </c>
      <c r="M68" s="6">
        <f>[1]Emissions!L824</f>
        <v>114.0567199</v>
      </c>
      <c r="N68" s="6">
        <f>[1]Emissions!M824</f>
        <v>114.3000109</v>
      </c>
      <c r="O68" s="6">
        <f>[1]Emissions!N824</f>
        <v>114.5513425</v>
      </c>
      <c r="P68" s="6">
        <f>[1]Emissions!O824</f>
        <v>114.8052474</v>
      </c>
      <c r="Q68" s="6">
        <f>[1]Emissions!P824</f>
        <v>115.0564813</v>
      </c>
      <c r="R68" s="6">
        <f>[1]Emissions!Q824</f>
        <v>115.30138359999999</v>
      </c>
      <c r="S68" s="6">
        <f>[1]Emissions!R824</f>
        <v>115.5368744</v>
      </c>
      <c r="T68" s="6">
        <f>[1]Emissions!S824</f>
        <v>115.759496</v>
      </c>
      <c r="U68" s="6">
        <f>[1]Emissions!T824</f>
        <v>115.96493890000001</v>
      </c>
      <c r="V68" s="6">
        <f>[1]Emissions!U824</f>
        <v>116.1481256</v>
      </c>
      <c r="W68" s="6">
        <f>[1]Emissions!V824</f>
        <v>116.2791117</v>
      </c>
      <c r="X68" s="6">
        <f>[1]Emissions!W824</f>
        <v>116.38684170000001</v>
      </c>
      <c r="Y68" s="6">
        <f>[1]Emissions!X824</f>
        <v>116.4630131</v>
      </c>
      <c r="Z68" s="6">
        <f>[1]Emissions!Y824</f>
        <v>116.5018319</v>
      </c>
      <c r="AA68" s="6">
        <f>[1]Emissions!Z824</f>
        <v>116.4987577</v>
      </c>
      <c r="AB68" s="6">
        <f>[1]Emissions!AA824</f>
        <v>116.38260990000001</v>
      </c>
      <c r="AC68" s="6">
        <f>[1]Emissions!AB824</f>
        <v>116.21386219999999</v>
      </c>
      <c r="AD68" s="6">
        <f>[1]Emissions!AC824</f>
        <v>115.99269649999999</v>
      </c>
      <c r="AE68" s="6">
        <f>[1]Emissions!AD824</f>
        <v>115.718941</v>
      </c>
      <c r="AF68" s="6">
        <f>[1]Emissions!AE824</f>
        <v>115.3915492</v>
      </c>
      <c r="AG68" s="6">
        <f>[1]Emissions!AF824</f>
        <v>115.00892159999999</v>
      </c>
      <c r="AH68" s="6">
        <f>[1]Emissions!AG824</f>
        <v>114.5695656</v>
      </c>
      <c r="AI68" s="6">
        <f>[1]Emissions!AH824</f>
        <v>114.07260789999999</v>
      </c>
      <c r="AJ68" s="6">
        <f>[1]Emissions!AI824</f>
        <v>113.5179651</v>
      </c>
      <c r="AK68" s="6">
        <f>[1]Emissions!AJ824</f>
        <v>112.9061992</v>
      </c>
      <c r="AL68" s="6">
        <f>[1]Emissions!AK824</f>
        <v>112.2382111</v>
      </c>
    </row>
    <row r="69" spans="1:38" x14ac:dyDescent="0.3">
      <c r="A69" s="11"/>
      <c r="B69" t="s">
        <v>80</v>
      </c>
      <c r="C69" s="6">
        <f>SUM(C70:C72)</f>
        <v>237.100261214</v>
      </c>
      <c r="D69" s="6">
        <f t="shared" ref="D69:AL69" si="4">SUM(D70:D72)</f>
        <v>239.21752708999998</v>
      </c>
      <c r="E69" s="6">
        <f t="shared" si="4"/>
        <v>241.74172519000001</v>
      </c>
      <c r="F69" s="6">
        <f t="shared" si="4"/>
        <v>244.52205333999999</v>
      </c>
      <c r="G69" s="6">
        <f t="shared" si="4"/>
        <v>247.61341849999999</v>
      </c>
      <c r="H69" s="6">
        <f t="shared" si="4"/>
        <v>251.12231323899999</v>
      </c>
      <c r="I69" s="6">
        <f t="shared" si="4"/>
        <v>254.65637213400001</v>
      </c>
      <c r="J69" s="6">
        <f t="shared" si="4"/>
        <v>258.62388848199998</v>
      </c>
      <c r="K69" s="6">
        <f t="shared" si="4"/>
        <v>262.90920090999998</v>
      </c>
      <c r="L69" s="6">
        <f t="shared" si="4"/>
        <v>267.36478824900001</v>
      </c>
      <c r="M69" s="6">
        <f t="shared" si="4"/>
        <v>272.44693201400003</v>
      </c>
      <c r="N69" s="6">
        <f t="shared" si="4"/>
        <v>276.95511528399999</v>
      </c>
      <c r="O69" s="6">
        <f t="shared" si="4"/>
        <v>281.49314784400002</v>
      </c>
      <c r="P69" s="6">
        <f t="shared" si="4"/>
        <v>286.09663859800003</v>
      </c>
      <c r="Q69" s="6">
        <f t="shared" si="4"/>
        <v>290.69237201599998</v>
      </c>
      <c r="R69" s="6">
        <f t="shared" si="4"/>
        <v>295.21185013299998</v>
      </c>
      <c r="S69" s="6">
        <f t="shared" si="4"/>
        <v>299.61734646600001</v>
      </c>
      <c r="T69" s="6">
        <f t="shared" si="4"/>
        <v>303.90604644500002</v>
      </c>
      <c r="U69" s="6">
        <f t="shared" si="4"/>
        <v>308.10439842900001</v>
      </c>
      <c r="V69" s="6">
        <f t="shared" si="4"/>
        <v>312.25627628299998</v>
      </c>
      <c r="W69" s="6">
        <f t="shared" si="4"/>
        <v>315.99088186400002</v>
      </c>
      <c r="X69" s="6">
        <f t="shared" si="4"/>
        <v>320.197315532</v>
      </c>
      <c r="Y69" s="6">
        <f t="shared" si="4"/>
        <v>324.49335396799995</v>
      </c>
      <c r="Z69" s="6">
        <f t="shared" si="4"/>
        <v>328.84033055300006</v>
      </c>
      <c r="AA69" s="6">
        <f t="shared" si="4"/>
        <v>333.27283742500003</v>
      </c>
      <c r="AB69" s="6">
        <f t="shared" si="4"/>
        <v>336.53661829499998</v>
      </c>
      <c r="AC69" s="6">
        <f t="shared" si="4"/>
        <v>340.74783182900001</v>
      </c>
      <c r="AD69" s="6">
        <f t="shared" si="4"/>
        <v>345.13371022200005</v>
      </c>
      <c r="AE69" s="6">
        <f t="shared" si="4"/>
        <v>349.53528547799999</v>
      </c>
      <c r="AF69" s="6">
        <f t="shared" si="4"/>
        <v>353.96499104100002</v>
      </c>
      <c r="AG69" s="6">
        <f t="shared" si="4"/>
        <v>358.46291623699994</v>
      </c>
      <c r="AH69" s="6">
        <f t="shared" si="4"/>
        <v>363.05876795</v>
      </c>
      <c r="AI69" s="6">
        <f t="shared" si="4"/>
        <v>367.76262796100002</v>
      </c>
      <c r="AJ69" s="6">
        <f t="shared" si="4"/>
        <v>372.56682785699996</v>
      </c>
      <c r="AK69" s="6">
        <f t="shared" si="4"/>
        <v>377.45346532100001</v>
      </c>
      <c r="AL69" s="6">
        <f t="shared" si="4"/>
        <v>382.402742574</v>
      </c>
    </row>
    <row r="70" spans="1:38" x14ac:dyDescent="0.3">
      <c r="A70" s="11"/>
      <c r="B70" t="s">
        <v>36</v>
      </c>
      <c r="C70" s="6">
        <f>[1]Emissions!B821</f>
        <v>185.06591950000001</v>
      </c>
      <c r="D70" s="6">
        <f>[1]Emissions!C821</f>
        <v>186.23173539999999</v>
      </c>
      <c r="E70" s="6">
        <f>[1]Emissions!D821</f>
        <v>187.63961409999999</v>
      </c>
      <c r="F70" s="6">
        <f>[1]Emissions!E821</f>
        <v>189.37105969999999</v>
      </c>
      <c r="G70" s="6">
        <f>[1]Emissions!F821</f>
        <v>191.50191530000001</v>
      </c>
      <c r="H70" s="6">
        <f>[1]Emissions!G821</f>
        <v>194.09038630000001</v>
      </c>
      <c r="I70" s="6">
        <f>[1]Emissions!H821</f>
        <v>196.86256470000001</v>
      </c>
      <c r="J70" s="6">
        <f>[1]Emissions!I821</f>
        <v>200.01867329999999</v>
      </c>
      <c r="K70" s="6">
        <f>[1]Emissions!J821</f>
        <v>203.4370194</v>
      </c>
      <c r="L70" s="6">
        <f>[1]Emissions!K821</f>
        <v>206.9917615</v>
      </c>
      <c r="M70" s="6">
        <f>[1]Emissions!L821</f>
        <v>210.9240423</v>
      </c>
      <c r="N70" s="6">
        <f>[1]Emissions!M821</f>
        <v>214.5452315</v>
      </c>
      <c r="O70" s="6">
        <f>[1]Emissions!N821</f>
        <v>218.20553860000001</v>
      </c>
      <c r="P70" s="6">
        <f>[1]Emissions!O821</f>
        <v>221.90942770000001</v>
      </c>
      <c r="Q70" s="6">
        <f>[1]Emissions!P821</f>
        <v>225.5974933</v>
      </c>
      <c r="R70" s="6">
        <f>[1]Emissions!Q821</f>
        <v>229.20873359999999</v>
      </c>
      <c r="S70" s="6">
        <f>[1]Emissions!R821</f>
        <v>232.70416080000001</v>
      </c>
      <c r="T70" s="6">
        <f>[1]Emissions!S821</f>
        <v>236.07562619999999</v>
      </c>
      <c r="U70" s="6">
        <f>[1]Emissions!T821</f>
        <v>239.3438022</v>
      </c>
      <c r="V70" s="6">
        <f>[1]Emissions!U821</f>
        <v>242.54815429999999</v>
      </c>
      <c r="W70" s="6">
        <f>[1]Emissions!V821</f>
        <v>245.4844429</v>
      </c>
      <c r="X70" s="6">
        <f>[1]Emissions!W821</f>
        <v>248.67853640000001</v>
      </c>
      <c r="Y70" s="6">
        <f>[1]Emissions!X821</f>
        <v>251.92454649999999</v>
      </c>
      <c r="Z70" s="6">
        <f>[1]Emissions!Y821</f>
        <v>255.21741420000001</v>
      </c>
      <c r="AA70" s="6">
        <f>[1]Emissions!Z821</f>
        <v>258.5867705</v>
      </c>
      <c r="AB70" s="6">
        <f>[1]Emissions!AA821</f>
        <v>261.27337619999997</v>
      </c>
      <c r="AC70" s="6">
        <f>[1]Emissions!AB821</f>
        <v>264.52022870000002</v>
      </c>
      <c r="AD70" s="6">
        <f>[1]Emissions!AC821</f>
        <v>267.85447950000002</v>
      </c>
      <c r="AE70" s="6">
        <f>[1]Emissions!AD821</f>
        <v>271.19442470000001</v>
      </c>
      <c r="AF70" s="6">
        <f>[1]Emissions!AE821</f>
        <v>274.55752560000002</v>
      </c>
      <c r="AG70" s="6">
        <f>[1]Emissions!AF821</f>
        <v>277.98032819999997</v>
      </c>
      <c r="AH70" s="6">
        <f>[1]Emissions!AG821</f>
        <v>281.49160260000002</v>
      </c>
      <c r="AI70" s="6">
        <f>[1]Emissions!AH821</f>
        <v>285.10239510000002</v>
      </c>
      <c r="AJ70" s="6">
        <f>[1]Emissions!AI821</f>
        <v>288.80599810000001</v>
      </c>
      <c r="AK70" s="6">
        <f>[1]Emissions!AJ821</f>
        <v>292.58447200000001</v>
      </c>
      <c r="AL70" s="6">
        <f>[1]Emissions!AK821</f>
        <v>296.41704099999998</v>
      </c>
    </row>
    <row r="71" spans="1:38" x14ac:dyDescent="0.3">
      <c r="A71" s="11"/>
      <c r="B71" t="s">
        <v>37</v>
      </c>
      <c r="C71" s="6">
        <f>[1]Emissions!B822</f>
        <v>2.7559079440000001</v>
      </c>
      <c r="D71" s="6">
        <f>[1]Emissions!C822</f>
        <v>2.7433408300000002</v>
      </c>
      <c r="E71" s="6">
        <f>[1]Emissions!D822</f>
        <v>2.7371381000000001</v>
      </c>
      <c r="F71" s="6">
        <f>[1]Emissions!E822</f>
        <v>2.74107675</v>
      </c>
      <c r="G71" s="6">
        <f>[1]Emissions!F822</f>
        <v>2.75498778</v>
      </c>
      <c r="H71" s="6">
        <f>[1]Emissions!G822</f>
        <v>2.7773807289999999</v>
      </c>
      <c r="I71" s="6">
        <f>[1]Emissions!H822</f>
        <v>2.805256924</v>
      </c>
      <c r="J71" s="6">
        <f>[1]Emissions!I822</f>
        <v>2.8358389220000002</v>
      </c>
      <c r="K71" s="6">
        <f>[1]Emissions!J822</f>
        <v>2.86745903</v>
      </c>
      <c r="L71" s="6">
        <f>[1]Emissions!K822</f>
        <v>2.8986958889999999</v>
      </c>
      <c r="M71" s="6">
        <f>[1]Emissions!L822</f>
        <v>2.9298813539999999</v>
      </c>
      <c r="N71" s="6">
        <f>[1]Emissions!M822</f>
        <v>2.959598964</v>
      </c>
      <c r="O71" s="6">
        <f>[1]Emissions!N822</f>
        <v>2.9857736739999998</v>
      </c>
      <c r="P71" s="6">
        <f>[1]Emissions!O822</f>
        <v>3.008477198</v>
      </c>
      <c r="Q71" s="6">
        <f>[1]Emissions!P822</f>
        <v>3.028122626</v>
      </c>
      <c r="R71" s="6">
        <f>[1]Emissions!Q822</f>
        <v>3.045375613</v>
      </c>
      <c r="S71" s="6">
        <f>[1]Emissions!R822</f>
        <v>3.061012356</v>
      </c>
      <c r="T71" s="6">
        <f>[1]Emissions!S822</f>
        <v>3.0757830149999998</v>
      </c>
      <c r="U71" s="6">
        <f>[1]Emissions!T822</f>
        <v>3.0903171390000002</v>
      </c>
      <c r="V71" s="6">
        <f>[1]Emissions!U822</f>
        <v>3.105081953</v>
      </c>
      <c r="W71" s="6">
        <f>[1]Emissions!V822</f>
        <v>3.1191911939999999</v>
      </c>
      <c r="X71" s="6">
        <f>[1]Emissions!W822</f>
        <v>3.1337315120000002</v>
      </c>
      <c r="Y71" s="6">
        <f>[1]Emissions!X822</f>
        <v>3.1496938380000001</v>
      </c>
      <c r="Z71" s="6">
        <f>[1]Emissions!Y822</f>
        <v>3.1669263029999999</v>
      </c>
      <c r="AA71" s="6">
        <f>[1]Emissions!Z822</f>
        <v>3.1852409150000001</v>
      </c>
      <c r="AB71" s="6">
        <f>[1]Emissions!AA822</f>
        <v>3.2008377050000001</v>
      </c>
      <c r="AC71" s="6">
        <f>[1]Emissions!AB822</f>
        <v>3.2152008689999998</v>
      </c>
      <c r="AD71" s="6">
        <f>[1]Emissions!AC822</f>
        <v>3.2299915719999999</v>
      </c>
      <c r="AE71" s="6">
        <f>[1]Emissions!AD822</f>
        <v>3.2453737380000001</v>
      </c>
      <c r="AF71" s="6">
        <f>[1]Emissions!AE822</f>
        <v>3.2613771210000002</v>
      </c>
      <c r="AG71" s="6">
        <f>[1]Emissions!AF822</f>
        <v>3.2779172769999998</v>
      </c>
      <c r="AH71" s="6">
        <f>[1]Emissions!AG822</f>
        <v>3.2948533000000002</v>
      </c>
      <c r="AI71" s="6">
        <f>[1]Emissions!AH822</f>
        <v>3.312046901</v>
      </c>
      <c r="AJ71" s="6">
        <f>[1]Emissions!AI822</f>
        <v>3.329399467</v>
      </c>
      <c r="AK71" s="6">
        <f>[1]Emissions!AJ822</f>
        <v>3.3468606109999999</v>
      </c>
      <c r="AL71" s="6">
        <f>[1]Emissions!AK822</f>
        <v>3.3644146940000001</v>
      </c>
    </row>
    <row r="72" spans="1:38" x14ac:dyDescent="0.3">
      <c r="A72" s="11"/>
      <c r="B72" t="s">
        <v>38</v>
      </c>
      <c r="C72" s="6">
        <f>[1]Emissions!B823</f>
        <v>49.278433769999999</v>
      </c>
      <c r="D72" s="6">
        <f>[1]Emissions!C823</f>
        <v>50.242450859999998</v>
      </c>
      <c r="E72" s="6">
        <f>[1]Emissions!D823</f>
        <v>51.364972989999998</v>
      </c>
      <c r="F72" s="6">
        <f>[1]Emissions!E823</f>
        <v>52.409916889999998</v>
      </c>
      <c r="G72" s="6">
        <f>[1]Emissions!F823</f>
        <v>53.356515420000001</v>
      </c>
      <c r="H72" s="6">
        <f>[1]Emissions!G823</f>
        <v>54.254546210000001</v>
      </c>
      <c r="I72" s="6">
        <f>[1]Emissions!H823</f>
        <v>54.988550510000003</v>
      </c>
      <c r="J72" s="6">
        <f>[1]Emissions!I823</f>
        <v>55.769376260000001</v>
      </c>
      <c r="K72" s="6">
        <f>[1]Emissions!J823</f>
        <v>56.60472248</v>
      </c>
      <c r="L72" s="6">
        <f>[1]Emissions!K823</f>
        <v>57.474330860000002</v>
      </c>
      <c r="M72" s="6">
        <f>[1]Emissions!L823</f>
        <v>58.593008359999999</v>
      </c>
      <c r="N72" s="6">
        <f>[1]Emissions!M823</f>
        <v>59.45028482</v>
      </c>
      <c r="O72" s="6">
        <f>[1]Emissions!N823</f>
        <v>60.301835570000001</v>
      </c>
      <c r="P72" s="6">
        <f>[1]Emissions!O823</f>
        <v>61.178733700000002</v>
      </c>
      <c r="Q72" s="6">
        <f>[1]Emissions!P823</f>
        <v>62.066756089999998</v>
      </c>
      <c r="R72" s="6">
        <f>[1]Emissions!Q823</f>
        <v>62.957740919999999</v>
      </c>
      <c r="S72" s="6">
        <f>[1]Emissions!R823</f>
        <v>63.852173309999998</v>
      </c>
      <c r="T72" s="6">
        <f>[1]Emissions!S823</f>
        <v>64.75463723</v>
      </c>
      <c r="U72" s="6">
        <f>[1]Emissions!T823</f>
        <v>65.670279089999994</v>
      </c>
      <c r="V72" s="6">
        <f>[1]Emissions!U823</f>
        <v>66.603040030000003</v>
      </c>
      <c r="W72" s="6">
        <f>[1]Emissions!V823</f>
        <v>67.387247770000002</v>
      </c>
      <c r="X72" s="6">
        <f>[1]Emissions!W823</f>
        <v>68.385047619999995</v>
      </c>
      <c r="Y72" s="6">
        <f>[1]Emissions!X823</f>
        <v>69.419113629999998</v>
      </c>
      <c r="Z72" s="6">
        <f>[1]Emissions!Y823</f>
        <v>70.455990049999997</v>
      </c>
      <c r="AA72" s="6">
        <f>[1]Emissions!Z823</f>
        <v>71.500826009999997</v>
      </c>
      <c r="AB72" s="6">
        <f>[1]Emissions!AA823</f>
        <v>72.062404389999998</v>
      </c>
      <c r="AC72" s="6">
        <f>[1]Emissions!AB823</f>
        <v>73.012402260000002</v>
      </c>
      <c r="AD72" s="6">
        <f>[1]Emissions!AC823</f>
        <v>74.049239150000005</v>
      </c>
      <c r="AE72" s="6">
        <f>[1]Emissions!AD823</f>
        <v>75.095487039999995</v>
      </c>
      <c r="AF72" s="6">
        <f>[1]Emissions!AE823</f>
        <v>76.146088320000004</v>
      </c>
      <c r="AG72" s="6">
        <f>[1]Emissions!AF823</f>
        <v>77.204670759999999</v>
      </c>
      <c r="AH72" s="6">
        <f>[1]Emissions!AG823</f>
        <v>78.272312049999996</v>
      </c>
      <c r="AI72" s="6">
        <f>[1]Emissions!AH823</f>
        <v>79.348185959999995</v>
      </c>
      <c r="AJ72" s="6">
        <f>[1]Emissions!AI823</f>
        <v>80.431430289999994</v>
      </c>
      <c r="AK72" s="6">
        <f>[1]Emissions!AJ823</f>
        <v>81.522132709999994</v>
      </c>
      <c r="AL72" s="6">
        <f>[1]Emissions!AK823</f>
        <v>82.62128688</v>
      </c>
    </row>
    <row r="73" spans="1:38" x14ac:dyDescent="0.3">
      <c r="A73" s="11"/>
      <c r="B73" t="str">
        <f>B65</f>
        <v>NZ50</v>
      </c>
      <c r="C73" s="6">
        <f>[1]Emissions!B825</f>
        <v>352.41218830000003</v>
      </c>
      <c r="D73" s="6">
        <f>[1]Emissions!C825</f>
        <v>354.24761139999998</v>
      </c>
      <c r="E73" s="6">
        <f>[1]Emissions!D825</f>
        <v>356.16947119999998</v>
      </c>
      <c r="F73" s="6">
        <f>[1]Emissions!E825</f>
        <v>358.45450449999998</v>
      </c>
      <c r="G73" s="6">
        <f>[1]Emissions!F825</f>
        <v>361.24571070000002</v>
      </c>
      <c r="H73" s="6">
        <f>[1]Emissions!G825</f>
        <v>364.62746499999997</v>
      </c>
      <c r="I73" s="6">
        <f>[1]Emissions!H825</f>
        <v>370.24318670000002</v>
      </c>
      <c r="J73" s="6">
        <f>[1]Emissions!I825</f>
        <v>374.72444200000001</v>
      </c>
      <c r="K73" s="6">
        <f>[1]Emissions!J825</f>
        <v>379.23045960000002</v>
      </c>
      <c r="L73" s="6">
        <f>[1]Emissions!K825</f>
        <v>383.70972360000002</v>
      </c>
      <c r="M73" s="6">
        <f>[1]Emissions!L825</f>
        <v>388.64349340000001</v>
      </c>
      <c r="N73" s="6">
        <f>[1]Emissions!M825</f>
        <v>392.8087008</v>
      </c>
      <c r="O73" s="6">
        <f>[1]Emissions!N825</f>
        <v>396.91592279999998</v>
      </c>
      <c r="P73" s="6">
        <f>[1]Emissions!O825</f>
        <v>401.12616530000003</v>
      </c>
      <c r="Q73" s="6">
        <f>[1]Emissions!P825</f>
        <v>405.47076299999998</v>
      </c>
      <c r="R73" s="6">
        <f>[1]Emissions!Q825</f>
        <v>409.93689230000001</v>
      </c>
      <c r="S73" s="6">
        <f>[1]Emissions!R825</f>
        <v>414.49784890000001</v>
      </c>
      <c r="T73" s="6">
        <f>[1]Emissions!S825</f>
        <v>419.12616860000003</v>
      </c>
      <c r="U73" s="6">
        <f>[1]Emissions!T825</f>
        <v>423.80379790000001</v>
      </c>
      <c r="V73" s="6">
        <f>[1]Emissions!U825</f>
        <v>428.52651580000003</v>
      </c>
      <c r="W73" s="6">
        <f>[1]Emissions!V825</f>
        <v>432.85288329999997</v>
      </c>
      <c r="X73" s="6">
        <f>[1]Emissions!W825</f>
        <v>437.69295870000002</v>
      </c>
      <c r="Y73" s="6">
        <f>[1]Emissions!X825</f>
        <v>442.63142290000002</v>
      </c>
      <c r="Z73" s="6">
        <f>[1]Emissions!Y825</f>
        <v>447.60977320000001</v>
      </c>
      <c r="AA73" s="6">
        <f>[1]Emissions!Z825</f>
        <v>452.6446176</v>
      </c>
      <c r="AB73" s="6">
        <f>[1]Emissions!AA825</f>
        <v>456.38521379999997</v>
      </c>
      <c r="AC73" s="6">
        <f>[1]Emissions!AB825</f>
        <v>461.0124611</v>
      </c>
      <c r="AD73" s="6">
        <f>[1]Emissions!AC825</f>
        <v>465.73331619999999</v>
      </c>
      <c r="AE73" s="6">
        <f>[1]Emissions!AD825</f>
        <v>470.38190020000002</v>
      </c>
      <c r="AF73" s="6">
        <f>[1]Emissions!AE825</f>
        <v>474.97171500000002</v>
      </c>
      <c r="AG73" s="6">
        <f>[1]Emissions!AF825</f>
        <v>479.55015550000002</v>
      </c>
      <c r="AH73" s="6">
        <f>[1]Emissions!AG825</f>
        <v>484.15870169999999</v>
      </c>
      <c r="AI73" s="6">
        <f>[1]Emissions!AH825</f>
        <v>488.82144479999999</v>
      </c>
      <c r="AJ73" s="6">
        <f>[1]Emissions!AI825</f>
        <v>493.54380079999999</v>
      </c>
      <c r="AK73" s="6">
        <f>[1]Emissions!AJ825</f>
        <v>498.31893500000001</v>
      </c>
      <c r="AL73" s="6">
        <f>[1]Emissions!AK825</f>
        <v>503.13584420000001</v>
      </c>
    </row>
    <row r="74" spans="1:38" x14ac:dyDescent="0.3">
      <c r="A74" s="8"/>
      <c r="B74" t="s">
        <v>32</v>
      </c>
      <c r="C74" s="6">
        <f>[1]Emissions!B829</f>
        <v>115.311927</v>
      </c>
      <c r="D74" s="6">
        <f>[1]Emissions!C829</f>
        <v>115.0300843</v>
      </c>
      <c r="E74" s="6">
        <f>[1]Emissions!D829</f>
        <v>114.427746</v>
      </c>
      <c r="F74" s="6">
        <f>[1]Emissions!E829</f>
        <v>113.93245109999999</v>
      </c>
      <c r="G74" s="6">
        <f>[1]Emissions!F829</f>
        <v>113.63229219999999</v>
      </c>
      <c r="H74" s="6">
        <f>[1]Emissions!G829</f>
        <v>113.5051517</v>
      </c>
      <c r="I74" s="6">
        <f>[1]Emissions!H829</f>
        <v>113.4853231</v>
      </c>
      <c r="J74" s="6">
        <f>[1]Emissions!I829</f>
        <v>113.5537046</v>
      </c>
      <c r="K74" s="6">
        <f>[1]Emissions!J829</f>
        <v>113.6910029</v>
      </c>
      <c r="L74" s="6">
        <f>[1]Emissions!K829</f>
        <v>113.89423290000001</v>
      </c>
      <c r="M74" s="6">
        <f>[1]Emissions!L829</f>
        <v>114.200812</v>
      </c>
      <c r="N74" s="6">
        <f>[1]Emissions!M829</f>
        <v>114.53586079999999</v>
      </c>
      <c r="O74" s="6">
        <f>[1]Emissions!N829</f>
        <v>114.89711339999999</v>
      </c>
      <c r="P74" s="6">
        <f>[1]Emissions!O829</f>
        <v>115.281019</v>
      </c>
      <c r="Q74" s="6">
        <f>[1]Emissions!P829</f>
        <v>115.6816503</v>
      </c>
      <c r="R74" s="6">
        <f>[1]Emissions!Q829</f>
        <v>116.09269500000001</v>
      </c>
      <c r="S74" s="6">
        <f>[1]Emissions!R829</f>
        <v>116.50835789999999</v>
      </c>
      <c r="T74" s="6">
        <f>[1]Emissions!S829</f>
        <v>116.9236215</v>
      </c>
      <c r="U74" s="6">
        <f>[1]Emissions!T829</f>
        <v>117.33382330000001</v>
      </c>
      <c r="V74" s="6">
        <f>[1]Emissions!U829</f>
        <v>117.7342518</v>
      </c>
      <c r="W74" s="6">
        <f>[1]Emissions!V829</f>
        <v>118.09521169999999</v>
      </c>
      <c r="X74" s="6">
        <f>[1]Emissions!W829</f>
        <v>118.4462685</v>
      </c>
      <c r="Y74" s="6">
        <f>[1]Emissions!X829</f>
        <v>118.77980839999999</v>
      </c>
      <c r="Z74" s="6">
        <f>[1]Emissions!Y829</f>
        <v>119.0909535</v>
      </c>
      <c r="AA74" s="6">
        <f>[1]Emissions!Z829</f>
        <v>119.37646700000001</v>
      </c>
      <c r="AB74" s="6">
        <f>[1]Emissions!AA829</f>
        <v>119.5647654</v>
      </c>
      <c r="AC74" s="6">
        <f>[1]Emissions!AB829</f>
        <v>119.71941630000001</v>
      </c>
      <c r="AD74" s="6">
        <f>[1]Emissions!AC829</f>
        <v>119.8435121</v>
      </c>
      <c r="AE74" s="6">
        <f>[1]Emissions!AD829</f>
        <v>119.9393706</v>
      </c>
      <c r="AF74" s="6">
        <f>[1]Emissions!AE829</f>
        <v>120.0076534</v>
      </c>
      <c r="AG74" s="6">
        <f>[1]Emissions!AF829</f>
        <v>120.0475886</v>
      </c>
      <c r="AH74" s="6">
        <f>[1]Emissions!AG829</f>
        <v>120.0577208</v>
      </c>
      <c r="AI74" s="6">
        <f>[1]Emissions!AH829</f>
        <v>120.0365999</v>
      </c>
      <c r="AJ74" s="6">
        <f>[1]Emissions!AI829</f>
        <v>119.983115</v>
      </c>
      <c r="AK74" s="6">
        <f>[1]Emissions!AJ829</f>
        <v>119.89644149999999</v>
      </c>
      <c r="AL74" s="6">
        <f>[1]Emissions!AK829</f>
        <v>119.7757531</v>
      </c>
    </row>
    <row r="75" spans="1:38" x14ac:dyDescent="0.3">
      <c r="A75" s="8"/>
      <c r="B75" t="s">
        <v>80</v>
      </c>
      <c r="C75" s="6">
        <f>SUM(C76:C78)</f>
        <v>237.100261214</v>
      </c>
      <c r="D75" s="6">
        <f t="shared" ref="D75:AL75" si="5">SUM(D76:D78)</f>
        <v>239.21752708999998</v>
      </c>
      <c r="E75" s="6">
        <f t="shared" si="5"/>
        <v>241.74172519000001</v>
      </c>
      <c r="F75" s="6">
        <f t="shared" si="5"/>
        <v>244.52205333999999</v>
      </c>
      <c r="G75" s="6">
        <f t="shared" si="5"/>
        <v>247.61341849999999</v>
      </c>
      <c r="H75" s="6">
        <f t="shared" si="5"/>
        <v>251.12231323899999</v>
      </c>
      <c r="I75" s="6">
        <f t="shared" si="5"/>
        <v>256.757863665</v>
      </c>
      <c r="J75" s="6">
        <f t="shared" si="5"/>
        <v>261.17073741499996</v>
      </c>
      <c r="K75" s="6">
        <f t="shared" si="5"/>
        <v>265.539456728</v>
      </c>
      <c r="L75" s="6">
        <f t="shared" si="5"/>
        <v>269.81549067000003</v>
      </c>
      <c r="M75" s="6">
        <f t="shared" si="5"/>
        <v>274.44268139000002</v>
      </c>
      <c r="N75" s="6">
        <f t="shared" si="5"/>
        <v>278.27283997199999</v>
      </c>
      <c r="O75" s="6">
        <f t="shared" si="5"/>
        <v>282.01880940400002</v>
      </c>
      <c r="P75" s="6">
        <f t="shared" si="5"/>
        <v>285.84514620900001</v>
      </c>
      <c r="Q75" s="6">
        <f t="shared" si="5"/>
        <v>289.78911263600003</v>
      </c>
      <c r="R75" s="6">
        <f t="shared" si="5"/>
        <v>293.84419729799998</v>
      </c>
      <c r="S75" s="6">
        <f t="shared" si="5"/>
        <v>297.98949101199997</v>
      </c>
      <c r="T75" s="6">
        <f t="shared" si="5"/>
        <v>302.20254712999997</v>
      </c>
      <c r="U75" s="6">
        <f t="shared" si="5"/>
        <v>306.46997458000004</v>
      </c>
      <c r="V75" s="6">
        <f t="shared" si="5"/>
        <v>310.79226394599999</v>
      </c>
      <c r="W75" s="6">
        <f t="shared" si="5"/>
        <v>314.757671571</v>
      </c>
      <c r="X75" s="6">
        <f t="shared" si="5"/>
        <v>319.24669019300001</v>
      </c>
      <c r="Y75" s="6">
        <f t="shared" si="5"/>
        <v>323.85161458100004</v>
      </c>
      <c r="Z75" s="6">
        <f t="shared" si="5"/>
        <v>328.51881969100003</v>
      </c>
      <c r="AA75" s="6">
        <f t="shared" si="5"/>
        <v>333.26815061799994</v>
      </c>
      <c r="AB75" s="6">
        <f t="shared" si="5"/>
        <v>336.82044843799997</v>
      </c>
      <c r="AC75" s="6">
        <f t="shared" si="5"/>
        <v>341.293044882</v>
      </c>
      <c r="AD75" s="6">
        <f t="shared" si="5"/>
        <v>345.88980403199997</v>
      </c>
      <c r="AE75" s="6">
        <f t="shared" si="5"/>
        <v>350.44252962799999</v>
      </c>
      <c r="AF75" s="6">
        <f t="shared" si="5"/>
        <v>354.96406162000005</v>
      </c>
      <c r="AG75" s="6">
        <f t="shared" si="5"/>
        <v>359.50256687299998</v>
      </c>
      <c r="AH75" s="6">
        <f t="shared" si="5"/>
        <v>364.10098092499999</v>
      </c>
      <c r="AI75" s="6">
        <f t="shared" si="5"/>
        <v>368.78484491900002</v>
      </c>
      <c r="AJ75" s="6">
        <f t="shared" si="5"/>
        <v>373.56068580399995</v>
      </c>
      <c r="AK75" s="6">
        <f t="shared" si="5"/>
        <v>378.42249345900001</v>
      </c>
      <c r="AL75" s="6">
        <f t="shared" si="5"/>
        <v>383.36009109700001</v>
      </c>
    </row>
    <row r="76" spans="1:38" x14ac:dyDescent="0.3">
      <c r="A76" s="8"/>
      <c r="B76" t="s">
        <v>36</v>
      </c>
      <c r="C76" s="5">
        <f>[1]Emissions!B826</f>
        <v>185.06591950000001</v>
      </c>
      <c r="D76" s="5">
        <f>[1]Emissions!C826</f>
        <v>186.23173539999999</v>
      </c>
      <c r="E76" s="5">
        <f>[1]Emissions!D826</f>
        <v>187.63961409999999</v>
      </c>
      <c r="F76" s="5">
        <f>[1]Emissions!E826</f>
        <v>189.37105969999999</v>
      </c>
      <c r="G76" s="5">
        <f>[1]Emissions!F826</f>
        <v>191.50191530000001</v>
      </c>
      <c r="H76" s="5">
        <f>[1]Emissions!G826</f>
        <v>194.09038630000001</v>
      </c>
      <c r="I76" s="5">
        <f>[1]Emissions!H826</f>
        <v>198.8052414</v>
      </c>
      <c r="J76" s="5">
        <f>[1]Emissions!I826</f>
        <v>202.41748229999999</v>
      </c>
      <c r="K76" s="5">
        <f>[1]Emissions!J826</f>
        <v>206.00240719999999</v>
      </c>
      <c r="L76" s="5">
        <f>[1]Emissions!K826</f>
        <v>209.49808709999999</v>
      </c>
      <c r="M76" s="5">
        <f>[1]Emissions!L826</f>
        <v>213.10458689999999</v>
      </c>
      <c r="N76" s="5">
        <f>[1]Emissions!M826</f>
        <v>216.16320479999999</v>
      </c>
      <c r="O76" s="5">
        <f>[1]Emissions!N826</f>
        <v>219.11886390000001</v>
      </c>
      <c r="P76" s="5">
        <f>[1]Emissions!O826</f>
        <v>222.09988749999999</v>
      </c>
      <c r="Q76" s="5">
        <f>[1]Emissions!P826</f>
        <v>225.15959000000001</v>
      </c>
      <c r="R76" s="5">
        <f>[1]Emissions!Q826</f>
        <v>228.3053635</v>
      </c>
      <c r="S76" s="5">
        <f>[1]Emissions!R826</f>
        <v>231.52154959999999</v>
      </c>
      <c r="T76" s="5">
        <f>[1]Emissions!S826</f>
        <v>234.78509589999999</v>
      </c>
      <c r="U76" s="5">
        <f>[1]Emissions!T826</f>
        <v>238.07968020000001</v>
      </c>
      <c r="V76" s="5">
        <f>[1]Emissions!U826</f>
        <v>241.40327400000001</v>
      </c>
      <c r="W76" s="5">
        <f>[1]Emissions!V826</f>
        <v>244.51197819999999</v>
      </c>
      <c r="X76" s="5">
        <f>[1]Emissions!W826</f>
        <v>247.9271655</v>
      </c>
      <c r="Y76" s="5">
        <f>[1]Emissions!X826</f>
        <v>251.4203579</v>
      </c>
      <c r="Z76" s="5">
        <f>[1]Emissions!Y826</f>
        <v>254.97521140000001</v>
      </c>
      <c r="AA76" s="5">
        <f>[1]Emissions!Z826</f>
        <v>258.60998619999998</v>
      </c>
      <c r="AB76" s="5">
        <f>[1]Emissions!AA826</f>
        <v>261.54214669999999</v>
      </c>
      <c r="AC76" s="5">
        <f>[1]Emissions!AB826</f>
        <v>265.01816259999998</v>
      </c>
      <c r="AD76" s="5">
        <f>[1]Emissions!AC826</f>
        <v>268.54061059999998</v>
      </c>
      <c r="AE76" s="5">
        <f>[1]Emissions!AD826</f>
        <v>272.01663639999998</v>
      </c>
      <c r="AF76" s="5">
        <f>[1]Emissions!AE826</f>
        <v>275.4617227</v>
      </c>
      <c r="AG76" s="5">
        <f>[1]Emissions!AF826</f>
        <v>278.91808179999998</v>
      </c>
      <c r="AH76" s="5">
        <f>[1]Emissions!AG826</f>
        <v>282.42554580000001</v>
      </c>
      <c r="AI76" s="5">
        <f>[1]Emissions!AH826</f>
        <v>286.008802</v>
      </c>
      <c r="AJ76" s="5">
        <f>[1]Emissions!AI826</f>
        <v>289.67395169999998</v>
      </c>
      <c r="AK76" s="5">
        <f>[1]Emissions!AJ826</f>
        <v>293.41391379999999</v>
      </c>
      <c r="AL76" s="5">
        <f>[1]Emissions!AK826</f>
        <v>297.21675370000003</v>
      </c>
    </row>
    <row r="77" spans="1:38" x14ac:dyDescent="0.3">
      <c r="A77" s="8"/>
      <c r="B77" t="s">
        <v>37</v>
      </c>
      <c r="C77" s="5">
        <f>[1]Emissions!B827</f>
        <v>2.7559079440000001</v>
      </c>
      <c r="D77" s="5">
        <f>[1]Emissions!C827</f>
        <v>2.7433408300000002</v>
      </c>
      <c r="E77" s="5">
        <f>[1]Emissions!D827</f>
        <v>2.7371381000000001</v>
      </c>
      <c r="F77" s="5">
        <f>[1]Emissions!E827</f>
        <v>2.74107675</v>
      </c>
      <c r="G77" s="5">
        <f>[1]Emissions!F827</f>
        <v>2.75498778</v>
      </c>
      <c r="H77" s="5">
        <f>[1]Emissions!G827</f>
        <v>2.7773807289999999</v>
      </c>
      <c r="I77" s="5">
        <f>[1]Emissions!H827</f>
        <v>2.806310265</v>
      </c>
      <c r="J77" s="5">
        <f>[1]Emissions!I827</f>
        <v>2.837060175</v>
      </c>
      <c r="K77" s="5">
        <f>[1]Emissions!J827</f>
        <v>2.8680677079999999</v>
      </c>
      <c r="L77" s="5">
        <f>[1]Emissions!K827</f>
        <v>2.8982861799999999</v>
      </c>
      <c r="M77" s="5">
        <f>[1]Emissions!L827</f>
        <v>2.9285011399999998</v>
      </c>
      <c r="N77" s="5">
        <f>[1]Emissions!M827</f>
        <v>2.957623602</v>
      </c>
      <c r="O77" s="5">
        <f>[1]Emissions!N827</f>
        <v>2.9836898939999998</v>
      </c>
      <c r="P77" s="5">
        <f>[1]Emissions!O827</f>
        <v>3.006676219</v>
      </c>
      <c r="Q77" s="5">
        <f>[1]Emissions!P827</f>
        <v>3.0267738560000002</v>
      </c>
      <c r="R77" s="5">
        <f>[1]Emissions!Q827</f>
        <v>3.0444187980000001</v>
      </c>
      <c r="S77" s="5">
        <f>[1]Emissions!R827</f>
        <v>3.0602393619999999</v>
      </c>
      <c r="T77" s="5">
        <f>[1]Emissions!S827</f>
        <v>3.0749534700000001</v>
      </c>
      <c r="U77" s="5">
        <f>[1]Emissions!T827</f>
        <v>3.0892528499999998</v>
      </c>
      <c r="V77" s="5">
        <f>[1]Emissions!U827</f>
        <v>3.1037106460000001</v>
      </c>
      <c r="W77" s="5">
        <f>[1]Emissions!V827</f>
        <v>3.1175454010000001</v>
      </c>
      <c r="X77" s="5">
        <f>[1]Emissions!W827</f>
        <v>3.1318915230000002</v>
      </c>
      <c r="Y77" s="5">
        <f>[1]Emissions!X827</f>
        <v>3.1477593009999998</v>
      </c>
      <c r="Z77" s="5">
        <f>[1]Emissions!Y827</f>
        <v>3.1649799810000001</v>
      </c>
      <c r="AA77" s="5">
        <f>[1]Emissions!Z827</f>
        <v>3.1833338680000001</v>
      </c>
      <c r="AB77" s="5">
        <f>[1]Emissions!AA827</f>
        <v>3.1989984379999998</v>
      </c>
      <c r="AC77" s="5">
        <f>[1]Emissions!AB827</f>
        <v>3.213429562</v>
      </c>
      <c r="AD77" s="5">
        <f>[1]Emissions!AC827</f>
        <v>3.228292862</v>
      </c>
      <c r="AE77" s="5">
        <f>[1]Emissions!AD827</f>
        <v>3.243759678</v>
      </c>
      <c r="AF77" s="5">
        <f>[1]Emissions!AE827</f>
        <v>3.2598645400000001</v>
      </c>
      <c r="AG77" s="5">
        <f>[1]Emissions!AF827</f>
        <v>3.2765195130000002</v>
      </c>
      <c r="AH77" s="5">
        <f>[1]Emissions!AG827</f>
        <v>3.293571805</v>
      </c>
      <c r="AI77" s="5">
        <f>[1]Emissions!AH827</f>
        <v>3.3108669489999998</v>
      </c>
      <c r="AJ77" s="5">
        <f>[1]Emissions!AI827</f>
        <v>3.3282912140000001</v>
      </c>
      <c r="AK77" s="5">
        <f>[1]Emissions!AJ827</f>
        <v>3.3457844589999999</v>
      </c>
      <c r="AL77" s="5">
        <f>[1]Emissions!AK827</f>
        <v>3.363328777</v>
      </c>
    </row>
    <row r="78" spans="1:38" x14ac:dyDescent="0.3">
      <c r="B78" t="s">
        <v>38</v>
      </c>
      <c r="C78" s="5">
        <f>[1]Emissions!B828</f>
        <v>49.278433769999999</v>
      </c>
      <c r="D78" s="5">
        <f>[1]Emissions!C828</f>
        <v>50.242450859999998</v>
      </c>
      <c r="E78" s="5">
        <f>[1]Emissions!D828</f>
        <v>51.364972989999998</v>
      </c>
      <c r="F78" s="5">
        <f>[1]Emissions!E828</f>
        <v>52.409916889999998</v>
      </c>
      <c r="G78" s="5">
        <f>[1]Emissions!F828</f>
        <v>53.356515420000001</v>
      </c>
      <c r="H78" s="5">
        <f>[1]Emissions!G828</f>
        <v>54.254546210000001</v>
      </c>
      <c r="I78" s="5">
        <f>[1]Emissions!H828</f>
        <v>55.146312000000002</v>
      </c>
      <c r="J78" s="5">
        <f>[1]Emissions!I828</f>
        <v>55.916194939999997</v>
      </c>
      <c r="K78" s="5">
        <f>[1]Emissions!J828</f>
        <v>56.668981819999999</v>
      </c>
      <c r="L78" s="5">
        <f>[1]Emissions!K828</f>
        <v>57.419117389999997</v>
      </c>
      <c r="M78" s="5">
        <f>[1]Emissions!L828</f>
        <v>58.409593350000002</v>
      </c>
      <c r="N78" s="5">
        <f>[1]Emissions!M828</f>
        <v>59.152011569999999</v>
      </c>
      <c r="O78" s="5">
        <f>[1]Emissions!N828</f>
        <v>59.91625561</v>
      </c>
      <c r="P78" s="5">
        <f>[1]Emissions!O828</f>
        <v>60.738582489999999</v>
      </c>
      <c r="Q78" s="5">
        <f>[1]Emissions!P828</f>
        <v>61.602748779999999</v>
      </c>
      <c r="R78" s="5">
        <f>[1]Emissions!Q828</f>
        <v>62.494414999999996</v>
      </c>
      <c r="S78" s="5">
        <f>[1]Emissions!R828</f>
        <v>63.407702049999997</v>
      </c>
      <c r="T78" s="5">
        <f>[1]Emissions!S828</f>
        <v>64.342497760000001</v>
      </c>
      <c r="U78" s="5">
        <f>[1]Emissions!T828</f>
        <v>65.301041530000006</v>
      </c>
      <c r="V78" s="5">
        <f>[1]Emissions!U828</f>
        <v>66.285279299999999</v>
      </c>
      <c r="W78" s="5">
        <f>[1]Emissions!V828</f>
        <v>67.128147970000001</v>
      </c>
      <c r="X78" s="5">
        <f>[1]Emissions!W828</f>
        <v>68.187633169999998</v>
      </c>
      <c r="Y78" s="5">
        <f>[1]Emissions!X828</f>
        <v>69.28349738</v>
      </c>
      <c r="Z78" s="5">
        <f>[1]Emissions!Y828</f>
        <v>70.378628309999996</v>
      </c>
      <c r="AA78" s="5">
        <f>[1]Emissions!Z828</f>
        <v>71.474830549999993</v>
      </c>
      <c r="AB78" s="5">
        <f>[1]Emissions!AA828</f>
        <v>72.079303300000007</v>
      </c>
      <c r="AC78" s="5">
        <f>[1]Emissions!AB828</f>
        <v>73.061452720000005</v>
      </c>
      <c r="AD78" s="5">
        <f>[1]Emissions!AC828</f>
        <v>74.120900570000003</v>
      </c>
      <c r="AE78" s="5">
        <f>[1]Emissions!AD828</f>
        <v>75.182133550000003</v>
      </c>
      <c r="AF78" s="5">
        <f>[1]Emissions!AE828</f>
        <v>76.242474380000004</v>
      </c>
      <c r="AG78" s="5">
        <f>[1]Emissions!AF828</f>
        <v>77.30796556</v>
      </c>
      <c r="AH78" s="5">
        <f>[1]Emissions!AG828</f>
        <v>78.381863319999994</v>
      </c>
      <c r="AI78" s="5">
        <f>[1]Emissions!AH828</f>
        <v>79.465175970000004</v>
      </c>
      <c r="AJ78" s="5">
        <f>[1]Emissions!AI828</f>
        <v>80.558442889999995</v>
      </c>
      <c r="AK78" s="5">
        <f>[1]Emissions!AJ828</f>
        <v>81.662795200000005</v>
      </c>
      <c r="AL78" s="5">
        <f>[1]Emissions!AK828</f>
        <v>82.780008620000004</v>
      </c>
    </row>
    <row r="79" spans="1:38" x14ac:dyDescent="0.3">
      <c r="B79" t="s">
        <v>12</v>
      </c>
      <c r="C79" s="6">
        <f>[1]Results!F1551</f>
        <v>1963076.189</v>
      </c>
      <c r="D79" s="6">
        <f>[1]Results!G1551</f>
        <v>1984402.6629999999</v>
      </c>
      <c r="E79" s="6">
        <f>[1]Results!H1551</f>
        <v>2013387.311</v>
      </c>
      <c r="F79" s="6">
        <f>[1]Results!I1551</f>
        <v>2045258.89</v>
      </c>
      <c r="G79" s="6">
        <f>[1]Results!J1551</f>
        <v>2077587.906</v>
      </c>
      <c r="H79" s="6">
        <f>[1]Results!K1551</f>
        <v>2109984.4309999999</v>
      </c>
      <c r="I79" s="6">
        <f>[1]Results!L1551</f>
        <v>2141062.4750000001</v>
      </c>
      <c r="J79" s="6">
        <f>[1]Results!M1551</f>
        <v>2172585.233</v>
      </c>
      <c r="K79" s="6">
        <f>[1]Results!N1551</f>
        <v>2204549.844</v>
      </c>
      <c r="L79" s="6">
        <f>[1]Results!O1551</f>
        <v>2237365.9950000001</v>
      </c>
      <c r="M79" s="6">
        <f>[1]Results!P1551</f>
        <v>2273083.2429999998</v>
      </c>
      <c r="N79" s="6">
        <f>[1]Results!Q1551</f>
        <v>2308550.372</v>
      </c>
      <c r="O79" s="6">
        <f>[1]Results!R1551</f>
        <v>2344673.9550000001</v>
      </c>
      <c r="P79" s="6">
        <f>[1]Results!S1551</f>
        <v>2380737.3429999999</v>
      </c>
      <c r="Q79" s="6">
        <f>[1]Results!T1551</f>
        <v>2416805.0630000001</v>
      </c>
      <c r="R79" s="6">
        <f>[1]Results!U1551</f>
        <v>2453180.3560000001</v>
      </c>
      <c r="S79" s="6">
        <f>[1]Results!V1551</f>
        <v>2490200.4890000001</v>
      </c>
      <c r="T79" s="6">
        <f>[1]Results!W1551</f>
        <v>2528113.875</v>
      </c>
      <c r="U79" s="6">
        <f>[1]Results!X1551</f>
        <v>2567029.702</v>
      </c>
      <c r="V79" s="6">
        <f>[1]Results!Y1551</f>
        <v>2606931.639</v>
      </c>
      <c r="W79" s="6">
        <f>[1]Results!Z1551</f>
        <v>2645916.04</v>
      </c>
      <c r="X79" s="6">
        <f>[1]Results!AA1551</f>
        <v>2686992.4619999998</v>
      </c>
      <c r="Y79" s="6">
        <f>[1]Results!AB1551</f>
        <v>2728955.96</v>
      </c>
      <c r="Z79" s="6">
        <f>[1]Results!AC1551</f>
        <v>2771843.4270000001</v>
      </c>
      <c r="AA79" s="6">
        <f>[1]Results!AD1551</f>
        <v>2815542.3470000001</v>
      </c>
      <c r="AB79" s="6">
        <f>[1]Results!AE1551</f>
        <v>2853790.8820000002</v>
      </c>
      <c r="AC79" s="6">
        <f>[1]Results!AF1551</f>
        <v>2895794.41</v>
      </c>
      <c r="AD79" s="6">
        <f>[1]Results!AG1551</f>
        <v>2937714.1949999998</v>
      </c>
      <c r="AE79" s="6">
        <f>[1]Results!AH1551</f>
        <v>2980305.0260000001</v>
      </c>
      <c r="AF79" s="6">
        <f>[1]Results!AI1551</f>
        <v>3023695.6749999998</v>
      </c>
      <c r="AG79" s="6">
        <f>[1]Results!AJ1551</f>
        <v>3067767.6359999999</v>
      </c>
      <c r="AH79" s="6">
        <f>[1]Results!AK1551</f>
        <v>3112346.2170000002</v>
      </c>
      <c r="AI79" s="6">
        <f>[1]Results!AL1551</f>
        <v>3157316.602</v>
      </c>
      <c r="AJ79" s="6">
        <f>[1]Results!AM1551</f>
        <v>3202670.0639999998</v>
      </c>
      <c r="AK79" s="6">
        <f>[1]Results!AN1551</f>
        <v>3248488.9339999999</v>
      </c>
      <c r="AL79" s="6">
        <f>[1]Results!AO1551</f>
        <v>3294894.28</v>
      </c>
    </row>
    <row r="80" spans="1:3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spans="1:38" x14ac:dyDescent="0.3">
      <c r="A81" s="12" t="s">
        <v>52</v>
      </c>
      <c r="B81" t="s">
        <v>12</v>
      </c>
      <c r="C81" s="6">
        <f>[1]Results!F1551</f>
        <v>1963076.189</v>
      </c>
      <c r="D81" s="6">
        <f>[1]Results!G1551</f>
        <v>1984402.6629999999</v>
      </c>
      <c r="E81" s="6">
        <f>[1]Results!H1551</f>
        <v>2013387.311</v>
      </c>
      <c r="F81" s="6">
        <f>[1]Results!I1551</f>
        <v>2045258.89</v>
      </c>
      <c r="G81" s="6">
        <f>[1]Results!J1551</f>
        <v>2077587.906</v>
      </c>
      <c r="H81" s="6">
        <f>[1]Results!K1551</f>
        <v>2109984.4309999999</v>
      </c>
      <c r="I81" s="6">
        <f>[1]Results!L1551</f>
        <v>2141062.4750000001</v>
      </c>
      <c r="J81" s="6">
        <f>[1]Results!M1551</f>
        <v>2172585.233</v>
      </c>
      <c r="K81" s="6">
        <f>[1]Results!N1551</f>
        <v>2204549.844</v>
      </c>
      <c r="L81" s="6">
        <f>[1]Results!O1551</f>
        <v>2237365.9950000001</v>
      </c>
      <c r="M81" s="6">
        <f>[1]Results!P1551</f>
        <v>2273083.2429999998</v>
      </c>
      <c r="N81" s="6">
        <f>[1]Results!Q1551</f>
        <v>2308550.372</v>
      </c>
      <c r="O81" s="6">
        <f>[1]Results!R1551</f>
        <v>2344673.9550000001</v>
      </c>
      <c r="P81" s="6">
        <f>[1]Results!S1551</f>
        <v>2380737.3429999999</v>
      </c>
      <c r="Q81" s="6">
        <f>[1]Results!T1551</f>
        <v>2416805.0630000001</v>
      </c>
      <c r="R81" s="6">
        <f>[1]Results!U1551</f>
        <v>2453180.3560000001</v>
      </c>
      <c r="S81" s="6">
        <f>[1]Results!V1551</f>
        <v>2490200.4890000001</v>
      </c>
      <c r="T81" s="6">
        <f>[1]Results!W1551</f>
        <v>2528113.875</v>
      </c>
      <c r="U81" s="6">
        <f>[1]Results!X1551</f>
        <v>2567029.702</v>
      </c>
      <c r="V81" s="6">
        <f>[1]Results!Y1551</f>
        <v>2606931.639</v>
      </c>
      <c r="W81" s="6">
        <f>[1]Results!Z1551</f>
        <v>2645916.04</v>
      </c>
      <c r="X81" s="6">
        <f>[1]Results!AA1551</f>
        <v>2686992.4619999998</v>
      </c>
      <c r="Y81" s="6">
        <f>[1]Results!AB1551</f>
        <v>2728955.96</v>
      </c>
      <c r="Z81" s="6">
        <f>[1]Results!AC1551</f>
        <v>2771843.4270000001</v>
      </c>
      <c r="AA81" s="6">
        <f>[1]Results!AD1551</f>
        <v>2815542.3470000001</v>
      </c>
      <c r="AB81" s="6">
        <f>[1]Results!AE1551</f>
        <v>2853790.8820000002</v>
      </c>
      <c r="AC81" s="6">
        <f>[1]Results!AF1551</f>
        <v>2895794.41</v>
      </c>
      <c r="AD81" s="6">
        <f>[1]Results!AG1551</f>
        <v>2937714.1949999998</v>
      </c>
      <c r="AE81" s="6">
        <f>[1]Results!AH1551</f>
        <v>2980305.0260000001</v>
      </c>
      <c r="AF81" s="6">
        <f>[1]Results!AI1551</f>
        <v>3023695.6749999998</v>
      </c>
      <c r="AG81" s="6">
        <f>[1]Results!AJ1551</f>
        <v>3067767.6359999999</v>
      </c>
      <c r="AH81" s="6">
        <f>[1]Results!AK1551</f>
        <v>3112346.2170000002</v>
      </c>
      <c r="AI81" s="6">
        <f>[1]Results!AL1551</f>
        <v>3157316.602</v>
      </c>
      <c r="AJ81" s="6">
        <f>[1]Results!AM1551</f>
        <v>3202670.0639999998</v>
      </c>
      <c r="AK81" s="6">
        <f>[1]Results!AN1551</f>
        <v>3248488.9339999999</v>
      </c>
      <c r="AL81" s="6">
        <f>[1]Results!AO1551</f>
        <v>3294894.28</v>
      </c>
    </row>
    <row r="82" spans="1:38" x14ac:dyDescent="0.3">
      <c r="A82" t="s">
        <v>26</v>
      </c>
      <c r="B82" t="s">
        <v>7</v>
      </c>
      <c r="C82" s="6">
        <f>[1]Results!F1552</f>
        <v>35265.972959999999</v>
      </c>
      <c r="D82" s="6">
        <f>[1]Results!G1552</f>
        <v>34925.68118</v>
      </c>
      <c r="E82" s="6">
        <f>[1]Results!H1552</f>
        <v>34784.940750000002</v>
      </c>
      <c r="F82" s="6">
        <f>[1]Results!I1552</f>
        <v>34775.886380000004</v>
      </c>
      <c r="G82" s="6">
        <f>[1]Results!J1552</f>
        <v>34887.569790000001</v>
      </c>
      <c r="H82" s="6">
        <f>[1]Results!K1552</f>
        <v>35100.115579999998</v>
      </c>
      <c r="I82" s="6">
        <f>[1]Results!L1552</f>
        <v>35361.17366</v>
      </c>
      <c r="J82" s="6">
        <f>[1]Results!M1552</f>
        <v>35658.776120000002</v>
      </c>
      <c r="K82" s="6">
        <f>[1]Results!N1552</f>
        <v>35969.42353</v>
      </c>
      <c r="L82" s="6">
        <f>[1]Results!O1552</f>
        <v>36275.162069999998</v>
      </c>
      <c r="M82" s="6">
        <f>[1]Results!P1552</f>
        <v>36605.812180000001</v>
      </c>
      <c r="N82" s="6">
        <f>[1]Results!Q1552</f>
        <v>36880.267760000002</v>
      </c>
      <c r="O82" s="6">
        <f>[1]Results!R1552</f>
        <v>37116.932520000002</v>
      </c>
      <c r="P82" s="6">
        <f>[1]Results!S1552</f>
        <v>37313.89574</v>
      </c>
      <c r="Q82" s="6">
        <f>[1]Results!T1552</f>
        <v>37475.663460000003</v>
      </c>
      <c r="R82" s="6">
        <f>[1]Results!U1552</f>
        <v>37610.980439999999</v>
      </c>
      <c r="S82" s="6">
        <f>[1]Results!V1552</f>
        <v>37730.058949999999</v>
      </c>
      <c r="T82" s="6">
        <f>[1]Results!W1552</f>
        <v>37842.304300000003</v>
      </c>
      <c r="U82" s="6">
        <f>[1]Results!X1552</f>
        <v>37955.01771</v>
      </c>
      <c r="V82" s="6">
        <f>[1]Results!Y1552</f>
        <v>38073.055800000002</v>
      </c>
      <c r="W82" s="6">
        <f>[1]Results!Z1552</f>
        <v>38167.7523</v>
      </c>
      <c r="X82" s="6">
        <f>[1]Results!AA1552</f>
        <v>38294.303310000003</v>
      </c>
      <c r="Y82" s="6">
        <f>[1]Results!AB1552</f>
        <v>38433.766680000001</v>
      </c>
      <c r="Z82" s="6">
        <f>[1]Results!AC1552</f>
        <v>38585.84332</v>
      </c>
      <c r="AA82" s="6">
        <f>[1]Results!AD1552</f>
        <v>38748.78946</v>
      </c>
      <c r="AB82" s="6">
        <f>[1]Results!AE1552</f>
        <v>38831.03155</v>
      </c>
      <c r="AC82" s="6">
        <f>[1]Results!AF1552</f>
        <v>38946.362849999998</v>
      </c>
      <c r="AD82" s="6">
        <f>[1]Results!AG1552</f>
        <v>39064.839449999999</v>
      </c>
      <c r="AE82" s="6">
        <f>[1]Results!AH1552</f>
        <v>39189.33999</v>
      </c>
      <c r="AF82" s="6">
        <f>[1]Results!AI1552</f>
        <v>39320.35716</v>
      </c>
      <c r="AG82" s="6">
        <f>[1]Results!AJ1552</f>
        <v>39456.579669999999</v>
      </c>
      <c r="AH82" s="6">
        <f>[1]Results!AK1552</f>
        <v>39595.979399999997</v>
      </c>
      <c r="AI82" s="6">
        <f>[1]Results!AL1552</f>
        <v>39736.751250000001</v>
      </c>
      <c r="AJ82" s="6">
        <f>[1]Results!AM1552</f>
        <v>39877.802159999999</v>
      </c>
      <c r="AK82" s="6">
        <f>[1]Results!AN1552</f>
        <v>40018.76728</v>
      </c>
      <c r="AL82" s="6">
        <f>[1]Results!AO1552</f>
        <v>40159.700210000003</v>
      </c>
    </row>
    <row r="83" spans="1:38" x14ac:dyDescent="0.3">
      <c r="B83" t="s">
        <v>96</v>
      </c>
      <c r="C83" s="6">
        <f>[1]Results!F1565</f>
        <v>108219.8881</v>
      </c>
      <c r="D83" s="6">
        <f>[1]Results!G1565</f>
        <v>116368.70759999999</v>
      </c>
      <c r="E83" s="6">
        <f>[1]Results!H1565</f>
        <v>123622.292</v>
      </c>
      <c r="F83" s="6">
        <f>[1]Results!I1565</f>
        <v>127633.0177</v>
      </c>
      <c r="G83" s="6">
        <f>[1]Results!J1565</f>
        <v>130035.4379</v>
      </c>
      <c r="H83" s="6">
        <f>[1]Results!K1565</f>
        <v>131825.93229999999</v>
      </c>
      <c r="I83" s="6">
        <f>[1]Results!L1565</f>
        <v>130913.79369999999</v>
      </c>
      <c r="J83" s="6">
        <f>[1]Results!M1565</f>
        <v>131847.19149999999</v>
      </c>
      <c r="K83" s="6">
        <f>[1]Results!N1565</f>
        <v>133257.4393</v>
      </c>
      <c r="L83" s="6">
        <f>[1]Results!O1565</f>
        <v>134890.8751</v>
      </c>
      <c r="M83" s="6">
        <f>[1]Results!P1565</f>
        <v>140372.71849999999</v>
      </c>
      <c r="N83" s="6">
        <f>[1]Results!Q1565</f>
        <v>139649.2641</v>
      </c>
      <c r="O83" s="6">
        <f>[1]Results!R1565</f>
        <v>140982.08559999999</v>
      </c>
      <c r="P83" s="6">
        <f>[1]Results!S1565</f>
        <v>142777.70009999999</v>
      </c>
      <c r="Q83" s="6">
        <f>[1]Results!T1565</f>
        <v>144734.61900000001</v>
      </c>
      <c r="R83" s="6">
        <f>[1]Results!U1565</f>
        <v>146787.58360000001</v>
      </c>
      <c r="S83" s="6">
        <f>[1]Results!V1565</f>
        <v>148930.66889999999</v>
      </c>
      <c r="T83" s="6">
        <f>[1]Results!W1565</f>
        <v>151171.07070000001</v>
      </c>
      <c r="U83" s="6">
        <f>[1]Results!X1565</f>
        <v>153512.3898</v>
      </c>
      <c r="V83" s="6">
        <f>[1]Results!Y1565</f>
        <v>155950.283</v>
      </c>
      <c r="W83" s="6">
        <f>[1]Results!Z1565</f>
        <v>155835.14989999999</v>
      </c>
      <c r="X83" s="6">
        <f>[1]Results!AA1565</f>
        <v>160180.01730000001</v>
      </c>
      <c r="Y83" s="6">
        <f>[1]Results!AB1565</f>
        <v>163350.9442</v>
      </c>
      <c r="Z83" s="6">
        <f>[1]Results!AC1565</f>
        <v>166253.2151</v>
      </c>
      <c r="AA83" s="6">
        <f>[1]Results!AD1565</f>
        <v>169097.1746</v>
      </c>
      <c r="AB83" s="6">
        <f>[1]Results!AE1565</f>
        <v>164223.69219999999</v>
      </c>
      <c r="AC83" s="6">
        <f>[1]Results!AF1565</f>
        <v>169047.6802</v>
      </c>
      <c r="AD83" s="6">
        <f>[1]Results!AG1565</f>
        <v>172335.29</v>
      </c>
      <c r="AE83" s="6">
        <f>[1]Results!AH1565</f>
        <v>175315.72519999999</v>
      </c>
      <c r="AF83" s="6">
        <f>[1]Results!AI1565</f>
        <v>178227.2335</v>
      </c>
      <c r="AG83" s="6">
        <f>[1]Results!AJ1565</f>
        <v>181124.87940000001</v>
      </c>
      <c r="AH83" s="6">
        <f>[1]Results!AK1565</f>
        <v>184018.5502</v>
      </c>
      <c r="AI83" s="6">
        <f>[1]Results!AL1565</f>
        <v>186908.80069999999</v>
      </c>
      <c r="AJ83" s="6">
        <f>[1]Results!AM1565</f>
        <v>189799.5097</v>
      </c>
      <c r="AK83" s="6">
        <f>[1]Results!AN1565</f>
        <v>192700.34839999999</v>
      </c>
      <c r="AL83" s="6">
        <f>[1]Results!AO1565</f>
        <v>195623.8315</v>
      </c>
    </row>
    <row r="84" spans="1:38" x14ac:dyDescent="0.3">
      <c r="B84" t="s">
        <v>11</v>
      </c>
      <c r="C84" s="6">
        <f>[1]Results!F1580</f>
        <v>13730.800649999999</v>
      </c>
      <c r="D84" s="6">
        <f>[1]Results!G1580</f>
        <v>13804.590249999999</v>
      </c>
      <c r="E84" s="6">
        <f>[1]Results!H1580</f>
        <v>13894.897000000001</v>
      </c>
      <c r="F84" s="6">
        <f>[1]Results!I1580</f>
        <v>14036.305399999999</v>
      </c>
      <c r="G84" s="6">
        <f>[1]Results!J1580</f>
        <v>14236.16509</v>
      </c>
      <c r="H84" s="6">
        <f>[1]Results!K1580</f>
        <v>14494.505429999999</v>
      </c>
      <c r="I84" s="6">
        <f>[1]Results!L1580</f>
        <v>14795.74792</v>
      </c>
      <c r="J84" s="6">
        <f>[1]Results!M1580</f>
        <v>15136.279109999999</v>
      </c>
      <c r="K84" s="6">
        <f>[1]Results!N1580</f>
        <v>15501.708420000001</v>
      </c>
      <c r="L84" s="6">
        <f>[1]Results!O1580</f>
        <v>15876.79423</v>
      </c>
      <c r="M84" s="6">
        <f>[1]Results!P1580</f>
        <v>16258.096530000001</v>
      </c>
      <c r="N84" s="6">
        <f>[1]Results!Q1580</f>
        <v>16618.09188</v>
      </c>
      <c r="O84" s="6">
        <f>[1]Results!R1580</f>
        <v>16957.206099999999</v>
      </c>
      <c r="P84" s="6">
        <f>[1]Results!S1580</f>
        <v>17270.1855</v>
      </c>
      <c r="Q84" s="6">
        <f>[1]Results!T1580</f>
        <v>17550.954259999999</v>
      </c>
      <c r="R84" s="6">
        <f>[1]Results!U1580</f>
        <v>17796.457630000001</v>
      </c>
      <c r="S84" s="6">
        <f>[1]Results!V1580</f>
        <v>18009.747469999998</v>
      </c>
      <c r="T84" s="6">
        <f>[1]Results!W1580</f>
        <v>18198.702819999999</v>
      </c>
      <c r="U84" s="6">
        <f>[1]Results!X1580</f>
        <v>18374.540379999999</v>
      </c>
      <c r="V84" s="6">
        <f>[1]Results!Y1580</f>
        <v>18549.704160000001</v>
      </c>
      <c r="W84" s="6">
        <f>[1]Results!Z1580</f>
        <v>18726.23472</v>
      </c>
      <c r="X84" s="6">
        <f>[1]Results!AA1580</f>
        <v>18925.31421</v>
      </c>
      <c r="Y84" s="6">
        <f>[1]Results!AB1580</f>
        <v>19147.04724</v>
      </c>
      <c r="Z84" s="6">
        <f>[1]Results!AC1580</f>
        <v>19394.260030000001</v>
      </c>
      <c r="AA84" s="6">
        <f>[1]Results!AD1580</f>
        <v>19668.91445</v>
      </c>
      <c r="AB84" s="6">
        <f>[1]Results!AE1580</f>
        <v>19940.633860000002</v>
      </c>
      <c r="AC84" s="6">
        <f>[1]Results!AF1580</f>
        <v>20245.085770000002</v>
      </c>
      <c r="AD84" s="6">
        <f>[1]Results!AG1580</f>
        <v>20562.289710000001</v>
      </c>
      <c r="AE84" s="6">
        <f>[1]Results!AH1580</f>
        <v>20885.97263</v>
      </c>
      <c r="AF84" s="6">
        <f>[1]Results!AI1580</f>
        <v>21214.393199999999</v>
      </c>
      <c r="AG84" s="6">
        <f>[1]Results!AJ1580</f>
        <v>21547.37645</v>
      </c>
      <c r="AH84" s="6">
        <f>[1]Results!AK1580</f>
        <v>21884.7088</v>
      </c>
      <c r="AI84" s="6">
        <f>[1]Results!AL1580</f>
        <v>22225.27476</v>
      </c>
      <c r="AJ84" s="6">
        <f>[1]Results!AM1580</f>
        <v>22566.965550000001</v>
      </c>
      <c r="AK84" s="6">
        <f>[1]Results!AN1580</f>
        <v>22907.233100000001</v>
      </c>
      <c r="AL84" s="6">
        <f>[1]Results!AO1580</f>
        <v>23243.2402</v>
      </c>
    </row>
    <row r="85" spans="1:38" x14ac:dyDescent="0.3">
      <c r="B85" t="s">
        <v>8</v>
      </c>
      <c r="C85" s="6">
        <f>[1]Results!F1555-[1]Results!F1565</f>
        <v>227810.93570000003</v>
      </c>
      <c r="D85" s="6">
        <f>[1]Results!G1555-[1]Results!G1565</f>
        <v>228863.95989999999</v>
      </c>
      <c r="E85" s="6">
        <f>[1]Results!H1555-[1]Results!H1565</f>
        <v>231384.47409999999</v>
      </c>
      <c r="F85" s="6">
        <f>[1]Results!I1555-[1]Results!I1565</f>
        <v>234218.32369999998</v>
      </c>
      <c r="G85" s="6">
        <f>[1]Results!J1555-[1]Results!J1565</f>
        <v>237181.81279999996</v>
      </c>
      <c r="H85" s="6">
        <f>[1]Results!K1555-[1]Results!K1565</f>
        <v>240254.94400000002</v>
      </c>
      <c r="I85" s="6">
        <f>[1]Results!L1555-[1]Results!L1565</f>
        <v>243052.31060000003</v>
      </c>
      <c r="J85" s="6">
        <f>[1]Results!M1555-[1]Results!M1565</f>
        <v>246021.07320000001</v>
      </c>
      <c r="K85" s="6">
        <f>[1]Results!N1555-[1]Results!N1565</f>
        <v>249088.47510000001</v>
      </c>
      <c r="L85" s="6">
        <f>[1]Results!O1555-[1]Results!O1565</f>
        <v>252229.81140000001</v>
      </c>
      <c r="M85" s="6">
        <f>[1]Results!P1555-[1]Results!P1565</f>
        <v>256007.46590000004</v>
      </c>
      <c r="N85" s="6">
        <f>[1]Results!Q1555-[1]Results!Q1565</f>
        <v>259155.11419999998</v>
      </c>
      <c r="O85" s="6">
        <f>[1]Results!R1555-[1]Results!R1565</f>
        <v>262383.07160000002</v>
      </c>
      <c r="P85" s="6">
        <f>[1]Results!S1555-[1]Results!S1565</f>
        <v>265617.88990000007</v>
      </c>
      <c r="Q85" s="6">
        <f>[1]Results!T1555-[1]Results!T1565</f>
        <v>268831.01169999997</v>
      </c>
      <c r="R85" s="6">
        <f>[1]Results!U1555-[1]Results!U1565</f>
        <v>272039.10119999998</v>
      </c>
      <c r="S85" s="6">
        <f>[1]Results!V1555-[1]Results!V1565</f>
        <v>275273.89569999999</v>
      </c>
      <c r="T85" s="6">
        <f>[1]Results!W1555-[1]Results!W1565</f>
        <v>278564.91229999997</v>
      </c>
      <c r="U85" s="6">
        <f>[1]Results!X1555-[1]Results!X1565</f>
        <v>281931.45169999998</v>
      </c>
      <c r="V85" s="6">
        <f>[1]Results!Y1555-[1]Results!Y1565</f>
        <v>285381.5097</v>
      </c>
      <c r="W85" s="6">
        <f>[1]Results!Z1555-[1]Results!Z1565</f>
        <v>288483.25020000001</v>
      </c>
      <c r="X85" s="6">
        <f>[1]Results!AA1555-[1]Results!AA1565</f>
        <v>292163.57030000002</v>
      </c>
      <c r="Y85" s="6">
        <f>[1]Results!AB1555-[1]Results!AB1565</f>
        <v>295890.13179999997</v>
      </c>
      <c r="Z85" s="6">
        <f>[1]Results!AC1555-[1]Results!AC1565</f>
        <v>299675.71349999995</v>
      </c>
      <c r="AA85" s="6">
        <f>[1]Results!AD1555-[1]Results!AD1565</f>
        <v>303534.05359999998</v>
      </c>
      <c r="AB85" s="6">
        <f>[1]Results!AE1555-[1]Results!AE1565</f>
        <v>306182.38390000002</v>
      </c>
      <c r="AC85" s="6">
        <f>[1]Results!AF1555-[1]Results!AF1565</f>
        <v>309873.3553</v>
      </c>
      <c r="AD85" s="6">
        <f>[1]Results!AG1555-[1]Results!AG1565</f>
        <v>313592.67189999996</v>
      </c>
      <c r="AE85" s="6">
        <f>[1]Results!AH1555-[1]Results!AH1565</f>
        <v>317362.08910000004</v>
      </c>
      <c r="AF85" s="6">
        <f>[1]Results!AI1555-[1]Results!AI1565</f>
        <v>321210.33059999999</v>
      </c>
      <c r="AG85" s="6">
        <f>[1]Results!AJ1555-[1]Results!AJ1565</f>
        <v>325135.33270000003</v>
      </c>
      <c r="AH85" s="6">
        <f>[1]Results!AK1555-[1]Results!AK1565</f>
        <v>329123.2635</v>
      </c>
      <c r="AI85" s="6">
        <f>[1]Results!AL1555-[1]Results!AL1565</f>
        <v>333161.49230000004</v>
      </c>
      <c r="AJ85" s="6">
        <f>[1]Results!AM1555-[1]Results!AM1565</f>
        <v>337244.65059999999</v>
      </c>
      <c r="AK85" s="6">
        <f>[1]Results!AN1555-[1]Results!AN1565</f>
        <v>341375.01890000002</v>
      </c>
      <c r="AL85" s="6">
        <f>[1]Results!AO1555-[1]Results!AO1565</f>
        <v>345559.13880000007</v>
      </c>
    </row>
    <row r="86" spans="1:38" x14ac:dyDescent="0.3">
      <c r="B86" t="s">
        <v>24</v>
      </c>
      <c r="C86" s="6">
        <f>[1]Results!F1575</f>
        <v>3886.8471530000002</v>
      </c>
      <c r="D86" s="6">
        <f>[1]Results!G1575</f>
        <v>4081.94506</v>
      </c>
      <c r="E86" s="6">
        <f>[1]Results!H1575</f>
        <v>4162.0760499999997</v>
      </c>
      <c r="F86" s="6">
        <f>[1]Results!I1575</f>
        <v>4243.0255729999999</v>
      </c>
      <c r="G86" s="6">
        <f>[1]Results!J1575</f>
        <v>4328.7872939999997</v>
      </c>
      <c r="H86" s="6">
        <f>[1]Results!K1575</f>
        <v>4416.3300909999998</v>
      </c>
      <c r="I86" s="6">
        <f>[1]Results!L1575</f>
        <v>4496.1462860000001</v>
      </c>
      <c r="J86" s="6">
        <f>[1]Results!M1575</f>
        <v>4578.3671260000001</v>
      </c>
      <c r="K86" s="6">
        <f>[1]Results!N1575</f>
        <v>4658.2517660000003</v>
      </c>
      <c r="L86" s="6">
        <f>[1]Results!O1575</f>
        <v>4734.8362790000001</v>
      </c>
      <c r="M86" s="6">
        <f>[1]Results!P1575</f>
        <v>4818.6575929999999</v>
      </c>
      <c r="N86" s="6">
        <f>[1]Results!Q1575</f>
        <v>4884.9665590000004</v>
      </c>
      <c r="O86" s="6">
        <f>[1]Results!R1575</f>
        <v>4955.3736040000003</v>
      </c>
      <c r="P86" s="6">
        <f>[1]Results!S1575</f>
        <v>5025.3747309999999</v>
      </c>
      <c r="Q86" s="6">
        <f>[1]Results!T1575</f>
        <v>5093.1115449999998</v>
      </c>
      <c r="R86" s="6">
        <f>[1]Results!U1575</f>
        <v>5157.887205</v>
      </c>
      <c r="S86" s="6">
        <f>[1]Results!V1575</f>
        <v>5219.7168179999999</v>
      </c>
      <c r="T86" s="6">
        <f>[1]Results!W1575</f>
        <v>5279.091367</v>
      </c>
      <c r="U86" s="6">
        <f>[1]Results!X1575</f>
        <v>5336.772688</v>
      </c>
      <c r="V86" s="6">
        <f>[1]Results!Y1575</f>
        <v>5393.5686759999999</v>
      </c>
      <c r="W86" s="6">
        <f>[1]Results!Z1575</f>
        <v>5442.3456399999995</v>
      </c>
      <c r="X86" s="6">
        <f>[1]Results!AA1575</f>
        <v>5502.7190700000001</v>
      </c>
      <c r="Y86" s="6">
        <f>[1]Results!AB1575</f>
        <v>5559.788579</v>
      </c>
      <c r="Z86" s="6">
        <f>[1]Results!AC1575</f>
        <v>5616.6142659999996</v>
      </c>
      <c r="AA86" s="6">
        <f>[1]Results!AD1575</f>
        <v>5674.3232719999996</v>
      </c>
      <c r="AB86" s="6">
        <f>[1]Results!AE1575</f>
        <v>5709.3631800000003</v>
      </c>
      <c r="AC86" s="6">
        <f>[1]Results!AF1575</f>
        <v>5770.9474870000004</v>
      </c>
      <c r="AD86" s="6">
        <f>[1]Results!AG1575</f>
        <v>5826.5535129999998</v>
      </c>
      <c r="AE86" s="6">
        <f>[1]Results!AH1575</f>
        <v>5880.2555849999999</v>
      </c>
      <c r="AF86" s="6">
        <f>[1]Results!AI1575</f>
        <v>5934.0769019999998</v>
      </c>
      <c r="AG86" s="6">
        <f>[1]Results!AJ1575</f>
        <v>5988.9010109999999</v>
      </c>
      <c r="AH86" s="6">
        <f>[1]Results!AK1575</f>
        <v>6045.005615</v>
      </c>
      <c r="AI86" s="6">
        <f>[1]Results!AL1575</f>
        <v>6102.2861199999998</v>
      </c>
      <c r="AJ86" s="6">
        <f>[1]Results!AM1575</f>
        <v>6160.4274079999996</v>
      </c>
      <c r="AK86" s="6">
        <f>[1]Results!AN1575</f>
        <v>6219.0793139999996</v>
      </c>
      <c r="AL86" s="6">
        <f>[1]Results!AO1575</f>
        <v>6277.9620750000004</v>
      </c>
    </row>
    <row r="87" spans="1:38" x14ac:dyDescent="0.3">
      <c r="B87" t="s">
        <v>10</v>
      </c>
      <c r="C87" s="6">
        <f>[1]Results!F1572</f>
        <v>1522054.7109999999</v>
      </c>
      <c r="D87" s="6">
        <f>[1]Results!G1572</f>
        <v>1534222.62</v>
      </c>
      <c r="E87" s="6">
        <f>[1]Results!H1572</f>
        <v>1553098.8189999999</v>
      </c>
      <c r="F87" s="6">
        <f>[1]Results!I1572</f>
        <v>1577444.1950000001</v>
      </c>
      <c r="G87" s="6">
        <f>[1]Results!J1572</f>
        <v>1603452.29</v>
      </c>
      <c r="H87" s="6">
        <f>[1]Results!K1572</f>
        <v>1629814.139</v>
      </c>
      <c r="I87" s="6">
        <f>[1]Results!L1572</f>
        <v>1657728.8640000001</v>
      </c>
      <c r="J87" s="6">
        <f>[1]Results!M1572</f>
        <v>1683976.35</v>
      </c>
      <c r="K87" s="6">
        <f>[1]Results!N1572</f>
        <v>1710030.622</v>
      </c>
      <c r="L87" s="6">
        <f>[1]Results!O1572</f>
        <v>1736608.4469999999</v>
      </c>
      <c r="M87" s="6">
        <f>[1]Results!P1572</f>
        <v>1761508.267</v>
      </c>
      <c r="N87" s="6">
        <f>[1]Results!Q1572</f>
        <v>1793054.9539999999</v>
      </c>
      <c r="O87" s="6">
        <f>[1]Results!R1572</f>
        <v>1823174.699</v>
      </c>
      <c r="P87" s="6">
        <f>[1]Results!S1572</f>
        <v>1852833.328</v>
      </c>
      <c r="Q87" s="6">
        <f>[1]Results!T1572</f>
        <v>1882427.23</v>
      </c>
      <c r="R87" s="6">
        <f>[1]Results!U1572</f>
        <v>1912298.2150000001</v>
      </c>
      <c r="S87" s="6">
        <f>[1]Results!V1572</f>
        <v>1942738.2420000001</v>
      </c>
      <c r="T87" s="6">
        <f>[1]Results!W1572</f>
        <v>1973936.0789999999</v>
      </c>
      <c r="U87" s="6">
        <f>[1]Results!X1572</f>
        <v>2005955.831</v>
      </c>
      <c r="V87" s="6">
        <f>[1]Results!Y1572</f>
        <v>2038758.78</v>
      </c>
      <c r="W87" s="6">
        <f>[1]Results!Z1572</f>
        <v>2073583.274</v>
      </c>
      <c r="X87" s="6">
        <f>[1]Results!AA1572</f>
        <v>2105376.5060000001</v>
      </c>
      <c r="Y87" s="6">
        <f>[1]Results!AB1572</f>
        <v>2139123.5049999999</v>
      </c>
      <c r="Z87" s="6">
        <f>[1]Results!AC1572</f>
        <v>2173942.0860000001</v>
      </c>
      <c r="AA87" s="6">
        <f>[1]Results!AD1572</f>
        <v>2209498.2859999998</v>
      </c>
      <c r="AB87" s="6">
        <f>[1]Results!AE1572</f>
        <v>2248706.3990000002</v>
      </c>
      <c r="AC87" s="6">
        <f>[1]Results!AF1572</f>
        <v>2280832.5159999998</v>
      </c>
      <c r="AD87" s="6">
        <f>[1]Results!AG1572</f>
        <v>2314355.3790000002</v>
      </c>
      <c r="AE87" s="6">
        <f>[1]Results!AH1572</f>
        <v>2348774.2599999998</v>
      </c>
      <c r="AF87" s="6">
        <f>[1]Results!AI1572</f>
        <v>2383950.497</v>
      </c>
      <c r="AG87" s="6">
        <f>[1]Results!AJ1572</f>
        <v>2419716.193</v>
      </c>
      <c r="AH87" s="6">
        <f>[1]Results!AK1572</f>
        <v>2455906.4049999998</v>
      </c>
      <c r="AI87" s="6">
        <f>[1]Results!AL1572</f>
        <v>2492424.2340000002</v>
      </c>
      <c r="AJ87" s="6">
        <f>[1]Results!AM1572</f>
        <v>2529266.824</v>
      </c>
      <c r="AK87" s="6">
        <f>[1]Results!AN1572</f>
        <v>2566506.872</v>
      </c>
      <c r="AL87" s="6">
        <f>[1]Results!AO1572</f>
        <v>2604247.5780000002</v>
      </c>
    </row>
    <row r="88" spans="1:38" x14ac:dyDescent="0.3">
      <c r="B88" t="s">
        <v>9</v>
      </c>
      <c r="C88" s="6">
        <f>[1]Results!F1567</f>
        <v>52107.03355</v>
      </c>
      <c r="D88" s="6">
        <f>[1]Results!G1567</f>
        <v>52135.159119999997</v>
      </c>
      <c r="E88" s="6">
        <f>[1]Results!H1567</f>
        <v>52439.811889999997</v>
      </c>
      <c r="F88" s="6">
        <f>[1]Results!I1567</f>
        <v>52908.136059999997</v>
      </c>
      <c r="G88" s="6">
        <f>[1]Results!J1567</f>
        <v>53465.843930000003</v>
      </c>
      <c r="H88" s="6">
        <f>[1]Results!K1567</f>
        <v>54078.464829999997</v>
      </c>
      <c r="I88" s="6">
        <f>[1]Results!L1567</f>
        <v>54714.439149999998</v>
      </c>
      <c r="J88" s="6">
        <f>[1]Results!M1567</f>
        <v>55367.195729999999</v>
      </c>
      <c r="K88" s="6">
        <f>[1]Results!N1567</f>
        <v>56043.923589999999</v>
      </c>
      <c r="L88" s="6">
        <f>[1]Results!O1567</f>
        <v>56750.069020000003</v>
      </c>
      <c r="M88" s="6">
        <f>[1]Results!P1567</f>
        <v>57512.224699999999</v>
      </c>
      <c r="N88" s="6">
        <f>[1]Results!Q1567</f>
        <v>58307.713239999997</v>
      </c>
      <c r="O88" s="6">
        <f>[1]Results!R1567</f>
        <v>59104.586580000003</v>
      </c>
      <c r="P88" s="6">
        <f>[1]Results!S1567</f>
        <v>59898.969100000002</v>
      </c>
      <c r="Q88" s="6">
        <f>[1]Results!T1567</f>
        <v>60692.47337</v>
      </c>
      <c r="R88" s="6">
        <f>[1]Results!U1567</f>
        <v>61490.131419999998</v>
      </c>
      <c r="S88" s="6">
        <f>[1]Results!V1567</f>
        <v>62298.158660000001</v>
      </c>
      <c r="T88" s="6">
        <f>[1]Results!W1567</f>
        <v>63121.715259999997</v>
      </c>
      <c r="U88" s="6">
        <f>[1]Results!X1567</f>
        <v>63963.69829</v>
      </c>
      <c r="V88" s="6">
        <f>[1]Results!Y1567</f>
        <v>64824.737110000002</v>
      </c>
      <c r="W88" s="6">
        <f>[1]Results!Z1567</f>
        <v>65678.033030000006</v>
      </c>
      <c r="X88" s="6">
        <f>[1]Results!AA1567</f>
        <v>66550.032380000004</v>
      </c>
      <c r="Y88" s="6">
        <f>[1]Results!AB1567</f>
        <v>67450.776159999994</v>
      </c>
      <c r="Z88" s="6">
        <f>[1]Results!AC1567</f>
        <v>68375.694799999997</v>
      </c>
      <c r="AA88" s="6">
        <f>[1]Results!AD1567</f>
        <v>69320.805510000006</v>
      </c>
      <c r="AB88" s="6">
        <f>[1]Results!AE1567</f>
        <v>70197.377890000003</v>
      </c>
      <c r="AC88" s="6">
        <f>[1]Results!AF1567</f>
        <v>71078.461660000001</v>
      </c>
      <c r="AD88" s="6">
        <f>[1]Results!AG1567</f>
        <v>71977.171019999994</v>
      </c>
      <c r="AE88" s="6">
        <f>[1]Results!AH1567</f>
        <v>72897.383619999993</v>
      </c>
      <c r="AF88" s="6">
        <f>[1]Results!AI1567</f>
        <v>73838.786940000005</v>
      </c>
      <c r="AG88" s="6">
        <f>[1]Results!AJ1567</f>
        <v>74798.373779999994</v>
      </c>
      <c r="AH88" s="6">
        <f>[1]Results!AK1567</f>
        <v>75772.304329999999</v>
      </c>
      <c r="AI88" s="6">
        <f>[1]Results!AL1567</f>
        <v>76757.762050000005</v>
      </c>
      <c r="AJ88" s="6">
        <f>[1]Results!AM1567</f>
        <v>77753.884019999998</v>
      </c>
      <c r="AK88" s="6">
        <f>[1]Results!AN1567</f>
        <v>78761.615449999998</v>
      </c>
      <c r="AL88" s="6">
        <f>[1]Results!AO1567</f>
        <v>79782.829029999994</v>
      </c>
    </row>
    <row r="90" spans="1:38" x14ac:dyDescent="0.3">
      <c r="A90" t="s">
        <v>27</v>
      </c>
      <c r="B90" t="s">
        <v>12</v>
      </c>
      <c r="C90" s="6">
        <f>[1]Results!F1512</f>
        <v>1963076.189</v>
      </c>
      <c r="D90" s="6">
        <f>[1]Results!G1512</f>
        <v>1984402.6629999999</v>
      </c>
      <c r="E90" s="6">
        <f>[1]Results!H1512</f>
        <v>2013387.311</v>
      </c>
      <c r="F90" s="6">
        <f>[1]Results!I1512</f>
        <v>2045258.89</v>
      </c>
      <c r="G90" s="6">
        <f>[1]Results!J1512</f>
        <v>2077587.906</v>
      </c>
      <c r="H90" s="6">
        <f>[1]Results!K1512</f>
        <v>2109984.4309999999</v>
      </c>
      <c r="I90" s="6">
        <f>[1]Results!L1512</f>
        <v>2140466.2439999999</v>
      </c>
      <c r="J90" s="6">
        <f>[1]Results!M1512</f>
        <v>2170037.2259999998</v>
      </c>
      <c r="K90" s="6">
        <f>[1]Results!N1512</f>
        <v>2198723.608</v>
      </c>
      <c r="L90" s="6">
        <f>[1]Results!O1512</f>
        <v>2228023.4270000001</v>
      </c>
      <c r="M90" s="6">
        <f>[1]Results!P1512</f>
        <v>2261113.0780000002</v>
      </c>
      <c r="N90" s="6">
        <f>[1]Results!Q1512</f>
        <v>2295314.531</v>
      </c>
      <c r="O90" s="6">
        <f>[1]Results!R1512</f>
        <v>2331606.696</v>
      </c>
      <c r="P90" s="6">
        <f>[1]Results!S1512</f>
        <v>2368865.3250000002</v>
      </c>
      <c r="Q90" s="6">
        <f>[1]Results!T1512</f>
        <v>2406566.531</v>
      </c>
      <c r="R90" s="6">
        <f>[1]Results!U1512</f>
        <v>2444498.398</v>
      </c>
      <c r="S90" s="6">
        <f>[1]Results!V1512</f>
        <v>2482708.145</v>
      </c>
      <c r="T90" s="6">
        <f>[1]Results!W1512</f>
        <v>2521393.1510000001</v>
      </c>
      <c r="U90" s="6">
        <f>[1]Results!X1512</f>
        <v>2560768.057</v>
      </c>
      <c r="V90" s="6">
        <f>[1]Results!Y1512</f>
        <v>2600965.477</v>
      </c>
      <c r="W90" s="6">
        <f>[1]Results!Z1512</f>
        <v>2640208.645</v>
      </c>
      <c r="X90" s="6">
        <f>[1]Results!AA1512</f>
        <v>2681484.7289999998</v>
      </c>
      <c r="Y90" s="6">
        <f>[1]Results!AB1512</f>
        <v>2723574.5649999999</v>
      </c>
      <c r="Z90" s="6">
        <f>[1]Results!AC1512</f>
        <v>2766450.6690000002</v>
      </c>
      <c r="AA90" s="6">
        <f>[1]Results!AD1512</f>
        <v>2809947.8590000002</v>
      </c>
      <c r="AB90" s="6">
        <f>[1]Results!AE1512</f>
        <v>2847808.6869999999</v>
      </c>
      <c r="AC90" s="6">
        <f>[1]Results!AF1512</f>
        <v>2889241.986</v>
      </c>
      <c r="AD90" s="6">
        <f>[1]Results!AG1512</f>
        <v>2930502.2889999999</v>
      </c>
      <c r="AE90" s="6">
        <f>[1]Results!AH1512</f>
        <v>2972429.38</v>
      </c>
      <c r="AF90" s="6">
        <f>[1]Results!AI1512</f>
        <v>3015216.6439999999</v>
      </c>
      <c r="AG90" s="6">
        <f>[1]Results!AJ1512</f>
        <v>3058778.5639999998</v>
      </c>
      <c r="AH90" s="6">
        <f>[1]Results!AK1512</f>
        <v>3102944.48</v>
      </c>
      <c r="AI90" s="6">
        <f>[1]Results!AL1512</f>
        <v>3147585.3530000001</v>
      </c>
      <c r="AJ90" s="6">
        <f>[1]Results!AM1512</f>
        <v>3192670.8670000001</v>
      </c>
      <c r="AK90" s="6">
        <f>[1]Results!AN1512</f>
        <v>3238263.9580000001</v>
      </c>
      <c r="AL90" s="6">
        <f>[1]Results!AO1512</f>
        <v>3284473.5959999999</v>
      </c>
    </row>
    <row r="91" spans="1:38" x14ac:dyDescent="0.3">
      <c r="B91" t="s">
        <v>7</v>
      </c>
      <c r="C91" s="6">
        <f>[1]Results!F1513</f>
        <v>35265.972959999999</v>
      </c>
      <c r="D91" s="6">
        <f>[1]Results!G1513</f>
        <v>34925.68118</v>
      </c>
      <c r="E91" s="6">
        <f>[1]Results!H1513</f>
        <v>34784.940750000002</v>
      </c>
      <c r="F91" s="6">
        <f>[1]Results!I1513</f>
        <v>34775.886380000004</v>
      </c>
      <c r="G91" s="6">
        <f>[1]Results!J1513</f>
        <v>34887.569790000001</v>
      </c>
      <c r="H91" s="6">
        <f>[1]Results!K1513</f>
        <v>35100.115579999998</v>
      </c>
      <c r="I91" s="6">
        <f>[1]Results!L1513</f>
        <v>35388.202310000001</v>
      </c>
      <c r="J91" s="6">
        <f>[1]Results!M1513</f>
        <v>35688.159119999997</v>
      </c>
      <c r="K91" s="6">
        <f>[1]Results!N1513</f>
        <v>35992.993459999998</v>
      </c>
      <c r="L91" s="6">
        <f>[1]Results!O1513</f>
        <v>36293.118880000002</v>
      </c>
      <c r="M91" s="6">
        <f>[1]Results!P1513</f>
        <v>36625.412100000001</v>
      </c>
      <c r="N91" s="6">
        <f>[1]Results!Q1513</f>
        <v>36911.226869999999</v>
      </c>
      <c r="O91" s="6">
        <f>[1]Results!R1513</f>
        <v>37167.523280000001</v>
      </c>
      <c r="P91" s="6">
        <f>[1]Results!S1513</f>
        <v>37388.074589999997</v>
      </c>
      <c r="Q91" s="6">
        <f>[1]Results!T1513</f>
        <v>37571.795319999997</v>
      </c>
      <c r="R91" s="6">
        <f>[1]Results!U1513</f>
        <v>37722.762020000002</v>
      </c>
      <c r="S91" s="6">
        <f>[1]Results!V1513</f>
        <v>37848.927839999997</v>
      </c>
      <c r="T91" s="6">
        <f>[1]Results!W1513</f>
        <v>37960.004710000001</v>
      </c>
      <c r="U91" s="6">
        <f>[1]Results!X1513</f>
        <v>38065.381200000003</v>
      </c>
      <c r="V91" s="6">
        <f>[1]Results!Y1513</f>
        <v>38172.641680000001</v>
      </c>
      <c r="W91" s="6">
        <f>[1]Results!Z1513</f>
        <v>38255.573689999997</v>
      </c>
      <c r="X91" s="6">
        <f>[1]Results!AA1513</f>
        <v>38370.882799999999</v>
      </c>
      <c r="Y91" s="6">
        <f>[1]Results!AB1513</f>
        <v>38500.402110000003</v>
      </c>
      <c r="Z91" s="6">
        <f>[1]Results!AC1513</f>
        <v>38644.055740000003</v>
      </c>
      <c r="AA91" s="6">
        <f>[1]Results!AD1513</f>
        <v>38800.037839999997</v>
      </c>
      <c r="AB91" s="6">
        <f>[1]Results!AE1513</f>
        <v>38876.634859999998</v>
      </c>
      <c r="AC91" s="6">
        <f>[1]Results!AF1513</f>
        <v>38987.663589999996</v>
      </c>
      <c r="AD91" s="6">
        <f>[1]Results!AG1513</f>
        <v>39103.354979999996</v>
      </c>
      <c r="AE91" s="6">
        <f>[1]Results!AH1513</f>
        <v>39226.695359999998</v>
      </c>
      <c r="AF91" s="6">
        <f>[1]Results!AI1513</f>
        <v>39358.088259999997</v>
      </c>
      <c r="AG91" s="6">
        <f>[1]Results!AJ1513</f>
        <v>39495.88839</v>
      </c>
      <c r="AH91" s="6">
        <f>[1]Results!AK1513</f>
        <v>39637.555319999999</v>
      </c>
      <c r="AI91" s="6">
        <f>[1]Results!AL1513</f>
        <v>39780.716610000003</v>
      </c>
      <c r="AJ91" s="6">
        <f>[1]Results!AM1513</f>
        <v>39923.759570000002</v>
      </c>
      <c r="AK91" s="6">
        <f>[1]Results!AN1513</f>
        <v>40065.942369999997</v>
      </c>
      <c r="AL91" s="6">
        <f>[1]Results!AO1513</f>
        <v>40207.135690000003</v>
      </c>
    </row>
    <row r="92" spans="1:38" x14ac:dyDescent="0.3">
      <c r="B92" t="s">
        <v>96</v>
      </c>
      <c r="C92" s="6">
        <f>[1]Results!F1526</f>
        <v>108219.8881</v>
      </c>
      <c r="D92" s="6">
        <f>[1]Results!G1526</f>
        <v>116368.70759999999</v>
      </c>
      <c r="E92" s="6">
        <f>[1]Results!H1526</f>
        <v>123622.292</v>
      </c>
      <c r="F92" s="6">
        <f>[1]Results!I1526</f>
        <v>127633.0177</v>
      </c>
      <c r="G92" s="6">
        <f>[1]Results!J1526</f>
        <v>130035.4379</v>
      </c>
      <c r="H92" s="6">
        <f>[1]Results!K1526</f>
        <v>131825.93229999999</v>
      </c>
      <c r="I92" s="6">
        <f>[1]Results!L1526</f>
        <v>131055.71829999999</v>
      </c>
      <c r="J92" s="6">
        <f>[1]Results!M1526</f>
        <v>131875.5404</v>
      </c>
      <c r="K92" s="6">
        <f>[1]Results!N1526</f>
        <v>133029.7494</v>
      </c>
      <c r="L92" s="6">
        <f>[1]Results!O1526</f>
        <v>134388.0655</v>
      </c>
      <c r="M92" s="6">
        <f>[1]Results!P1526</f>
        <v>139682.84640000001</v>
      </c>
      <c r="N92" s="6">
        <f>[1]Results!Q1526</f>
        <v>138899.19870000001</v>
      </c>
      <c r="O92" s="6">
        <f>[1]Results!R1526</f>
        <v>140297.77050000001</v>
      </c>
      <c r="P92" s="6">
        <f>[1]Results!S1526</f>
        <v>142252.80110000001</v>
      </c>
      <c r="Q92" s="6">
        <f>[1]Results!T1526</f>
        <v>144407.63560000001</v>
      </c>
      <c r="R92" s="6">
        <f>[1]Results!U1526</f>
        <v>146648.14929999999</v>
      </c>
      <c r="S92" s="6">
        <f>[1]Results!V1526</f>
        <v>148940.682</v>
      </c>
      <c r="T92" s="6">
        <f>[1]Results!W1526</f>
        <v>151287.78390000001</v>
      </c>
      <c r="U92" s="6">
        <f>[1]Results!X1526</f>
        <v>153703.3634</v>
      </c>
      <c r="V92" s="6">
        <f>[1]Results!Y1526</f>
        <v>156197.57209999999</v>
      </c>
      <c r="W92" s="6">
        <f>[1]Results!Z1526</f>
        <v>156131.8903</v>
      </c>
      <c r="X92" s="6">
        <f>[1]Results!AA1526</f>
        <v>160521.7335</v>
      </c>
      <c r="Y92" s="6">
        <f>[1]Results!AB1526</f>
        <v>163728.01519999999</v>
      </c>
      <c r="Z92" s="6">
        <f>[1]Results!AC1526</f>
        <v>166651.5649</v>
      </c>
      <c r="AA92" s="6">
        <f>[1]Results!AD1526</f>
        <v>169497.55309999999</v>
      </c>
      <c r="AB92" s="6">
        <f>[1]Results!AE1526</f>
        <v>164603.886</v>
      </c>
      <c r="AC92" s="6">
        <f>[1]Results!AF1526</f>
        <v>169391.28899999999</v>
      </c>
      <c r="AD92" s="6">
        <f>[1]Results!AG1526</f>
        <v>172630.60860000001</v>
      </c>
      <c r="AE92" s="6">
        <f>[1]Results!AH1526</f>
        <v>175560.25709999999</v>
      </c>
      <c r="AF92" s="6">
        <f>[1]Results!AI1526</f>
        <v>178425.5871</v>
      </c>
      <c r="AG92" s="6">
        <f>[1]Results!AJ1526</f>
        <v>181285.80489999999</v>
      </c>
      <c r="AH92" s="6">
        <f>[1]Results!AK1526</f>
        <v>184152.0099</v>
      </c>
      <c r="AI92" s="6">
        <f>[1]Results!AL1526</f>
        <v>187023.90179999999</v>
      </c>
      <c r="AJ92" s="6">
        <f>[1]Results!AM1526</f>
        <v>189903.4884</v>
      </c>
      <c r="AK92" s="6">
        <f>[1]Results!AN1526</f>
        <v>192798.484</v>
      </c>
      <c r="AL92" s="6">
        <f>[1]Results!AO1526</f>
        <v>195719.93100000001</v>
      </c>
    </row>
    <row r="93" spans="1:38" x14ac:dyDescent="0.3">
      <c r="B93" t="s">
        <v>11</v>
      </c>
      <c r="C93" s="6">
        <f>[1]Results!F1541</f>
        <v>13730.800649999999</v>
      </c>
      <c r="D93" s="6">
        <f>[1]Results!G1541</f>
        <v>13804.590249999999</v>
      </c>
      <c r="E93" s="6">
        <f>[1]Results!H1541</f>
        <v>13894.897000000001</v>
      </c>
      <c r="F93" s="6">
        <f>[1]Results!I1541</f>
        <v>14036.305399999999</v>
      </c>
      <c r="G93" s="6">
        <f>[1]Results!J1541</f>
        <v>14236.16509</v>
      </c>
      <c r="H93" s="6">
        <f>[1]Results!K1541</f>
        <v>14494.505429999999</v>
      </c>
      <c r="I93" s="6">
        <f>[1]Results!L1541</f>
        <v>11487.6412</v>
      </c>
      <c r="J93" s="6">
        <f>[1]Results!M1541</f>
        <v>11221.241980000001</v>
      </c>
      <c r="K93" s="6">
        <f>[1]Results!N1541</f>
        <v>11254.42316</v>
      </c>
      <c r="L93" s="6">
        <f>[1]Results!O1541</f>
        <v>11277.24209</v>
      </c>
      <c r="M93" s="6">
        <f>[1]Results!P1541</f>
        <v>11273.914570000001</v>
      </c>
      <c r="N93" s="6">
        <f>[1]Results!Q1541</f>
        <v>11247.78666</v>
      </c>
      <c r="O93" s="6">
        <f>[1]Results!R1541</f>
        <v>11227.48755</v>
      </c>
      <c r="P93" s="6">
        <f>[1]Results!S1541</f>
        <v>11231.970069999999</v>
      </c>
      <c r="Q93" s="6">
        <f>[1]Results!T1541</f>
        <v>11272.08151</v>
      </c>
      <c r="R93" s="6">
        <f>[1]Results!U1541</f>
        <v>11348.519840000001</v>
      </c>
      <c r="S93" s="6">
        <f>[1]Results!V1541</f>
        <v>11462.392889999999</v>
      </c>
      <c r="T93" s="6">
        <f>[1]Results!W1541</f>
        <v>11612.24778</v>
      </c>
      <c r="U93" s="6">
        <f>[1]Results!X1541</f>
        <v>11794.72992</v>
      </c>
      <c r="V93" s="6">
        <f>[1]Results!Y1541</f>
        <v>12005.43633</v>
      </c>
      <c r="W93" s="6">
        <f>[1]Results!Z1541</f>
        <v>12233.10547</v>
      </c>
      <c r="X93" s="6">
        <f>[1]Results!AA1541</f>
        <v>12482.96271</v>
      </c>
      <c r="Y93" s="6">
        <f>[1]Results!AB1541</f>
        <v>12744.329369999999</v>
      </c>
      <c r="Z93" s="6">
        <f>[1]Results!AC1541</f>
        <v>13011.28485</v>
      </c>
      <c r="AA93" s="6">
        <f>[1]Results!AD1541</f>
        <v>13279.234060000001</v>
      </c>
      <c r="AB93" s="6">
        <f>[1]Results!AE1541</f>
        <v>13521.842420000001</v>
      </c>
      <c r="AC93" s="6">
        <f>[1]Results!AF1541</f>
        <v>13765.3001</v>
      </c>
      <c r="AD93" s="6">
        <f>[1]Results!AG1541</f>
        <v>13992.627689999999</v>
      </c>
      <c r="AE93" s="6">
        <f>[1]Results!AH1541</f>
        <v>14201.670760000001</v>
      </c>
      <c r="AF93" s="6">
        <f>[1]Results!AI1541</f>
        <v>14395.475130000001</v>
      </c>
      <c r="AG93" s="6">
        <f>[1]Results!AJ1541</f>
        <v>14579.143889999999</v>
      </c>
      <c r="AH93" s="6">
        <f>[1]Results!AK1541</f>
        <v>14758.351489999999</v>
      </c>
      <c r="AI93" s="6">
        <f>[1]Results!AL1541</f>
        <v>14938.191930000001</v>
      </c>
      <c r="AJ93" s="6">
        <f>[1]Results!AM1541</f>
        <v>15121.86521</v>
      </c>
      <c r="AK93" s="6">
        <f>[1]Results!AN1541</f>
        <v>15311.4092</v>
      </c>
      <c r="AL93" s="6">
        <f>[1]Results!AO1541</f>
        <v>15507.98127</v>
      </c>
    </row>
    <row r="94" spans="1:38" x14ac:dyDescent="0.3">
      <c r="B94" t="s">
        <v>8</v>
      </c>
      <c r="C94" s="6">
        <f>[1]Results!F1516-[1]Results!F1526</f>
        <v>227810.93570000003</v>
      </c>
      <c r="D94" s="6">
        <f>[1]Results!G1516-[1]Results!G1526</f>
        <v>228863.95989999999</v>
      </c>
      <c r="E94" s="6">
        <f>[1]Results!H1516-[1]Results!H1526</f>
        <v>231384.47409999999</v>
      </c>
      <c r="F94" s="6">
        <f>[1]Results!I1516-[1]Results!I1526</f>
        <v>234218.32369999998</v>
      </c>
      <c r="G94" s="6">
        <f>[1]Results!J1516-[1]Results!J1526</f>
        <v>237181.81279999996</v>
      </c>
      <c r="H94" s="6">
        <f>[1]Results!K1516-[1]Results!K1526</f>
        <v>240254.94400000002</v>
      </c>
      <c r="I94" s="6">
        <f>[1]Results!L1516-[1]Results!L1526</f>
        <v>243200.69079999998</v>
      </c>
      <c r="J94" s="6">
        <f>[1]Results!M1516-[1]Results!M1526</f>
        <v>246058.22820000001</v>
      </c>
      <c r="K94" s="6">
        <f>[1]Results!N1516-[1]Results!N1526</f>
        <v>248874.75409999999</v>
      </c>
      <c r="L94" s="6">
        <f>[1]Results!O1516-[1]Results!O1526</f>
        <v>251727.33339999997</v>
      </c>
      <c r="M94" s="6">
        <f>[1]Results!P1516-[1]Results!P1526</f>
        <v>255272.21290000001</v>
      </c>
      <c r="N94" s="6">
        <f>[1]Results!Q1516-[1]Results!Q1526</f>
        <v>258291.32500000001</v>
      </c>
      <c r="O94" s="6">
        <f>[1]Results!R1516-[1]Results!R1526</f>
        <v>261504.74609999996</v>
      </c>
      <c r="P94" s="6">
        <f>[1]Results!S1516-[1]Results!S1526</f>
        <v>264813.32629999996</v>
      </c>
      <c r="Q94" s="6">
        <f>[1]Results!T1516-[1]Results!T1526</f>
        <v>268143.96149999998</v>
      </c>
      <c r="R94" s="6">
        <f>[1]Results!U1516-[1]Results!U1526</f>
        <v>271471.15710000001</v>
      </c>
      <c r="S94" s="6">
        <f>[1]Results!V1516-[1]Results!V1526</f>
        <v>274801.21810000006</v>
      </c>
      <c r="T94" s="6">
        <f>[1]Results!W1516-[1]Results!W1526</f>
        <v>278158.1041</v>
      </c>
      <c r="U94" s="6">
        <f>[1]Results!X1516-[1]Results!X1526</f>
        <v>281569.66859999998</v>
      </c>
      <c r="V94" s="6">
        <f>[1]Results!Y1516-[1]Results!Y1526</f>
        <v>285057.30310000002</v>
      </c>
      <c r="W94" s="6">
        <f>[1]Results!Z1516-[1]Results!Z1526</f>
        <v>288201.14549999998</v>
      </c>
      <c r="X94" s="6">
        <f>[1]Results!AA1516-[1]Results!AA1526</f>
        <v>291928.01549999998</v>
      </c>
      <c r="Y94" s="6">
        <f>[1]Results!AB1516-[1]Results!AB1526</f>
        <v>295704.80570000003</v>
      </c>
      <c r="Z94" s="6">
        <f>[1]Results!AC1516-[1]Results!AC1526</f>
        <v>299538.13370000001</v>
      </c>
      <c r="AA94" s="6">
        <f>[1]Results!AD1516-[1]Results!AD1526</f>
        <v>303435.6237</v>
      </c>
      <c r="AB94" s="6">
        <f>[1]Results!AE1516-[1]Results!AE1526</f>
        <v>306111.2769</v>
      </c>
      <c r="AC94" s="6">
        <f>[1]Results!AF1516-[1]Results!AF1526</f>
        <v>309816.57610000001</v>
      </c>
      <c r="AD94" s="6">
        <f>[1]Results!AG1516-[1]Results!AG1526</f>
        <v>313542.50219999999</v>
      </c>
      <c r="AE94" s="6">
        <f>[1]Results!AH1516-[1]Results!AH1526</f>
        <v>317315.77280000004</v>
      </c>
      <c r="AF94" s="6">
        <f>[1]Results!AI1516-[1]Results!AI1526</f>
        <v>321169.36109999998</v>
      </c>
      <c r="AG94" s="6">
        <f>[1]Results!AJ1516-[1]Results!AJ1526</f>
        <v>325103.41800000001</v>
      </c>
      <c r="AH94" s="6">
        <f>[1]Results!AK1516-[1]Results!AK1526</f>
        <v>329104.28350000002</v>
      </c>
      <c r="AI94" s="6">
        <f>[1]Results!AL1516-[1]Results!AL1526</f>
        <v>333158.21960000001</v>
      </c>
      <c r="AJ94" s="6">
        <f>[1]Results!AM1516-[1]Results!AM1526</f>
        <v>337258.30900000001</v>
      </c>
      <c r="AK94" s="6">
        <f>[1]Results!AN1516-[1]Results!AN1526</f>
        <v>341405.6251</v>
      </c>
      <c r="AL94" s="6">
        <f>[1]Results!AO1516-[1]Results!AO1526</f>
        <v>345606.32390000008</v>
      </c>
    </row>
    <row r="95" spans="1:38" x14ac:dyDescent="0.3">
      <c r="B95" t="s">
        <v>24</v>
      </c>
      <c r="C95" s="6">
        <f>[1]Results!F1536</f>
        <v>3886.8471530000002</v>
      </c>
      <c r="D95" s="6">
        <f>[1]Results!G1536</f>
        <v>4081.94506</v>
      </c>
      <c r="E95" s="6">
        <f>[1]Results!H1536</f>
        <v>4162.0760499999997</v>
      </c>
      <c r="F95" s="6">
        <f>[1]Results!I1536</f>
        <v>4243.0255729999999</v>
      </c>
      <c r="G95" s="6">
        <f>[1]Results!J1536</f>
        <v>4328.7872939999997</v>
      </c>
      <c r="H95" s="6">
        <f>[1]Results!K1536</f>
        <v>4416.3300909999998</v>
      </c>
      <c r="I95" s="6">
        <f>[1]Results!L1536</f>
        <v>4583.5624090000001</v>
      </c>
      <c r="J95" s="6">
        <f>[1]Results!M1536</f>
        <v>4641.1713970000001</v>
      </c>
      <c r="K95" s="6">
        <f>[1]Results!N1536</f>
        <v>4715.6634450000001</v>
      </c>
      <c r="L95" s="6">
        <f>[1]Results!O1536</f>
        <v>4789.4933559999999</v>
      </c>
      <c r="M95" s="6">
        <f>[1]Results!P1536</f>
        <v>4867.4667520000003</v>
      </c>
      <c r="N95" s="6">
        <f>[1]Results!Q1536</f>
        <v>4924.7774319999999</v>
      </c>
      <c r="O95" s="6">
        <f>[1]Results!R1536</f>
        <v>4985.2534699999997</v>
      </c>
      <c r="P95" s="6">
        <f>[1]Results!S1536</f>
        <v>5046.599655</v>
      </c>
      <c r="Q95" s="6">
        <f>[1]Results!T1536</f>
        <v>5108.2800980000002</v>
      </c>
      <c r="R95" s="6">
        <f>[1]Results!U1536</f>
        <v>5169.6646419999997</v>
      </c>
      <c r="S95" s="6">
        <f>[1]Results!V1536</f>
        <v>5230.4272220000003</v>
      </c>
      <c r="T95" s="6">
        <f>[1]Results!W1536</f>
        <v>5290.4274420000002</v>
      </c>
      <c r="U95" s="6">
        <f>[1]Results!X1536</f>
        <v>5349.78557</v>
      </c>
      <c r="V95" s="6">
        <f>[1]Results!Y1536</f>
        <v>5408.8633229999996</v>
      </c>
      <c r="W95" s="6">
        <f>[1]Results!Z1536</f>
        <v>5460.1895729999997</v>
      </c>
      <c r="X95" s="6">
        <f>[1]Results!AA1536</f>
        <v>5523.8765110000004</v>
      </c>
      <c r="Y95" s="6">
        <f>[1]Results!AB1536</f>
        <v>5584.610651</v>
      </c>
      <c r="Z95" s="6">
        <f>[1]Results!AC1536</f>
        <v>5645.4119680000003</v>
      </c>
      <c r="AA95" s="6">
        <f>[1]Results!AD1536</f>
        <v>5707.2490079999998</v>
      </c>
      <c r="AB95" s="6">
        <f>[1]Results!AE1536</f>
        <v>5746.038423</v>
      </c>
      <c r="AC95" s="6">
        <f>[1]Results!AF1536</f>
        <v>5811.38</v>
      </c>
      <c r="AD95" s="6">
        <f>[1]Results!AG1536</f>
        <v>5870.1011470000003</v>
      </c>
      <c r="AE95" s="6">
        <f>[1]Results!AH1536</f>
        <v>5926.2439629999999</v>
      </c>
      <c r="AF95" s="6">
        <f>[1]Results!AI1536</f>
        <v>5981.9211230000001</v>
      </c>
      <c r="AG95" s="6">
        <f>[1]Results!AJ1536</f>
        <v>6038.1708349999999</v>
      </c>
      <c r="AH95" s="6">
        <f>[1]Results!AK1536</f>
        <v>6095.4662179999996</v>
      </c>
      <c r="AI95" s="6">
        <f>[1]Results!AL1536</f>
        <v>6153.9028390000003</v>
      </c>
      <c r="AJ95" s="6">
        <f>[1]Results!AM1536</f>
        <v>6213.2935900000002</v>
      </c>
      <c r="AK95" s="6">
        <f>[1]Results!AN1536</f>
        <v>6273.3859439999997</v>
      </c>
      <c r="AL95" s="6">
        <f>[1]Results!AO1536</f>
        <v>6333.9964010000003</v>
      </c>
    </row>
    <row r="96" spans="1:38" x14ac:dyDescent="0.3">
      <c r="B96" t="s">
        <v>10</v>
      </c>
      <c r="C96" s="6">
        <f>[1]Results!F1533</f>
        <v>1522054.7109999999</v>
      </c>
      <c r="D96" s="6">
        <f>[1]Results!G1533</f>
        <v>1534222.62</v>
      </c>
      <c r="E96" s="6">
        <f>[1]Results!H1533</f>
        <v>1553098.8189999999</v>
      </c>
      <c r="F96" s="6">
        <f>[1]Results!I1533</f>
        <v>1577444.1950000001</v>
      </c>
      <c r="G96" s="6">
        <f>[1]Results!J1533</f>
        <v>1603452.29</v>
      </c>
      <c r="H96" s="6">
        <f>[1]Results!K1533</f>
        <v>1629814.139</v>
      </c>
      <c r="I96" s="6">
        <f>[1]Results!L1533</f>
        <v>1660001.4920000001</v>
      </c>
      <c r="J96" s="6">
        <f>[1]Results!M1533</f>
        <v>1685177.92</v>
      </c>
      <c r="K96" s="6">
        <f>[1]Results!N1533</f>
        <v>1708868.835</v>
      </c>
      <c r="L96" s="6">
        <f>[1]Results!O1533</f>
        <v>1732931.6780000001</v>
      </c>
      <c r="M96" s="6">
        <f>[1]Results!P1533</f>
        <v>1756078.308</v>
      </c>
      <c r="N96" s="6">
        <f>[1]Results!Q1533</f>
        <v>1786973.9350000001</v>
      </c>
      <c r="O96" s="6">
        <f>[1]Results!R1533</f>
        <v>1817575.5160000001</v>
      </c>
      <c r="P96" s="6">
        <f>[1]Results!S1533</f>
        <v>1848482.45</v>
      </c>
      <c r="Q96" s="6">
        <f>[1]Results!T1533</f>
        <v>1879599.5160000001</v>
      </c>
      <c r="R96" s="6">
        <f>[1]Results!U1533</f>
        <v>1910854.6</v>
      </c>
      <c r="S96" s="6">
        <f>[1]Results!V1533</f>
        <v>1942313.1810000001</v>
      </c>
      <c r="T96" s="6">
        <f>[1]Results!W1533</f>
        <v>1974134.487</v>
      </c>
      <c r="U96" s="6">
        <f>[1]Results!X1533</f>
        <v>2006481.004</v>
      </c>
      <c r="V96" s="6">
        <f>[1]Results!Y1533</f>
        <v>2039447.317</v>
      </c>
      <c r="W96" s="6">
        <f>[1]Results!Z1533</f>
        <v>2074384.7949999999</v>
      </c>
      <c r="X96" s="6">
        <f>[1]Results!AA1533</f>
        <v>2106230.571</v>
      </c>
      <c r="Y96" s="6">
        <f>[1]Results!AB1533</f>
        <v>2139972.52</v>
      </c>
      <c r="Z96" s="6">
        <f>[1]Results!AC1533</f>
        <v>2174684.9169999999</v>
      </c>
      <c r="AA96" s="6">
        <f>[1]Results!AD1533</f>
        <v>2210000.6770000001</v>
      </c>
      <c r="AB96" s="6">
        <f>[1]Results!AE1533</f>
        <v>2248841.7680000002</v>
      </c>
      <c r="AC96" s="6">
        <f>[1]Results!AF1533</f>
        <v>2280482.4350000001</v>
      </c>
      <c r="AD96" s="6">
        <f>[1]Results!AG1533</f>
        <v>2313480.7379999999</v>
      </c>
      <c r="AE96" s="6">
        <f>[1]Results!AH1533</f>
        <v>2347401.1060000001</v>
      </c>
      <c r="AF96" s="6">
        <f>[1]Results!AI1533</f>
        <v>2382152.0860000001</v>
      </c>
      <c r="AG96" s="6">
        <f>[1]Results!AJ1533</f>
        <v>2417586.5359999998</v>
      </c>
      <c r="AH96" s="6">
        <f>[1]Results!AK1533</f>
        <v>2453536.3020000001</v>
      </c>
      <c r="AI96" s="6">
        <f>[1]Results!AL1533</f>
        <v>2489886.4270000001</v>
      </c>
      <c r="AJ96" s="6">
        <f>[1]Results!AM1533</f>
        <v>2526611.1540000001</v>
      </c>
      <c r="AK96" s="6">
        <f>[1]Results!AN1533</f>
        <v>2563762.8139999998</v>
      </c>
      <c r="AL96" s="6">
        <f>[1]Results!AO1533</f>
        <v>2601430.5260000001</v>
      </c>
    </row>
    <row r="97" spans="1:38" x14ac:dyDescent="0.3">
      <c r="B97" t="s">
        <v>9</v>
      </c>
      <c r="C97" s="6">
        <f>[1]Results!F1528</f>
        <v>52107.03355</v>
      </c>
      <c r="D97" s="6">
        <f>[1]Results!G1528</f>
        <v>52135.159119999997</v>
      </c>
      <c r="E97" s="6">
        <f>[1]Results!H1528</f>
        <v>52439.811889999997</v>
      </c>
      <c r="F97" s="6">
        <f>[1]Results!I1528</f>
        <v>52908.136059999997</v>
      </c>
      <c r="G97" s="6">
        <f>[1]Results!J1528</f>
        <v>53465.843930000003</v>
      </c>
      <c r="H97" s="6">
        <f>[1]Results!K1528</f>
        <v>54078.464829999997</v>
      </c>
      <c r="I97" s="6">
        <f>[1]Results!L1528</f>
        <v>54748.937469999997</v>
      </c>
      <c r="J97" s="6">
        <f>[1]Results!M1528</f>
        <v>55374.964870000003</v>
      </c>
      <c r="K97" s="6">
        <f>[1]Results!N1528</f>
        <v>55987.1898</v>
      </c>
      <c r="L97" s="6">
        <f>[1]Results!O1528</f>
        <v>56616.495210000001</v>
      </c>
      <c r="M97" s="6">
        <f>[1]Results!P1528</f>
        <v>57312.917719999998</v>
      </c>
      <c r="N97" s="6">
        <f>[1]Results!Q1528</f>
        <v>58066.280890000002</v>
      </c>
      <c r="O97" s="6">
        <f>[1]Results!R1528</f>
        <v>58848.399230000003</v>
      </c>
      <c r="P97" s="6">
        <f>[1]Results!S1528</f>
        <v>59650.103109999996</v>
      </c>
      <c r="Q97" s="6">
        <f>[1]Results!T1528</f>
        <v>60463.260249999999</v>
      </c>
      <c r="R97" s="6">
        <f>[1]Results!U1528</f>
        <v>61283.545389999999</v>
      </c>
      <c r="S97" s="6">
        <f>[1]Results!V1528</f>
        <v>62111.316409999999</v>
      </c>
      <c r="T97" s="6">
        <f>[1]Results!W1528</f>
        <v>62950.096109999999</v>
      </c>
      <c r="U97" s="6">
        <f>[1]Results!X1528</f>
        <v>63804.124170000003</v>
      </c>
      <c r="V97" s="6">
        <f>[1]Results!Y1528</f>
        <v>64676.343860000001</v>
      </c>
      <c r="W97" s="6">
        <f>[1]Results!Z1528</f>
        <v>65541.945619999999</v>
      </c>
      <c r="X97" s="6">
        <f>[1]Results!AA1528</f>
        <v>66426.687590000001</v>
      </c>
      <c r="Y97" s="6">
        <f>[1]Results!AB1528</f>
        <v>67339.882509999996</v>
      </c>
      <c r="Z97" s="6">
        <f>[1]Results!AC1528</f>
        <v>68275.300560000003</v>
      </c>
      <c r="AA97" s="6">
        <f>[1]Results!AD1528</f>
        <v>69227.484280000004</v>
      </c>
      <c r="AB97" s="6">
        <f>[1]Results!AE1528</f>
        <v>70107.239849999998</v>
      </c>
      <c r="AC97" s="6">
        <f>[1]Results!AF1528</f>
        <v>70987.341839999994</v>
      </c>
      <c r="AD97" s="6">
        <f>[1]Results!AG1528</f>
        <v>71882.355970000004</v>
      </c>
      <c r="AE97" s="6">
        <f>[1]Results!AH1528</f>
        <v>72797.633830000006</v>
      </c>
      <c r="AF97" s="6">
        <f>[1]Results!AI1528</f>
        <v>73734.125079999998</v>
      </c>
      <c r="AG97" s="6">
        <f>[1]Results!AJ1528</f>
        <v>74689.601880000002</v>
      </c>
      <c r="AH97" s="6">
        <f>[1]Results!AK1528</f>
        <v>75660.51195</v>
      </c>
      <c r="AI97" s="6">
        <f>[1]Results!AL1528</f>
        <v>76643.993520000004</v>
      </c>
      <c r="AJ97" s="6">
        <f>[1]Results!AM1528</f>
        <v>77638.996750000006</v>
      </c>
      <c r="AK97" s="6">
        <f>[1]Results!AN1528</f>
        <v>78646.297130000006</v>
      </c>
      <c r="AL97" s="6">
        <f>[1]Results!AO1528</f>
        <v>79667.70117</v>
      </c>
    </row>
    <row r="99" spans="1:3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</row>
    <row r="100" spans="1:38" x14ac:dyDescent="0.3">
      <c r="A100" t="s">
        <v>54</v>
      </c>
      <c r="B100" t="s">
        <v>22</v>
      </c>
      <c r="C100" s="4">
        <f>(R90-R81)/R81</f>
        <v>-3.5390622539291602E-3</v>
      </c>
      <c r="D100" s="10">
        <f>(AB90-AB81)/AB81</f>
        <v>-2.0962275258963061E-3</v>
      </c>
      <c r="E100" s="10">
        <f>(AL90-AL81)/AL81</f>
        <v>-3.1626762847152389E-3</v>
      </c>
    </row>
    <row r="101" spans="1:38" x14ac:dyDescent="0.3">
      <c r="B101" t="s">
        <v>7</v>
      </c>
      <c r="C101" s="4">
        <f t="shared" ref="C101:C107" si="6">(R91-R82)/R82</f>
        <v>2.972046426131469E-3</v>
      </c>
      <c r="D101" s="4">
        <f t="shared" ref="D101:D107" si="7">(AB91-AB82)/AB82</f>
        <v>1.1744037739836609E-3</v>
      </c>
      <c r="E101" s="4">
        <f t="shared" ref="E101:E107" si="8">(AL91-AL82)/AL82</f>
        <v>1.1811711679109692E-3</v>
      </c>
      <c r="Q101" s="5"/>
      <c r="U101" s="5"/>
      <c r="V101" s="5"/>
      <c r="Y101" s="5"/>
      <c r="Z101" s="5"/>
      <c r="AA101" s="5"/>
    </row>
    <row r="102" spans="1:38" x14ac:dyDescent="0.3">
      <c r="B102" t="s">
        <v>96</v>
      </c>
      <c r="C102" s="4">
        <f t="shared" si="6"/>
        <v>-9.4990527523080377E-4</v>
      </c>
      <c r="D102" s="4">
        <f t="shared" si="7"/>
        <v>2.3150971391934652E-3</v>
      </c>
      <c r="E102" s="4">
        <f t="shared" si="8"/>
        <v>4.9124638477398999E-4</v>
      </c>
      <c r="Q102" s="5"/>
      <c r="U102" s="5"/>
      <c r="V102" s="5"/>
      <c r="Y102" s="5"/>
      <c r="Z102" s="5"/>
      <c r="AA102" s="5"/>
    </row>
    <row r="103" spans="1:38" x14ac:dyDescent="0.3">
      <c r="B103" t="s">
        <v>11</v>
      </c>
      <c r="C103" s="4">
        <f t="shared" si="6"/>
        <v>-0.36231580037200917</v>
      </c>
      <c r="D103" s="4">
        <f t="shared" si="7"/>
        <v>-0.32189505534604906</v>
      </c>
      <c r="E103" s="4">
        <f t="shared" si="8"/>
        <v>-0.33279606730562461</v>
      </c>
      <c r="Q103" s="5"/>
      <c r="U103" s="5"/>
      <c r="V103" s="5"/>
      <c r="Y103" s="5"/>
      <c r="Z103" s="5"/>
      <c r="AA103" s="5"/>
    </row>
    <row r="104" spans="1:38" x14ac:dyDescent="0.3">
      <c r="B104" t="s">
        <v>8</v>
      </c>
      <c r="C104" s="4">
        <f t="shared" si="6"/>
        <v>-2.087729659062571E-3</v>
      </c>
      <c r="D104" s="4">
        <f t="shared" si="7"/>
        <v>-2.322373975089367E-4</v>
      </c>
      <c r="E104" s="4">
        <f t="shared" si="8"/>
        <v>1.3654710497270869E-4</v>
      </c>
      <c r="Q104" s="5"/>
      <c r="U104" s="5"/>
      <c r="V104" s="5"/>
      <c r="Y104" s="5"/>
      <c r="Z104" s="5"/>
      <c r="AA104" s="5"/>
    </row>
    <row r="105" spans="1:38" x14ac:dyDescent="0.3">
      <c r="B105" t="s">
        <v>24</v>
      </c>
      <c r="C105" s="4">
        <f t="shared" si="6"/>
        <v>2.2833839771801943E-3</v>
      </c>
      <c r="D105" s="4">
        <f t="shared" si="7"/>
        <v>6.4237011806279384E-3</v>
      </c>
      <c r="E105" s="4">
        <f t="shared" si="8"/>
        <v>8.925559812337662E-3</v>
      </c>
      <c r="Q105" s="5"/>
      <c r="U105" s="5"/>
      <c r="V105" s="5"/>
      <c r="Y105" s="5"/>
      <c r="Z105" s="5"/>
      <c r="AA105" s="5"/>
    </row>
    <row r="106" spans="1:38" x14ac:dyDescent="0.3">
      <c r="B106" t="s">
        <v>10</v>
      </c>
      <c r="C106" s="4">
        <f t="shared" si="6"/>
        <v>-7.5491102207612037E-4</v>
      </c>
      <c r="D106" s="4">
        <f t="shared" si="7"/>
        <v>6.0198610214364331E-5</v>
      </c>
      <c r="E106" s="4">
        <f t="shared" si="8"/>
        <v>-1.0817143591868366E-3</v>
      </c>
      <c r="Q106" s="5"/>
      <c r="U106" s="5"/>
      <c r="V106" s="5"/>
      <c r="Y106" s="5"/>
      <c r="Z106" s="5"/>
      <c r="AA106" s="5"/>
    </row>
    <row r="107" spans="1:38" x14ac:dyDescent="0.3">
      <c r="B107" t="s">
        <v>9</v>
      </c>
      <c r="C107" s="4">
        <f t="shared" si="6"/>
        <v>-3.3596615461583702E-3</v>
      </c>
      <c r="D107" s="4">
        <f t="shared" si="7"/>
        <v>-1.2840656262296931E-3</v>
      </c>
      <c r="E107" s="4">
        <f t="shared" si="8"/>
        <v>-1.4430155134847722E-3</v>
      </c>
      <c r="Q107" s="5"/>
      <c r="U107" s="5"/>
      <c r="V107" s="5"/>
      <c r="Y107" s="5"/>
      <c r="Z107" s="5"/>
      <c r="AA107" s="5"/>
    </row>
    <row r="108" spans="1:38" x14ac:dyDescent="0.3">
      <c r="Q108" s="5"/>
      <c r="U108" s="5"/>
      <c r="V108" s="5"/>
      <c r="Y108" s="5"/>
      <c r="Z108" s="5"/>
      <c r="AA108" s="5"/>
    </row>
    <row r="109" spans="1:3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Q109" s="5"/>
      <c r="U109" s="5"/>
      <c r="V109" s="5"/>
      <c r="Y109" s="5"/>
      <c r="Z109" s="5"/>
      <c r="AA109" s="5"/>
    </row>
    <row r="110" spans="1:38" x14ac:dyDescent="0.3">
      <c r="A110" t="s">
        <v>97</v>
      </c>
      <c r="B110" t="s">
        <v>22</v>
      </c>
      <c r="C110" s="4">
        <f>C100</f>
        <v>-3.5390622539291602E-3</v>
      </c>
      <c r="D110" s="10">
        <f t="shared" ref="D110:E110" si="9">D100</f>
        <v>-2.0962275258963061E-3</v>
      </c>
      <c r="E110" s="10">
        <f t="shared" si="9"/>
        <v>-3.1626762847152389E-3</v>
      </c>
      <c r="G110" s="6">
        <f>R81</f>
        <v>2453180.3560000001</v>
      </c>
      <c r="H110" s="6">
        <f>AB81</f>
        <v>2853790.8820000002</v>
      </c>
      <c r="I110" s="6">
        <f>AL81</f>
        <v>3294894.28</v>
      </c>
      <c r="Q110" s="5"/>
      <c r="U110" s="5"/>
      <c r="V110" s="5"/>
      <c r="Y110" s="5"/>
      <c r="Z110" s="5"/>
      <c r="AA110" s="5"/>
    </row>
    <row r="111" spans="1:38" x14ac:dyDescent="0.3">
      <c r="B111" t="s">
        <v>7</v>
      </c>
      <c r="C111" s="4">
        <f>C101*G111/G$110</f>
        <v>4.5565985283799727E-5</v>
      </c>
      <c r="D111" s="4">
        <f t="shared" ref="D111:E111" si="10">D101*H111/H$110</f>
        <v>1.5979905986677899E-5</v>
      </c>
      <c r="E111" s="4">
        <f t="shared" si="10"/>
        <v>1.4396662220069805E-5</v>
      </c>
      <c r="G111" s="6">
        <f>R82</f>
        <v>37610.980439999999</v>
      </c>
      <c r="H111" s="6">
        <f>AB82</f>
        <v>38831.03155</v>
      </c>
      <c r="I111" s="6">
        <f>AL82</f>
        <v>40159.700210000003</v>
      </c>
      <c r="Q111" s="5"/>
      <c r="U111" s="5"/>
      <c r="V111" s="5"/>
      <c r="Y111" s="5"/>
      <c r="Z111" s="5"/>
      <c r="AA111" s="5"/>
    </row>
    <row r="112" spans="1:38" x14ac:dyDescent="0.3">
      <c r="B112" t="s">
        <v>96</v>
      </c>
      <c r="C112" s="4">
        <f t="shared" ref="C112:E112" si="11">C102*G112/G$110</f>
        <v>-5.6838177290550025E-5</v>
      </c>
      <c r="D112" s="4">
        <f t="shared" si="11"/>
        <v>1.3322412738720361E-4</v>
      </c>
      <c r="E112" s="4">
        <f t="shared" si="11"/>
        <v>2.9166186175785646E-5</v>
      </c>
      <c r="G112" s="6">
        <f t="shared" ref="G112:G117" si="12">R83</f>
        <v>146787.58360000001</v>
      </c>
      <c r="H112" s="6">
        <f t="shared" ref="H112:H117" si="13">AB83</f>
        <v>164223.69219999999</v>
      </c>
      <c r="I112" s="6">
        <f t="shared" ref="I112:I117" si="14">AL83</f>
        <v>195623.8315</v>
      </c>
      <c r="Q112" s="5"/>
      <c r="U112" s="5"/>
      <c r="V112" s="5"/>
      <c r="Y112" s="5"/>
      <c r="Z112" s="5"/>
      <c r="AA112" s="5"/>
    </row>
    <row r="113" spans="1:38" x14ac:dyDescent="0.3">
      <c r="B113" t="s">
        <v>11</v>
      </c>
      <c r="C113" s="4">
        <f t="shared" ref="C113:E113" si="15">C103*G113/G$110</f>
        <v>-2.628399405787513E-3</v>
      </c>
      <c r="D113" s="4">
        <f t="shared" si="15"/>
        <v>-2.249215764366578E-3</v>
      </c>
      <c r="E113" s="4">
        <f t="shared" si="15"/>
        <v>-2.3476501133748062E-3</v>
      </c>
      <c r="G113" s="6">
        <f t="shared" si="12"/>
        <v>17796.457630000001</v>
      </c>
      <c r="H113" s="6">
        <f t="shared" si="13"/>
        <v>19940.633860000002</v>
      </c>
      <c r="I113" s="6">
        <f t="shared" si="14"/>
        <v>23243.2402</v>
      </c>
      <c r="Q113" s="5"/>
      <c r="U113" s="5"/>
      <c r="V113" s="5"/>
      <c r="Y113" s="5"/>
      <c r="Z113" s="5"/>
      <c r="AA113" s="5"/>
    </row>
    <row r="114" spans="1:38" x14ac:dyDescent="0.3">
      <c r="B114" t="s">
        <v>8</v>
      </c>
      <c r="C114" s="4">
        <f t="shared" ref="C114:E114" si="16">C104*G114/G$110</f>
        <v>-2.3151338979658951E-4</v>
      </c>
      <c r="D114" s="4">
        <f t="shared" si="16"/>
        <v>-2.4916682034594207E-5</v>
      </c>
      <c r="E114" s="4">
        <f t="shared" si="16"/>
        <v>1.4320671921528974E-5</v>
      </c>
      <c r="G114" s="6">
        <f t="shared" si="12"/>
        <v>272039.10119999998</v>
      </c>
      <c r="H114" s="6">
        <f t="shared" si="13"/>
        <v>306182.38390000002</v>
      </c>
      <c r="I114" s="6">
        <f t="shared" si="14"/>
        <v>345559.13880000007</v>
      </c>
      <c r="Q114" s="5"/>
      <c r="U114" s="5"/>
      <c r="V114" s="5"/>
      <c r="Y114" s="5"/>
      <c r="Z114" s="5"/>
      <c r="AA114" s="5"/>
    </row>
    <row r="115" spans="1:38" x14ac:dyDescent="0.3">
      <c r="B115" t="s">
        <v>24</v>
      </c>
      <c r="C115" s="4">
        <f t="shared" ref="C115:E115" si="17">C105*G115/G$110</f>
        <v>4.8008850923636437E-6</v>
      </c>
      <c r="D115" s="4">
        <f t="shared" si="17"/>
        <v>1.2851412215003244E-5</v>
      </c>
      <c r="E115" s="4">
        <f t="shared" si="17"/>
        <v>1.7006410900686004E-5</v>
      </c>
      <c r="G115" s="6">
        <f t="shared" si="12"/>
        <v>5157.887205</v>
      </c>
      <c r="H115" s="6">
        <f t="shared" si="13"/>
        <v>5709.3631800000003</v>
      </c>
      <c r="I115" s="6">
        <f t="shared" si="14"/>
        <v>6277.9620750000004</v>
      </c>
      <c r="Q115" s="5"/>
      <c r="U115" s="5"/>
      <c r="V115" s="5"/>
      <c r="Y115" s="5"/>
      <c r="Z115" s="5"/>
      <c r="AA115" s="5"/>
    </row>
    <row r="116" spans="1:38" x14ac:dyDescent="0.3">
      <c r="B116" t="s">
        <v>10</v>
      </c>
      <c r="C116" s="4">
        <f t="shared" ref="C116:E116" si="18">C106*G116/G$110</f>
        <v>-5.8846672095233044E-4</v>
      </c>
      <c r="D116" s="4">
        <f t="shared" si="18"/>
        <v>4.7434800094770168E-5</v>
      </c>
      <c r="E116" s="4">
        <f t="shared" si="18"/>
        <v>-8.5497492805752231E-4</v>
      </c>
      <c r="G116" s="6">
        <f t="shared" si="12"/>
        <v>1912298.2150000001</v>
      </c>
      <c r="H116" s="6">
        <f t="shared" si="13"/>
        <v>2248706.3990000002</v>
      </c>
      <c r="I116" s="6">
        <f t="shared" si="14"/>
        <v>2604247.5780000002</v>
      </c>
      <c r="Q116" s="5"/>
      <c r="U116" s="5"/>
      <c r="V116" s="5"/>
      <c r="Y116" s="5"/>
      <c r="Z116" s="5"/>
      <c r="AA116" s="5"/>
    </row>
    <row r="117" spans="1:38" x14ac:dyDescent="0.3">
      <c r="B117" t="s">
        <v>9</v>
      </c>
      <c r="C117" s="4">
        <f t="shared" ref="C117:E117" si="19">C107*G117/G$110</f>
        <v>-8.4211513228014189E-5</v>
      </c>
      <c r="D117" s="4">
        <f t="shared" si="19"/>
        <v>-3.1585369680918781E-5</v>
      </c>
      <c r="E117" s="4">
        <f t="shared" si="19"/>
        <v>-3.4941291045002284E-5</v>
      </c>
      <c r="G117" s="6">
        <f t="shared" si="12"/>
        <v>61490.131419999998</v>
      </c>
      <c r="H117" s="6">
        <f t="shared" si="13"/>
        <v>70197.377890000003</v>
      </c>
      <c r="I117" s="6">
        <f t="shared" si="14"/>
        <v>79782.829029999994</v>
      </c>
      <c r="Q117" s="5"/>
      <c r="U117" s="5"/>
      <c r="V117" s="5"/>
      <c r="Y117" s="5"/>
      <c r="Z117" s="5"/>
      <c r="AA117" s="5"/>
    </row>
    <row r="118" spans="1:38" x14ac:dyDescent="0.3">
      <c r="Q118" s="5"/>
      <c r="U118" s="5"/>
      <c r="V118" s="5"/>
      <c r="Y118" s="5"/>
      <c r="Z118" s="5"/>
      <c r="AA118" s="5"/>
    </row>
    <row r="119" spans="1:3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</row>
    <row r="120" spans="1:38" x14ac:dyDescent="0.3">
      <c r="A120" t="s">
        <v>55</v>
      </c>
      <c r="B120" t="s">
        <v>7</v>
      </c>
      <c r="C120" s="4">
        <f t="shared" ref="C120:C126" si="20">R91/R$90-R82/R$81</f>
        <v>1.0017972660928548E-4</v>
      </c>
      <c r="D120" s="4">
        <f t="shared" ref="D120:D126" si="21">AB91/AB$90-AB82/AB$81</f>
        <v>4.45963901205184E-5</v>
      </c>
      <c r="E120" s="4">
        <f t="shared" ref="E120:E126" si="22">AL91/AL$90-AL82/AL$81</f>
        <v>5.311280677302091E-5</v>
      </c>
    </row>
    <row r="121" spans="1:38" x14ac:dyDescent="0.3">
      <c r="B121" t="s">
        <v>96</v>
      </c>
      <c r="C121" s="4">
        <f t="shared" si="20"/>
        <v>1.5547406239871386E-4</v>
      </c>
      <c r="D121" s="4">
        <f t="shared" si="21"/>
        <v>2.5438647873398529E-4</v>
      </c>
      <c r="E121" s="4">
        <f t="shared" si="22"/>
        <v>2.1762828402113049E-4</v>
      </c>
    </row>
    <row r="122" spans="1:38" x14ac:dyDescent="0.3">
      <c r="B122" t="s">
        <v>11</v>
      </c>
      <c r="C122" s="4">
        <f t="shared" si="20"/>
        <v>-2.611969401891184E-3</v>
      </c>
      <c r="D122" s="4">
        <f t="shared" si="21"/>
        <v>-2.2392625472101631E-3</v>
      </c>
      <c r="E122" s="4">
        <f t="shared" si="22"/>
        <v>-2.332717210688005E-3</v>
      </c>
    </row>
    <row r="123" spans="1:38" x14ac:dyDescent="0.3">
      <c r="B123" t="s">
        <v>8</v>
      </c>
      <c r="C123" s="4">
        <f t="shared" si="20"/>
        <v>1.6151338653885849E-4</v>
      </c>
      <c r="D123" s="4">
        <f t="shared" si="21"/>
        <v>2.0040705110599411E-4</v>
      </c>
      <c r="E123" s="4">
        <f t="shared" si="22"/>
        <v>3.4711096311987322E-4</v>
      </c>
    </row>
    <row r="124" spans="1:38" x14ac:dyDescent="0.3">
      <c r="B124" t="s">
        <v>24</v>
      </c>
      <c r="C124" s="4">
        <f t="shared" si="20"/>
        <v>1.2285351032264788E-5</v>
      </c>
      <c r="D124" s="4">
        <f t="shared" si="21"/>
        <v>1.7080981413992655E-5</v>
      </c>
      <c r="E124" s="4">
        <f t="shared" si="22"/>
        <v>2.3105525300421478E-5</v>
      </c>
    </row>
    <row r="125" spans="1:38" x14ac:dyDescent="0.3">
      <c r="B125" t="s">
        <v>10</v>
      </c>
      <c r="C125" s="4">
        <f t="shared" si="20"/>
        <v>2.1780040581407256E-3</v>
      </c>
      <c r="D125" s="4">
        <f t="shared" si="21"/>
        <v>1.7027721255921113E-3</v>
      </c>
      <c r="E125" s="4">
        <f t="shared" si="22"/>
        <v>1.6499874016546734E-3</v>
      </c>
    </row>
    <row r="126" spans="1:38" x14ac:dyDescent="0.3">
      <c r="B126" t="s">
        <v>9</v>
      </c>
      <c r="C126" s="4">
        <f t="shared" si="20"/>
        <v>4.5127348443710358E-6</v>
      </c>
      <c r="D126" s="4">
        <f t="shared" si="21"/>
        <v>2.0019475338708959E-5</v>
      </c>
      <c r="E126" s="4">
        <f t="shared" si="22"/>
        <v>4.1772112726910088E-5</v>
      </c>
    </row>
    <row r="128" spans="1:3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</row>
    <row r="129" spans="1:38" x14ac:dyDescent="0.3">
      <c r="A129" t="s">
        <v>26</v>
      </c>
      <c r="B129" t="s">
        <v>22</v>
      </c>
      <c r="C129" s="6">
        <f>[1]Production!B3</f>
        <v>3873329.017</v>
      </c>
      <c r="D129" s="6">
        <f>[1]Production!C3</f>
        <v>3918643.1320000002</v>
      </c>
      <c r="E129" s="6">
        <f>[1]Production!D3</f>
        <v>3977077.2820000001</v>
      </c>
      <c r="F129" s="6">
        <f>[1]Production!E3</f>
        <v>4040043.517</v>
      </c>
      <c r="G129" s="6">
        <f>[1]Production!F3</f>
        <v>4103361.9539999999</v>
      </c>
      <c r="H129" s="6">
        <f>[1]Production!G3</f>
        <v>4166758.3689999999</v>
      </c>
      <c r="I129" s="6">
        <f>[1]Production!H3</f>
        <v>4226387.7419999996</v>
      </c>
      <c r="J129" s="6">
        <f>[1]Production!I3</f>
        <v>4287608.3169999998</v>
      </c>
      <c r="K129" s="6">
        <f>[1]Production!J3</f>
        <v>4350392.318</v>
      </c>
      <c r="L129" s="6">
        <f>[1]Production!K3</f>
        <v>4415032.9309999999</v>
      </c>
      <c r="M129" s="6">
        <f>[1]Production!L3</f>
        <v>4487395.09</v>
      </c>
      <c r="N129" s="6">
        <f>[1]Production!M3</f>
        <v>4556136.966</v>
      </c>
      <c r="O129" s="6">
        <f>[1]Production!N3</f>
        <v>4625907.7819999997</v>
      </c>
      <c r="P129" s="6">
        <f>[1]Production!O3</f>
        <v>4695761.8119999999</v>
      </c>
      <c r="Q129" s="6">
        <f>[1]Production!P3</f>
        <v>4765518.8969999999</v>
      </c>
      <c r="R129" s="6">
        <f>[1]Production!Q3</f>
        <v>4835551.7680000002</v>
      </c>
      <c r="S129" s="6">
        <f>[1]Production!R3</f>
        <v>4906441.8530000001</v>
      </c>
      <c r="T129" s="6">
        <f>[1]Production!S3</f>
        <v>4978705.4800000004</v>
      </c>
      <c r="U129" s="6">
        <f>[1]Production!T3</f>
        <v>5052652.7529999996</v>
      </c>
      <c r="V129" s="6">
        <f>[1]Production!U3</f>
        <v>5128372.9479999999</v>
      </c>
      <c r="W129" s="6">
        <f>[1]Production!V3</f>
        <v>5200836.0480000004</v>
      </c>
      <c r="X129" s="6">
        <f>[1]Production!W3</f>
        <v>5279256.6869999999</v>
      </c>
      <c r="Y129" s="6">
        <f>[1]Production!X3</f>
        <v>5359600.96</v>
      </c>
      <c r="Z129" s="6">
        <f>[1]Production!Y3</f>
        <v>5441585.0880000005</v>
      </c>
      <c r="AA129" s="6">
        <f>[1]Production!Z3</f>
        <v>5525108.1540000001</v>
      </c>
      <c r="AB129" s="6">
        <f>[1]Production!AA3</f>
        <v>5594065.2949999999</v>
      </c>
      <c r="AC129" s="6">
        <f>[1]Production!AB3</f>
        <v>5673663.4550000001</v>
      </c>
      <c r="AD129" s="6">
        <f>[1]Production!AC3</f>
        <v>5754241.4699999997</v>
      </c>
      <c r="AE129" s="6">
        <f>[1]Production!AD3</f>
        <v>5835986.2719999999</v>
      </c>
      <c r="AF129" s="6">
        <f>[1]Production!AE3</f>
        <v>5919103.858</v>
      </c>
      <c r="AG129" s="6">
        <f>[1]Production!AF3</f>
        <v>6003471.9730000002</v>
      </c>
      <c r="AH129" s="6">
        <f>[1]Production!AG3</f>
        <v>6088818.1710000001</v>
      </c>
      <c r="AI129" s="6">
        <f>[1]Production!AH3</f>
        <v>6174926.5039999997</v>
      </c>
      <c r="AJ129" s="6">
        <f>[1]Production!AI3</f>
        <v>6261746.3200000003</v>
      </c>
      <c r="AK129" s="6">
        <f>[1]Production!AJ3</f>
        <v>6349389.642</v>
      </c>
      <c r="AL129" s="6">
        <f>[1]Production!AK3</f>
        <v>6438051.3389999997</v>
      </c>
    </row>
    <row r="130" spans="1:38" x14ac:dyDescent="0.3">
      <c r="B130" t="s">
        <v>7</v>
      </c>
      <c r="C130" s="6">
        <f>[1]Production!B5+[1]Production!B7</f>
        <v>88490.939669999992</v>
      </c>
      <c r="D130" s="6">
        <f>[1]Production!C5+[1]Production!C7</f>
        <v>87813.142267000003</v>
      </c>
      <c r="E130" s="6">
        <f>[1]Production!D5+[1]Production!D7</f>
        <v>87332.374746999994</v>
      </c>
      <c r="F130" s="6">
        <f>[1]Production!E5+[1]Production!E7</f>
        <v>87177.533486999993</v>
      </c>
      <c r="G130" s="6">
        <f>[1]Production!F5+[1]Production!F7</f>
        <v>87375.674576000005</v>
      </c>
      <c r="H130" s="6">
        <f>[1]Production!G5+[1]Production!G7</f>
        <v>87886.941710999992</v>
      </c>
      <c r="I130" s="6">
        <f>[1]Production!H5+[1]Production!H7</f>
        <v>88581.296621999994</v>
      </c>
      <c r="J130" s="6">
        <f>[1]Production!I5+[1]Production!I7</f>
        <v>89402.509473999991</v>
      </c>
      <c r="K130" s="6">
        <f>[1]Production!J5+[1]Production!J7</f>
        <v>90276.737473999994</v>
      </c>
      <c r="L130" s="6">
        <f>[1]Production!K5+[1]Production!K7</f>
        <v>91143.300953999991</v>
      </c>
      <c r="M130" s="6">
        <f>[1]Production!L5+[1]Production!L7</f>
        <v>92050.594736999992</v>
      </c>
      <c r="N130" s="6">
        <f>[1]Production!M5+[1]Production!M7</f>
        <v>92828.337228999997</v>
      </c>
      <c r="O130" s="6">
        <f>[1]Production!N5+[1]Production!N7</f>
        <v>93497.276104000004</v>
      </c>
      <c r="P130" s="6">
        <f>[1]Production!O5+[1]Production!O7</f>
        <v>94055.405753999992</v>
      </c>
      <c r="Q130" s="6">
        <f>[1]Production!P5+[1]Production!P7</f>
        <v>94511.958402999997</v>
      </c>
      <c r="R130" s="6">
        <f>[1]Production!Q5+[1]Production!Q7</f>
        <v>94885.516222999999</v>
      </c>
      <c r="S130" s="6">
        <f>[1]Production!R5+[1]Production!R7</f>
        <v>95199.569608999998</v>
      </c>
      <c r="T130" s="6">
        <f>[1]Production!S5+[1]Production!S7</f>
        <v>95478.120077999993</v>
      </c>
      <c r="U130" s="6">
        <f>[1]Production!T5+[1]Production!T7</f>
        <v>95742.427330999999</v>
      </c>
      <c r="V130" s="6">
        <f>[1]Production!U5+[1]Production!U7</f>
        <v>96009.220996999997</v>
      </c>
      <c r="W130" s="6">
        <f>[1]Production!V5+[1]Production!V7</f>
        <v>96222.328287000011</v>
      </c>
      <c r="X130" s="6">
        <f>[1]Production!W5+[1]Production!W7</f>
        <v>96496.210707999999</v>
      </c>
      <c r="Y130" s="6">
        <f>[1]Production!X5+[1]Production!X7</f>
        <v>96805.466369000002</v>
      </c>
      <c r="Z130" s="6">
        <f>[1]Production!Y5+[1]Production!Y7</f>
        <v>97149.232422000001</v>
      </c>
      <c r="AA130" s="6">
        <f>[1]Production!Z5+[1]Production!Z7</f>
        <v>97524.591920999999</v>
      </c>
      <c r="AB130" s="6">
        <f>[1]Production!AA5+[1]Production!AA7</f>
        <v>97732.782529000004</v>
      </c>
      <c r="AC130" s="6">
        <f>[1]Production!AB5+[1]Production!AB7</f>
        <v>97992.895579999997</v>
      </c>
      <c r="AD130" s="6">
        <f>[1]Production!AC5+[1]Production!AC7</f>
        <v>98263.505389999991</v>
      </c>
      <c r="AE130" s="6">
        <f>[1]Production!AD5+[1]Production!AD7</f>
        <v>98547.374511000002</v>
      </c>
      <c r="AF130" s="6">
        <f>[1]Production!AE5+[1]Production!AE7</f>
        <v>98846.259586</v>
      </c>
      <c r="AG130" s="6">
        <f>[1]Production!AF5+[1]Production!AF7</f>
        <v>99159.108303999994</v>
      </c>
      <c r="AH130" s="6">
        <f>[1]Production!AG5+[1]Production!AG7</f>
        <v>99482.853575000001</v>
      </c>
      <c r="AI130" s="6">
        <f>[1]Production!AH5+[1]Production!AH7</f>
        <v>99813.740350999986</v>
      </c>
      <c r="AJ130" s="6">
        <f>[1]Production!AI5+[1]Production!AI7</f>
        <v>100148.385003</v>
      </c>
      <c r="AK130" s="6">
        <f>[1]Production!AJ5+[1]Production!AJ7</f>
        <v>100484.293294</v>
      </c>
      <c r="AL130" s="6">
        <f>[1]Production!AK5+[1]Production!AK7</f>
        <v>100819.847001</v>
      </c>
    </row>
    <row r="131" spans="1:38" x14ac:dyDescent="0.3">
      <c r="B131" t="s">
        <v>96</v>
      </c>
      <c r="C131" s="6">
        <f>[1]Production!B27</f>
        <v>271995.40830000001</v>
      </c>
      <c r="D131" s="6">
        <f>[1]Production!C27</f>
        <v>290680.13809999998</v>
      </c>
      <c r="E131" s="6">
        <f>[1]Production!D27</f>
        <v>309340.4276</v>
      </c>
      <c r="F131" s="6">
        <f>[1]Production!E27</f>
        <v>320823.81069999997</v>
      </c>
      <c r="G131" s="6">
        <f>[1]Production!F27</f>
        <v>327616.47659999999</v>
      </c>
      <c r="H131" s="6">
        <f>[1]Production!G27</f>
        <v>332280.9901</v>
      </c>
      <c r="I131" s="6">
        <f>[1]Production!H27</f>
        <v>330553.54229999997</v>
      </c>
      <c r="J131" s="6">
        <f>[1]Production!I27</f>
        <v>332175.92499999999</v>
      </c>
      <c r="K131" s="6">
        <f>[1]Production!J27</f>
        <v>335316.18670000002</v>
      </c>
      <c r="L131" s="6">
        <f>[1]Production!K27</f>
        <v>339245.27960000001</v>
      </c>
      <c r="M131" s="6">
        <f>[1]Production!L27</f>
        <v>351942.8175</v>
      </c>
      <c r="N131" s="6">
        <f>[1]Production!M27</f>
        <v>351899.6532</v>
      </c>
      <c r="O131" s="6">
        <f>[1]Production!N27</f>
        <v>354848.38040000002</v>
      </c>
      <c r="P131" s="6">
        <f>[1]Production!O27</f>
        <v>359102.18560000003</v>
      </c>
      <c r="Q131" s="6">
        <f>[1]Production!P27</f>
        <v>363934.32789999997</v>
      </c>
      <c r="R131" s="6">
        <f>[1]Production!Q27</f>
        <v>369079.7732</v>
      </c>
      <c r="S131" s="6">
        <f>[1]Production!R27</f>
        <v>374471.27490000002</v>
      </c>
      <c r="T131" s="6">
        <f>[1]Production!S27</f>
        <v>380108.81910000002</v>
      </c>
      <c r="U131" s="6">
        <f>[1]Production!T27</f>
        <v>385998.7525</v>
      </c>
      <c r="V131" s="6">
        <f>[1]Production!U27</f>
        <v>392132.29440000001</v>
      </c>
      <c r="W131" s="6">
        <f>[1]Production!V27</f>
        <v>392562.03710000002</v>
      </c>
      <c r="X131" s="6">
        <f>[1]Production!W27</f>
        <v>402251.0123</v>
      </c>
      <c r="Y131" s="6">
        <f>[1]Production!X27</f>
        <v>410480.8553</v>
      </c>
      <c r="Z131" s="6">
        <f>[1]Production!Y27</f>
        <v>417996.77340000001</v>
      </c>
      <c r="AA131" s="6">
        <f>[1]Production!Z27</f>
        <v>425249.6188</v>
      </c>
      <c r="AB131" s="6">
        <f>[1]Production!AA27</f>
        <v>415095.79810000001</v>
      </c>
      <c r="AC131" s="6">
        <f>[1]Production!AB27</f>
        <v>424481.37589999998</v>
      </c>
      <c r="AD131" s="6">
        <f>[1]Production!AC27</f>
        <v>432847.15289999999</v>
      </c>
      <c r="AE131" s="6">
        <f>[1]Production!AD27</f>
        <v>440598.6654</v>
      </c>
      <c r="AF131" s="6">
        <f>[1]Production!AE27</f>
        <v>448079.82189999998</v>
      </c>
      <c r="AG131" s="6">
        <f>[1]Production!AF27</f>
        <v>455456.1654</v>
      </c>
      <c r="AH131" s="6">
        <f>[1]Production!AG27</f>
        <v>462786.65059999999</v>
      </c>
      <c r="AI131" s="6">
        <f>[1]Production!AH27</f>
        <v>470089.95850000001</v>
      </c>
      <c r="AJ131" s="6">
        <f>[1]Production!AI27</f>
        <v>477382.3749</v>
      </c>
      <c r="AK131" s="6">
        <f>[1]Production!AJ27</f>
        <v>484690.4987</v>
      </c>
      <c r="AL131" s="6">
        <f>[1]Production!AK27</f>
        <v>492047.56040000002</v>
      </c>
    </row>
    <row r="132" spans="1:3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44598.856542229994</v>
      </c>
      <c r="D132" s="6">
        <f>[1]Production!C51+[1]Production!C53+[1]Production!C55+[1]Production!C57+[1]Production!C59+[1]Production!C61+[1]Production!C63+[1]Production!C65+[1]Production!C67</f>
        <v>44902.001562700003</v>
      </c>
      <c r="E132" s="6">
        <f>[1]Production!D51+[1]Production!D53+[1]Production!D55+[1]Production!D57+[1]Production!D59+[1]Production!D61+[1]Production!D63+[1]Production!D65+[1]Production!D67</f>
        <v>45216.095266609998</v>
      </c>
      <c r="F132" s="6">
        <f>[1]Production!E51+[1]Production!E53+[1]Production!E55+[1]Production!E57+[1]Production!E59+[1]Production!E61+[1]Production!E63+[1]Production!E65+[1]Production!E67</f>
        <v>45664.140385289997</v>
      </c>
      <c r="G132" s="6">
        <f>[1]Production!F51+[1]Production!F53+[1]Production!F55+[1]Production!F57+[1]Production!F59+[1]Production!F61+[1]Production!F63+[1]Production!F65+[1]Production!F67</f>
        <v>46287.746903910011</v>
      </c>
      <c r="H132" s="6">
        <f>[1]Production!G51+[1]Production!G53+[1]Production!G55+[1]Production!G57+[1]Production!G59+[1]Production!G61+[1]Production!G63+[1]Production!G65+[1]Production!G67</f>
        <v>47094.266201719998</v>
      </c>
      <c r="I132" s="6">
        <f>[1]Production!H51+[1]Production!H53+[1]Production!H55+[1]Production!H57+[1]Production!H59+[1]Production!H61+[1]Production!H63+[1]Production!H65+[1]Production!H67</f>
        <v>48040.689229120006</v>
      </c>
      <c r="J132" s="6">
        <f>[1]Production!I51+[1]Production!I53+[1]Production!I55+[1]Production!I57+[1]Production!I59+[1]Production!I61+[1]Production!I63+[1]Production!I65+[1]Production!I67</f>
        <v>49109.633411559997</v>
      </c>
      <c r="K132" s="6">
        <f>[1]Production!J51+[1]Production!J53+[1]Production!J55+[1]Production!J57+[1]Production!J59+[1]Production!J61+[1]Production!J63+[1]Production!J65+[1]Production!J67</f>
        <v>50259.762401889988</v>
      </c>
      <c r="L132" s="6">
        <f>[1]Production!K51+[1]Production!K53+[1]Production!K55+[1]Production!K57+[1]Production!K59+[1]Production!K61+[1]Production!K63+[1]Production!K65+[1]Production!K67</f>
        <v>51443.998215619999</v>
      </c>
      <c r="M132" s="6">
        <f>[1]Production!L51+[1]Production!L53+[1]Production!L55+[1]Production!L57+[1]Production!L59+[1]Production!L61+[1]Production!L63+[1]Production!L65+[1]Production!L67</f>
        <v>52649.103205389998</v>
      </c>
      <c r="N132" s="6">
        <f>[1]Production!M51+[1]Production!M53+[1]Production!M55+[1]Production!M57+[1]Production!M59+[1]Production!M61+[1]Production!M63+[1]Production!M65+[1]Production!M67</f>
        <v>53796.956925419996</v>
      </c>
      <c r="O132" s="6">
        <f>[1]Production!N51+[1]Production!N53+[1]Production!N55+[1]Production!N57+[1]Production!N59+[1]Production!N61+[1]Production!N63+[1]Production!N65+[1]Production!N67</f>
        <v>54876.644005959999</v>
      </c>
      <c r="P132" s="6">
        <f>[1]Production!O51+[1]Production!O53+[1]Production!O55+[1]Production!O57+[1]Production!O59+[1]Production!O61+[1]Production!O63+[1]Production!O65+[1]Production!O67</f>
        <v>55874.236227469999</v>
      </c>
      <c r="Q132" s="6">
        <f>[1]Production!P51+[1]Production!P53+[1]Production!P55+[1]Production!P57+[1]Production!P59+[1]Production!P61+[1]Production!P63+[1]Production!P65+[1]Production!P67</f>
        <v>56773.098736270011</v>
      </c>
      <c r="R132" s="6">
        <f>[1]Production!Q51+[1]Production!Q53+[1]Production!Q55+[1]Production!Q57+[1]Production!Q59+[1]Production!Q61+[1]Production!Q63+[1]Production!Q65+[1]Production!Q67</f>
        <v>57563.216125560008</v>
      </c>
      <c r="S132" s="6">
        <f>[1]Production!R51+[1]Production!R53+[1]Production!R55+[1]Production!R57+[1]Production!R59+[1]Production!R61+[1]Production!R63+[1]Production!R65+[1]Production!R67</f>
        <v>58251.59232738</v>
      </c>
      <c r="T132" s="6">
        <f>[1]Production!S51+[1]Production!S53+[1]Production!S55+[1]Production!S57+[1]Production!S59+[1]Production!S61+[1]Production!S63+[1]Production!S65+[1]Production!S67</f>
        <v>58860.753738369996</v>
      </c>
      <c r="U132" s="6">
        <f>[1]Production!T51+[1]Production!T53+[1]Production!T55+[1]Production!T57+[1]Production!T59+[1]Production!T61+[1]Production!T63+[1]Production!T65+[1]Production!T67</f>
        <v>59424.539973120009</v>
      </c>
      <c r="V132" s="6">
        <f>[1]Production!U51+[1]Production!U53+[1]Production!U55+[1]Production!U57+[1]Production!U59+[1]Production!U61+[1]Production!U63+[1]Production!U65+[1]Production!U67</f>
        <v>59981.667692660005</v>
      </c>
      <c r="W132" s="6">
        <f>[1]Production!V51+[1]Production!V53+[1]Production!V55+[1]Production!V57+[1]Production!V59+[1]Production!V61+[1]Production!V63+[1]Production!V65+[1]Production!V67</f>
        <v>60541.431703530005</v>
      </c>
      <c r="X132" s="6">
        <f>[1]Production!W51+[1]Production!W53+[1]Production!W55+[1]Production!W57+[1]Production!W59+[1]Production!W61+[1]Production!W63+[1]Production!W65+[1]Production!W67</f>
        <v>61163.132068580009</v>
      </c>
      <c r="Y132" s="6">
        <f>[1]Production!X51+[1]Production!X53+[1]Production!X55+[1]Production!X57+[1]Production!X59+[1]Production!X61+[1]Production!X63+[1]Production!X65+[1]Production!X67</f>
        <v>61856.140575569989</v>
      </c>
      <c r="Z132" s="6">
        <f>[1]Production!Y51+[1]Production!Y53+[1]Production!Y55+[1]Production!Y57+[1]Production!Y59+[1]Production!Y61+[1]Production!Y63+[1]Production!Y65+[1]Production!Y67</f>
        <v>62628.40264819</v>
      </c>
      <c r="AA132" s="6">
        <f>[1]Production!Z51+[1]Production!Z53+[1]Production!Z55+[1]Production!Z57+[1]Production!Z59+[1]Production!Z61+[1]Production!Z63+[1]Production!Z65+[1]Production!Z67</f>
        <v>63485.135736449985</v>
      </c>
      <c r="AB132" s="6">
        <f>[1]Production!AA51+[1]Production!AA53+[1]Production!AA55+[1]Production!AA57+[1]Production!AA59+[1]Production!AA61+[1]Production!AA63+[1]Production!AA65+[1]Production!AA67</f>
        <v>64339.886503940004</v>
      </c>
      <c r="AC132" s="6">
        <f>[1]Production!AB51+[1]Production!AB53+[1]Production!AB55+[1]Production!AB57+[1]Production!AB59+[1]Production!AB61+[1]Production!AB63+[1]Production!AB65+[1]Production!AB67</f>
        <v>65276.987269879988</v>
      </c>
      <c r="AD132" s="6">
        <f>[1]Production!AC51+[1]Production!AC53+[1]Production!AC55+[1]Production!AC57+[1]Production!AC59+[1]Production!AC61+[1]Production!AC63+[1]Production!AC65+[1]Production!AC67</f>
        <v>66258.984399289999</v>
      </c>
      <c r="AE132" s="6">
        <f>[1]Production!AD51+[1]Production!AD53+[1]Production!AD55+[1]Production!AD57+[1]Production!AD59+[1]Production!AD61+[1]Production!AD63+[1]Production!AD65+[1]Production!AD67</f>
        <v>67264.103048610021</v>
      </c>
      <c r="AF132" s="6">
        <f>[1]Production!AE51+[1]Production!AE53+[1]Production!AE55+[1]Production!AE57+[1]Production!AE59+[1]Production!AE61+[1]Production!AE63+[1]Production!AE65+[1]Production!AE67</f>
        <v>68283.705987070003</v>
      </c>
      <c r="AG132" s="6">
        <f>[1]Production!AF51+[1]Production!AF53+[1]Production!AF55+[1]Production!AF57+[1]Production!AF59+[1]Production!AF61+[1]Production!AF63+[1]Production!AF65+[1]Production!AF67</f>
        <v>69315.985882039997</v>
      </c>
      <c r="AH132" s="6">
        <f>[1]Production!AG51+[1]Production!AG53+[1]Production!AG55+[1]Production!AG57+[1]Production!AG59+[1]Production!AG61+[1]Production!AG63+[1]Production!AG65+[1]Production!AG67</f>
        <v>70360.488448379998</v>
      </c>
      <c r="AI132" s="6">
        <f>[1]Production!AH51+[1]Production!AH53+[1]Production!AH55+[1]Production!AH57+[1]Production!AH59+[1]Production!AH61+[1]Production!AH63+[1]Production!AH65+[1]Production!AH67</f>
        <v>71414.640762819996</v>
      </c>
      <c r="AJ132" s="6">
        <f>[1]Production!AI51+[1]Production!AI53+[1]Production!AI55+[1]Production!AI57+[1]Production!AI59+[1]Production!AI61+[1]Production!AI63+[1]Production!AI65+[1]Production!AI67</f>
        <v>72472.792488749998</v>
      </c>
      <c r="AK132" s="6">
        <f>[1]Production!AJ51+[1]Production!AJ53+[1]Production!AJ55+[1]Production!AJ57+[1]Production!AJ59+[1]Production!AJ61+[1]Production!AJ63+[1]Production!AJ65+[1]Production!AJ67</f>
        <v>73527.492971509986</v>
      </c>
      <c r="AL132" s="6">
        <f>[1]Production!AK51+[1]Production!AK53+[1]Production!AK55+[1]Production!AK57+[1]Production!AK59+[1]Production!AK61+[1]Production!AK63+[1]Production!AK65+[1]Production!AK67</f>
        <v>74569.918986670004</v>
      </c>
    </row>
    <row r="133" spans="1:3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709651.716915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714191.95434599998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721611.11648099998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730266.94158700004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739560.95045499993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749329.34470099991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758521.17184800003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768087.83524300007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777960.77401099994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788047.56705700001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799772.09374599997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810070.33213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820275.01142000011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830384.46022999997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840349.36884999997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850209.93235000002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860060.39069000003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870003.95227000001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880123.64920999995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890471.71851999999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899947.28500000015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910786.02943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921980.32686999999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933428.07946999988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945133.08100000001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953749.65538000001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964549.59419000009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975756.60715000005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987194.70173999993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998875.60831000004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1010788.54157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1022895.6472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1035156.5753099999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1047546.8454200001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1060063.02559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1072716.7051899999</v>
      </c>
    </row>
    <row r="134" spans="1:38" x14ac:dyDescent="0.3">
      <c r="B134" t="s">
        <v>24</v>
      </c>
      <c r="C134" s="6">
        <f>[1]Production!B43+[1]Production!B47+[1]Production!B45+[1]Production!B49</f>
        <v>68313.307545700009</v>
      </c>
      <c r="D134" s="6">
        <f>[1]Production!C43+[1]Production!C47+[1]Production!C45+[1]Production!C49</f>
        <v>69926.342151200006</v>
      </c>
      <c r="E134" s="6">
        <f>[1]Production!D43+[1]Production!D47+[1]Production!D45+[1]Production!D49</f>
        <v>71279.296754699986</v>
      </c>
      <c r="F134" s="6">
        <f>[1]Production!E43+[1]Production!E47+[1]Production!E45+[1]Production!E49</f>
        <v>72529.976859799994</v>
      </c>
      <c r="G134" s="6">
        <f>[1]Production!F43+[1]Production!F47+[1]Production!F45+[1]Production!F49</f>
        <v>73747.38530129999</v>
      </c>
      <c r="H134" s="6">
        <f>[1]Production!G43+[1]Production!G47+[1]Production!G45+[1]Production!G49</f>
        <v>74961.795198899999</v>
      </c>
      <c r="I134" s="6">
        <f>[1]Production!H43+[1]Production!H47+[1]Production!H45+[1]Production!H49</f>
        <v>76127.219780200001</v>
      </c>
      <c r="J134" s="6">
        <f>[1]Production!I43+[1]Production!I47+[1]Production!I45+[1]Production!I49</f>
        <v>77290.470644899993</v>
      </c>
      <c r="K134" s="6">
        <f>[1]Production!J43+[1]Production!J47+[1]Production!J45+[1]Production!J49</f>
        <v>78445.764281099997</v>
      </c>
      <c r="L134" s="6">
        <f>[1]Production!K43+[1]Production!K47+[1]Production!K45+[1]Production!K49</f>
        <v>79584.676122899997</v>
      </c>
      <c r="M134" s="6">
        <f>[1]Production!L43+[1]Production!L47+[1]Production!L45+[1]Production!L49</f>
        <v>80781.789876699986</v>
      </c>
      <c r="N134" s="6">
        <f>[1]Production!M43+[1]Production!M47+[1]Production!M45+[1]Production!M49</f>
        <v>81893.122031399995</v>
      </c>
      <c r="O134" s="6">
        <f>[1]Production!N43+[1]Production!N47+[1]Production!N45+[1]Production!N49</f>
        <v>82988.394667800007</v>
      </c>
      <c r="P134" s="6">
        <f>[1]Production!O43+[1]Production!O47+[1]Production!O45+[1]Production!O49</f>
        <v>84073.323469099996</v>
      </c>
      <c r="Q134" s="6">
        <f>[1]Production!P43+[1]Production!P47+[1]Production!P45+[1]Production!P49</f>
        <v>85142.786307999995</v>
      </c>
      <c r="R134" s="6">
        <f>[1]Production!Q43+[1]Production!Q47+[1]Production!Q45+[1]Production!Q49</f>
        <v>86189.856497100001</v>
      </c>
      <c r="S134" s="6">
        <f>[1]Production!R43+[1]Production!R47+[1]Production!R45+[1]Production!R49</f>
        <v>87210.253408499993</v>
      </c>
      <c r="T134" s="6">
        <f>[1]Production!S43+[1]Production!S47+[1]Production!S45+[1]Production!S49</f>
        <v>88204.014348900004</v>
      </c>
      <c r="U134" s="6">
        <f>[1]Production!T43+[1]Production!T47+[1]Production!T45+[1]Production!T49</f>
        <v>89175.295648300002</v>
      </c>
      <c r="V134" s="6">
        <f>[1]Production!U43+[1]Production!U47+[1]Production!U45+[1]Production!U49</f>
        <v>90130.8567587</v>
      </c>
      <c r="W134" s="6">
        <f>[1]Production!V43+[1]Production!V47+[1]Production!V45+[1]Production!V49</f>
        <v>91018.194639599998</v>
      </c>
      <c r="X134" s="6">
        <f>[1]Production!W43+[1]Production!W47+[1]Production!W45+[1]Production!W49</f>
        <v>91952.12126819999</v>
      </c>
      <c r="Y134" s="6">
        <f>[1]Production!X43+[1]Production!X47+[1]Production!X45+[1]Production!X49</f>
        <v>92891.067557100003</v>
      </c>
      <c r="Z134" s="6">
        <f>[1]Production!Y43+[1]Production!Y47+[1]Production!Y45+[1]Production!Y49</f>
        <v>93833.735811599996</v>
      </c>
      <c r="AA134" s="6">
        <f>[1]Production!Z43+[1]Production!Z47+[1]Production!Z45+[1]Production!Z49</f>
        <v>94783.320864100009</v>
      </c>
      <c r="AB134" s="6">
        <f>[1]Production!AA43+[1]Production!AA47+[1]Production!AA45+[1]Production!AA49</f>
        <v>95561.225321700011</v>
      </c>
      <c r="AC134" s="6">
        <f>[1]Production!AB43+[1]Production!AB47+[1]Production!AB45+[1]Production!AB49</f>
        <v>96423.949478199997</v>
      </c>
      <c r="AD134" s="6">
        <f>[1]Production!AC43+[1]Production!AC47+[1]Production!AC45+[1]Production!AC49</f>
        <v>97290.603996299993</v>
      </c>
      <c r="AE134" s="6">
        <f>[1]Production!AD43+[1]Production!AD47+[1]Production!AD45+[1]Production!AD49</f>
        <v>98150.772467400006</v>
      </c>
      <c r="AF134" s="6">
        <f>[1]Production!AE43+[1]Production!AE47+[1]Production!AE45+[1]Production!AE49</f>
        <v>99006.6714832</v>
      </c>
      <c r="AG134" s="6">
        <f>[1]Production!AF43+[1]Production!AF47+[1]Production!AF45+[1]Production!AF49</f>
        <v>99863.702460700006</v>
      </c>
      <c r="AH134" s="6">
        <f>[1]Production!AG43+[1]Production!AG47+[1]Production!AG45+[1]Production!AG49</f>
        <v>100726.31669219998</v>
      </c>
      <c r="AI134" s="6">
        <f>[1]Production!AH43+[1]Production!AH47+[1]Production!AH45+[1]Production!AH49</f>
        <v>101596.29863450001</v>
      </c>
      <c r="AJ134" s="6">
        <f>[1]Production!AI43+[1]Production!AI47+[1]Production!AI45+[1]Production!AI49</f>
        <v>102472.66382599999</v>
      </c>
      <c r="AK134" s="6">
        <f>[1]Production!AJ43+[1]Production!AJ47+[1]Production!AJ45+[1]Production!AJ49</f>
        <v>103352.6573678</v>
      </c>
      <c r="AL134" s="6">
        <f>[1]Production!AK43+[1]Production!AK47+[1]Production!AK45+[1]Production!AK49</f>
        <v>104233.01148280001</v>
      </c>
    </row>
    <row r="135" spans="1:38" x14ac:dyDescent="0.3">
      <c r="B135" t="s">
        <v>10</v>
      </c>
      <c r="C135" s="6">
        <f>[1]Production!B37+[1]Production!B39</f>
        <v>2569060.5400999999</v>
      </c>
      <c r="D135" s="6">
        <f>[1]Production!C37+[1]Production!C39</f>
        <v>2589486.3692000001</v>
      </c>
      <c r="E135" s="6">
        <f>[1]Production!D37+[1]Production!D39</f>
        <v>2619781.9734</v>
      </c>
      <c r="F135" s="6">
        <f>[1]Production!E37+[1]Production!E39</f>
        <v>2659826.3901</v>
      </c>
      <c r="G135" s="6">
        <f>[1]Production!F37+[1]Production!F39</f>
        <v>2703559.0410000002</v>
      </c>
      <c r="H135" s="6">
        <f>[1]Production!G37+[1]Production!G39</f>
        <v>2748397.6735</v>
      </c>
      <c r="I135" s="6">
        <f>[1]Production!H37+[1]Production!H39</f>
        <v>2796119.9336000001</v>
      </c>
      <c r="J135" s="6">
        <f>[1]Production!I37+[1]Production!I39</f>
        <v>2841432.9567</v>
      </c>
      <c r="K135" s="6">
        <f>[1]Production!J37+[1]Production!J39</f>
        <v>2886318.3829000001</v>
      </c>
      <c r="L135" s="6">
        <f>[1]Production!K37+[1]Production!K39</f>
        <v>2931994.4190000002</v>
      </c>
      <c r="M135" s="6">
        <f>[1]Production!L37+[1]Production!L39</f>
        <v>2974737.5308999997</v>
      </c>
      <c r="N135" s="6">
        <f>[1]Production!M37+[1]Production!M39</f>
        <v>3028245.4522000002</v>
      </c>
      <c r="O135" s="6">
        <f>[1]Production!N37+[1]Production!N39</f>
        <v>3080074.5860000001</v>
      </c>
      <c r="P135" s="6">
        <f>[1]Production!O37+[1]Production!O39</f>
        <v>3130989.8069000002</v>
      </c>
      <c r="Q135" s="6">
        <f>[1]Production!P37+[1]Production!P39</f>
        <v>3181597.9197</v>
      </c>
      <c r="R135" s="6">
        <f>[1]Production!Q37+[1]Production!Q39</f>
        <v>3232484.1491</v>
      </c>
      <c r="S135" s="6">
        <f>[1]Production!R37+[1]Production!R39</f>
        <v>3284161.8122</v>
      </c>
      <c r="T135" s="6">
        <f>[1]Production!S37+[1]Production!S39</f>
        <v>3336983.6479000002</v>
      </c>
      <c r="U135" s="6">
        <f>[1]Production!T37+[1]Production!T39</f>
        <v>3391101.8120999997</v>
      </c>
      <c r="V135" s="6">
        <f>[1]Production!U37+[1]Production!U39</f>
        <v>3446495.9048000001</v>
      </c>
      <c r="W135" s="6">
        <f>[1]Production!V37+[1]Production!V39</f>
        <v>3505349.2092000004</v>
      </c>
      <c r="X135" s="6">
        <f>[1]Production!W37+[1]Production!W39</f>
        <v>3559315.1716</v>
      </c>
      <c r="Y135" s="6">
        <f>[1]Production!X37+[1]Production!X39</f>
        <v>3616128.5119000003</v>
      </c>
      <c r="Z135" s="6">
        <f>[1]Production!Y37+[1]Production!Y39</f>
        <v>3674864.3004000001</v>
      </c>
      <c r="AA135" s="6">
        <f>[1]Production!Z37+[1]Production!Z39</f>
        <v>3734970.0650999998</v>
      </c>
      <c r="AB135" s="6">
        <f>[1]Production!AA37+[1]Production!AA39</f>
        <v>3801511.3876999998</v>
      </c>
      <c r="AC135" s="6">
        <f>[1]Production!AB37+[1]Production!AB39</f>
        <v>3856736.8983</v>
      </c>
      <c r="AD135" s="6">
        <f>[1]Production!AC37+[1]Production!AC39</f>
        <v>3913454.2920000004</v>
      </c>
      <c r="AE135" s="6">
        <f>[1]Production!AD37+[1]Production!AD39</f>
        <v>3971639.7649999997</v>
      </c>
      <c r="AF135" s="6">
        <f>[1]Production!AE37+[1]Production!AE39</f>
        <v>4031147.477</v>
      </c>
      <c r="AG135" s="6">
        <f>[1]Production!AF37+[1]Production!AF39</f>
        <v>4091703.8790000002</v>
      </c>
      <c r="AH135" s="6">
        <f>[1]Production!AG37+[1]Production!AG39</f>
        <v>4153023.4040000001</v>
      </c>
      <c r="AI135" s="6">
        <f>[1]Production!AH37+[1]Production!AH39</f>
        <v>4214923.8210000005</v>
      </c>
      <c r="AJ135" s="6">
        <f>[1]Production!AI37+[1]Production!AI39</f>
        <v>4277376.1749999998</v>
      </c>
      <c r="AK135" s="6">
        <f>[1]Production!AJ37+[1]Production!AJ39</f>
        <v>4340481.2110000001</v>
      </c>
      <c r="AL135" s="6">
        <f>[1]Production!AK37+[1]Production!AK39</f>
        <v>4404399.1639999999</v>
      </c>
    </row>
    <row r="136" spans="1:38" x14ac:dyDescent="0.3">
      <c r="B136" t="s">
        <v>9</v>
      </c>
      <c r="C136" s="6">
        <f>[1]Production!B29+[1]Production!B31+[1]Production!B33+[1]Production!B35</f>
        <v>121218.24801000001</v>
      </c>
      <c r="D136" s="6">
        <f>[1]Production!C29+[1]Production!C31+[1]Production!C33+[1]Production!C35</f>
        <v>121643.18449000001</v>
      </c>
      <c r="E136" s="6">
        <f>[1]Production!D29+[1]Production!D31+[1]Production!D33+[1]Production!D35</f>
        <v>122515.99816999999</v>
      </c>
      <c r="F136" s="6">
        <f>[1]Production!E29+[1]Production!E31+[1]Production!E33+[1]Production!E35</f>
        <v>123754.72422999999</v>
      </c>
      <c r="G136" s="6">
        <f>[1]Production!F29+[1]Production!F31+[1]Production!F33+[1]Production!F35</f>
        <v>125214.679</v>
      </c>
      <c r="H136" s="6">
        <f>[1]Production!G29+[1]Production!G31+[1]Production!G33+[1]Production!G35</f>
        <v>126807.3567</v>
      </c>
      <c r="I136" s="6">
        <f>[1]Production!H29+[1]Production!H31+[1]Production!H33+[1]Production!H35</f>
        <v>128443.88918</v>
      </c>
      <c r="J136" s="6">
        <f>[1]Production!I29+[1]Production!I31+[1]Production!I33+[1]Production!I35</f>
        <v>130108.98672000002</v>
      </c>
      <c r="K136" s="6">
        <f>[1]Production!J29+[1]Production!J31+[1]Production!J33+[1]Production!J35</f>
        <v>131814.71009000001</v>
      </c>
      <c r="L136" s="6">
        <f>[1]Production!K29+[1]Production!K31+[1]Production!K33+[1]Production!K35</f>
        <v>133573.69010000001</v>
      </c>
      <c r="M136" s="6">
        <f>[1]Production!L29+[1]Production!L31+[1]Production!L33+[1]Production!L35</f>
        <v>135461.16058</v>
      </c>
      <c r="N136" s="6">
        <f>[1]Production!M29+[1]Production!M31+[1]Production!M33+[1]Production!M35</f>
        <v>137403.11267</v>
      </c>
      <c r="O136" s="6">
        <f>[1]Production!N29+[1]Production!N31+[1]Production!N33+[1]Production!N35</f>
        <v>139347.48962000001</v>
      </c>
      <c r="P136" s="6">
        <f>[1]Production!O29+[1]Production!O31+[1]Production!O33+[1]Production!O35</f>
        <v>141282.39407000001</v>
      </c>
      <c r="Q136" s="6">
        <f>[1]Production!P29+[1]Production!P31+[1]Production!P33+[1]Production!P35</f>
        <v>143209.43727000002</v>
      </c>
      <c r="R136" s="6">
        <f>[1]Production!Q29+[1]Production!Q31+[1]Production!Q33+[1]Production!Q35</f>
        <v>145139.3242</v>
      </c>
      <c r="S136" s="6">
        <f>[1]Production!R29+[1]Production!R31+[1]Production!R33+[1]Production!R35</f>
        <v>147086.96043000001</v>
      </c>
      <c r="T136" s="6">
        <f>[1]Production!S29+[1]Production!S31+[1]Production!S33+[1]Production!S35</f>
        <v>149066.17215999999</v>
      </c>
      <c r="U136" s="6">
        <f>[1]Production!T29+[1]Production!T31+[1]Production!T33+[1]Production!T35</f>
        <v>151086.2763</v>
      </c>
      <c r="V136" s="6">
        <f>[1]Production!U29+[1]Production!U31+[1]Production!U33+[1]Production!U35</f>
        <v>153151.28524</v>
      </c>
      <c r="W136" s="6">
        <f>[1]Production!V29+[1]Production!V31+[1]Production!V33+[1]Production!V35</f>
        <v>155195.56258000003</v>
      </c>
      <c r="X136" s="6">
        <f>[1]Production!W29+[1]Production!W31+[1]Production!W33+[1]Production!W35</f>
        <v>157293.00956999999</v>
      </c>
      <c r="Y136" s="6">
        <f>[1]Production!X29+[1]Production!X31+[1]Production!X33+[1]Production!X35</f>
        <v>159458.59145000001</v>
      </c>
      <c r="Z136" s="6">
        <f>[1]Production!Y29+[1]Production!Y31+[1]Production!Y33+[1]Production!Y35</f>
        <v>161684.56406</v>
      </c>
      <c r="AA136" s="6">
        <f>[1]Production!Z29+[1]Production!Z31+[1]Production!Z33+[1]Production!Z35</f>
        <v>163962.34019000002</v>
      </c>
      <c r="AB136" s="6">
        <f>[1]Production!AA29+[1]Production!AA31+[1]Production!AA33+[1]Production!AA35</f>
        <v>166074.55942999999</v>
      </c>
      <c r="AC136" s="6">
        <f>[1]Production!AB29+[1]Production!AB31+[1]Production!AB33+[1]Production!AB35</f>
        <v>168201.75458000001</v>
      </c>
      <c r="AD136" s="6">
        <f>[1]Production!AC29+[1]Production!AC31+[1]Production!AC33+[1]Production!AC35</f>
        <v>170370.32439999998</v>
      </c>
      <c r="AE136" s="6">
        <f>[1]Production!AD29+[1]Production!AD31+[1]Production!AD33+[1]Production!AD35</f>
        <v>172590.88919999998</v>
      </c>
      <c r="AF136" s="6">
        <f>[1]Production!AE29+[1]Production!AE31+[1]Production!AE33+[1]Production!AE35</f>
        <v>174864.31381999998</v>
      </c>
      <c r="AG136" s="6">
        <f>[1]Production!AF29+[1]Production!AF31+[1]Production!AF33+[1]Production!AF35</f>
        <v>177184.59057</v>
      </c>
      <c r="AH136" s="6">
        <f>[1]Production!AG29+[1]Production!AG31+[1]Production!AG33+[1]Production!AG35</f>
        <v>179542.81084000002</v>
      </c>
      <c r="AI136" s="6">
        <f>[1]Production!AH29+[1]Production!AH31+[1]Production!AH33+[1]Production!AH35</f>
        <v>181931.46934000001</v>
      </c>
      <c r="AJ136" s="6">
        <f>[1]Production!AI29+[1]Production!AI31+[1]Production!AI33+[1]Production!AI35</f>
        <v>184347.08303000001</v>
      </c>
      <c r="AK136" s="6">
        <f>[1]Production!AJ29+[1]Production!AJ31+[1]Production!AJ33+[1]Production!AJ35</f>
        <v>186790.46296999999</v>
      </c>
      <c r="AL136" s="6">
        <f>[1]Production!AK29+[1]Production!AK31+[1]Production!AK33+[1]Production!AK35</f>
        <v>189265.13170999999</v>
      </c>
    </row>
    <row r="138" spans="1:3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spans="1:38" x14ac:dyDescent="0.3">
      <c r="C139" s="2"/>
    </row>
    <row r="140" spans="1:3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</row>
    <row r="141" spans="1:38" x14ac:dyDescent="0.3">
      <c r="A141" t="s">
        <v>27</v>
      </c>
      <c r="B141" t="s">
        <v>22</v>
      </c>
      <c r="C141" s="6">
        <f>[1]Production!B2</f>
        <v>3873329.017</v>
      </c>
      <c r="D141" s="6">
        <f>[1]Production!C2</f>
        <v>3918643.1320000002</v>
      </c>
      <c r="E141" s="6">
        <f>[1]Production!D2</f>
        <v>3977077.2820000001</v>
      </c>
      <c r="F141" s="6">
        <f>[1]Production!E2</f>
        <v>4040043.517</v>
      </c>
      <c r="G141" s="6">
        <f>[1]Production!F2</f>
        <v>4103361.9539999999</v>
      </c>
      <c r="H141" s="6">
        <f>[1]Production!G2</f>
        <v>4166758.3689999999</v>
      </c>
      <c r="I141" s="6">
        <f>[1]Production!H2</f>
        <v>4231764.9460000005</v>
      </c>
      <c r="J141" s="6">
        <f>[1]Production!I2</f>
        <v>4290474.0410000002</v>
      </c>
      <c r="K141" s="6">
        <f>[1]Production!J2</f>
        <v>4346497.335</v>
      </c>
      <c r="L141" s="6">
        <f>[1]Production!K2</f>
        <v>4402931.6339999996</v>
      </c>
      <c r="M141" s="6">
        <f>[1]Production!L2</f>
        <v>4468093.47</v>
      </c>
      <c r="N141" s="6">
        <f>[1]Production!M2</f>
        <v>4531918.6339999996</v>
      </c>
      <c r="O141" s="6">
        <f>[1]Production!N2</f>
        <v>4599542.534</v>
      </c>
      <c r="P141" s="6">
        <f>[1]Production!O2</f>
        <v>4669574.0659999996</v>
      </c>
      <c r="Q141" s="6">
        <f>[1]Production!P2</f>
        <v>4740926.3090000004</v>
      </c>
      <c r="R141" s="6">
        <f>[1]Production!Q2</f>
        <v>4813058.8360000001</v>
      </c>
      <c r="S141" s="6">
        <f>[1]Production!R2</f>
        <v>4885960.3849999998</v>
      </c>
      <c r="T141" s="6">
        <f>[1]Production!S2</f>
        <v>4959945.9369999999</v>
      </c>
      <c r="U141" s="6">
        <f>[1]Production!T2</f>
        <v>5035400.3250000002</v>
      </c>
      <c r="V141" s="6">
        <f>[1]Production!U2</f>
        <v>5112577.9160000002</v>
      </c>
      <c r="W141" s="6">
        <f>[1]Production!V2</f>
        <v>5186585.8880000003</v>
      </c>
      <c r="X141" s="6">
        <f>[1]Production!W2</f>
        <v>5266542.784</v>
      </c>
      <c r="Y141" s="6">
        <f>[1]Production!X2</f>
        <v>5348305.0810000002</v>
      </c>
      <c r="Z141" s="6">
        <f>[1]Production!Y2</f>
        <v>5431406.5259999996</v>
      </c>
      <c r="AA141" s="6">
        <f>[1]Production!Z2</f>
        <v>5515588.2580000004</v>
      </c>
      <c r="AB141" s="6">
        <f>[1]Production!AA2</f>
        <v>5584690.9780000001</v>
      </c>
      <c r="AC141" s="6">
        <f>[1]Production!AB2</f>
        <v>5663912.1229999997</v>
      </c>
      <c r="AD141" s="6">
        <f>[1]Production!AC2</f>
        <v>5743734.2649999997</v>
      </c>
      <c r="AE141" s="6">
        <f>[1]Production!AD2</f>
        <v>5824510.7750000004</v>
      </c>
      <c r="AF141" s="6">
        <f>[1]Production!AE2</f>
        <v>5906599.5640000002</v>
      </c>
      <c r="AG141" s="6">
        <f>[1]Production!AF2</f>
        <v>5989986.9589999998</v>
      </c>
      <c r="AH141" s="6">
        <f>[1]Production!AG2</f>
        <v>6074461.9740000004</v>
      </c>
      <c r="AI141" s="6">
        <f>[1]Production!AH2</f>
        <v>6159835.2529999996</v>
      </c>
      <c r="AJ141" s="6">
        <f>[1]Production!AI2</f>
        <v>6246061.1270000003</v>
      </c>
      <c r="AK141" s="6">
        <f>[1]Production!AJ2</f>
        <v>6333250.5559999999</v>
      </c>
      <c r="AL141" s="6">
        <f>[1]Production!AK2</f>
        <v>6421601.0310000004</v>
      </c>
    </row>
    <row r="142" spans="1:38" x14ac:dyDescent="0.3">
      <c r="B142" t="s">
        <v>7</v>
      </c>
      <c r="C142" s="6">
        <f>[1]Production!B4+[1]Production!B6</f>
        <v>88490.939669999992</v>
      </c>
      <c r="D142" s="6">
        <f>[1]Production!C4+[1]Production!C6</f>
        <v>87813.142267000003</v>
      </c>
      <c r="E142" s="6">
        <f>[1]Production!D4+[1]Production!D6</f>
        <v>87332.374746999994</v>
      </c>
      <c r="F142" s="6">
        <f>[1]Production!E4+[1]Production!E6</f>
        <v>87177.533486999993</v>
      </c>
      <c r="G142" s="6">
        <f>[1]Production!F4+[1]Production!F6</f>
        <v>87375.674576000005</v>
      </c>
      <c r="H142" s="6">
        <f>[1]Production!G4+[1]Production!G6</f>
        <v>87886.941710999992</v>
      </c>
      <c r="I142" s="6">
        <f>[1]Production!H4+[1]Production!H6</f>
        <v>88634.709811000008</v>
      </c>
      <c r="J142" s="6">
        <f>[1]Production!I4+[1]Production!I6</f>
        <v>89474.43506399999</v>
      </c>
      <c r="K142" s="6">
        <f>[1]Production!J4+[1]Production!J6</f>
        <v>90346.429871</v>
      </c>
      <c r="L142" s="6">
        <f>[1]Production!K4+[1]Production!K6</f>
        <v>91196.626713999998</v>
      </c>
      <c r="M142" s="6">
        <f>[1]Production!L4+[1]Production!L6</f>
        <v>92081.379348999995</v>
      </c>
      <c r="N142" s="6">
        <f>[1]Production!M4+[1]Production!M6</f>
        <v>92838.005017000003</v>
      </c>
      <c r="O142" s="6">
        <f>[1]Production!N4+[1]Production!N6</f>
        <v>93491.401696999994</v>
      </c>
      <c r="P142" s="6">
        <f>[1]Production!O4+[1]Production!O6</f>
        <v>94040.598861000006</v>
      </c>
      <c r="Q142" s="6">
        <f>[1]Production!P4+[1]Production!P6</f>
        <v>94492.576757999996</v>
      </c>
      <c r="R142" s="6">
        <f>[1]Production!Q4+[1]Production!Q6</f>
        <v>94862.221751999998</v>
      </c>
      <c r="S142" s="6">
        <f>[1]Production!R4+[1]Production!R6</f>
        <v>95170.116573000007</v>
      </c>
      <c r="T142" s="6">
        <f>[1]Production!S4+[1]Production!S6</f>
        <v>95439.281498000011</v>
      </c>
      <c r="U142" s="6">
        <f>[1]Production!T4+[1]Production!T6</f>
        <v>95691.911630000002</v>
      </c>
      <c r="V142" s="6">
        <f>[1]Production!U4+[1]Production!U6</f>
        <v>95946.804128000003</v>
      </c>
      <c r="W142" s="6">
        <f>[1]Production!V4+[1]Production!V6</f>
        <v>96150.089693000002</v>
      </c>
      <c r="X142" s="6">
        <f>[1]Production!W4+[1]Production!W6</f>
        <v>96417.671614000006</v>
      </c>
      <c r="Y142" s="6">
        <f>[1]Production!X4+[1]Production!X6</f>
        <v>96724.67188200001</v>
      </c>
      <c r="Z142" s="6">
        <f>[1]Production!Y4+[1]Production!Y6</f>
        <v>97069.908620000002</v>
      </c>
      <c r="AA142" s="6">
        <f>[1]Production!Z4+[1]Production!Z6</f>
        <v>97449.558829000001</v>
      </c>
      <c r="AB142" s="6">
        <f>[1]Production!AA4+[1]Production!AA6</f>
        <v>97663.911479000002</v>
      </c>
      <c r="AC142" s="6">
        <f>[1]Production!AB4+[1]Production!AB6</f>
        <v>97930.865583999999</v>
      </c>
      <c r="AD142" s="6">
        <f>[1]Production!AC4+[1]Production!AC6</f>
        <v>98208.394669000001</v>
      </c>
      <c r="AE142" s="6">
        <f>[1]Production!AD4+[1]Production!AD6</f>
        <v>98498.894593999998</v>
      </c>
      <c r="AF142" s="6">
        <f>[1]Production!AE4+[1]Production!AE6</f>
        <v>98803.884993999993</v>
      </c>
      <c r="AG142" s="6">
        <f>[1]Production!AF4+[1]Production!AF6</f>
        <v>99122.076467999999</v>
      </c>
      <c r="AH142" s="6">
        <f>[1]Production!AG4+[1]Production!AG6</f>
        <v>99450.130319999997</v>
      </c>
      <c r="AI142" s="6">
        <f>[1]Production!AH4+[1]Production!AH6</f>
        <v>99784.030457999994</v>
      </c>
      <c r="AJ142" s="6">
        <f>[1]Production!AI4+[1]Production!AI6</f>
        <v>100120.189788</v>
      </c>
      <c r="AK142" s="6">
        <f>[1]Production!AJ4+[1]Production!AJ6</f>
        <v>100456.05144800001</v>
      </c>
      <c r="AL142" s="6">
        <f>[1]Production!AK4+[1]Production!AK6</f>
        <v>100790.132205</v>
      </c>
    </row>
    <row r="143" spans="1:38" x14ac:dyDescent="0.3">
      <c r="B143" t="s">
        <v>96</v>
      </c>
      <c r="C143" s="6">
        <f>[1]Production!B26</f>
        <v>271995.40830000001</v>
      </c>
      <c r="D143" s="6">
        <f>[1]Production!C26</f>
        <v>290680.13809999998</v>
      </c>
      <c r="E143" s="6">
        <f>[1]Production!D26</f>
        <v>309340.4276</v>
      </c>
      <c r="F143" s="6">
        <f>[1]Production!E26</f>
        <v>320823.81069999997</v>
      </c>
      <c r="G143" s="6">
        <f>[1]Production!F26</f>
        <v>327616.47659999999</v>
      </c>
      <c r="H143" s="6">
        <f>[1]Production!G26</f>
        <v>332280.9901</v>
      </c>
      <c r="I143" s="6">
        <f>[1]Production!H26</f>
        <v>330873.2329</v>
      </c>
      <c r="J143" s="6">
        <f>[1]Production!I26</f>
        <v>332279.0687</v>
      </c>
      <c r="K143" s="6">
        <f>[1]Production!J26</f>
        <v>334813.09730000002</v>
      </c>
      <c r="L143" s="6">
        <f>[1]Production!K26</f>
        <v>338035.3236</v>
      </c>
      <c r="M143" s="6">
        <f>[1]Production!L26</f>
        <v>350207.40169999999</v>
      </c>
      <c r="N143" s="6">
        <f>[1]Production!M26</f>
        <v>349947.73180000001</v>
      </c>
      <c r="O143" s="6">
        <f>[1]Production!N26</f>
        <v>353009.39919999999</v>
      </c>
      <c r="P143" s="6">
        <f>[1]Production!O26</f>
        <v>357633.0172</v>
      </c>
      <c r="Q143" s="6">
        <f>[1]Production!P26</f>
        <v>362957.59509999998</v>
      </c>
      <c r="R143" s="6">
        <f>[1]Production!Q26</f>
        <v>368589.41389999999</v>
      </c>
      <c r="S143" s="6">
        <f>[1]Production!R26</f>
        <v>374380.58669999999</v>
      </c>
      <c r="T143" s="6">
        <f>[1]Production!S26</f>
        <v>380309.29470000003</v>
      </c>
      <c r="U143" s="6">
        <f>[1]Production!T26</f>
        <v>386402.23019999999</v>
      </c>
      <c r="V143" s="6">
        <f>[1]Production!U26</f>
        <v>392686.44420000003</v>
      </c>
      <c r="W143" s="6">
        <f>[1]Production!V26</f>
        <v>393245.57990000001</v>
      </c>
      <c r="X143" s="6">
        <f>[1]Production!W26</f>
        <v>403050.4706</v>
      </c>
      <c r="Y143" s="6">
        <f>[1]Production!X26</f>
        <v>411374.0589</v>
      </c>
      <c r="Z143" s="6">
        <f>[1]Production!Y26</f>
        <v>418949.7464</v>
      </c>
      <c r="AA143" s="6">
        <f>[1]Production!Z26</f>
        <v>426214.6875</v>
      </c>
      <c r="AB143" s="6">
        <f>[1]Production!AA26</f>
        <v>416017.75050000002</v>
      </c>
      <c r="AC143" s="6">
        <f>[1]Production!AB26</f>
        <v>425314.70669999998</v>
      </c>
      <c r="AD143" s="6">
        <f>[1]Production!AC26</f>
        <v>433558.80940000003</v>
      </c>
      <c r="AE143" s="6">
        <f>[1]Production!AD26</f>
        <v>441178.3126</v>
      </c>
      <c r="AF143" s="6">
        <f>[1]Production!AE26</f>
        <v>448536.40029999998</v>
      </c>
      <c r="AG143" s="6">
        <f>[1]Production!AF26</f>
        <v>455810.74900000001</v>
      </c>
      <c r="AH143" s="6">
        <f>[1]Production!AG26</f>
        <v>463064.81359999999</v>
      </c>
      <c r="AI143" s="6">
        <f>[1]Production!AH26</f>
        <v>470316.0232</v>
      </c>
      <c r="AJ143" s="6">
        <f>[1]Production!AI26</f>
        <v>477576.29920000001</v>
      </c>
      <c r="AK143" s="6">
        <f>[1]Production!AJ26</f>
        <v>484867.23710000003</v>
      </c>
      <c r="AL143" s="6">
        <f>[1]Production!AK26</f>
        <v>492218.05940000003</v>
      </c>
    </row>
    <row r="144" spans="1:3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44598.856542229994</v>
      </c>
      <c r="D144" s="6">
        <f>[1]Production!C50+[1]Production!C52+[1]Production!C54+[1]Production!C56+[1]Production!C58+[1]Production!C60+[1]Production!C62+[1]Production!C64+[1]Production!C66</f>
        <v>44902.001562700003</v>
      </c>
      <c r="E144" s="6">
        <f>[1]Production!D50+[1]Production!D52+[1]Production!D54+[1]Production!D56+[1]Production!D58+[1]Production!D60+[1]Production!D62+[1]Production!D64+[1]Production!D66</f>
        <v>45216.095266609998</v>
      </c>
      <c r="F144" s="6">
        <f>[1]Production!E50+[1]Production!E52+[1]Production!E54+[1]Production!E56+[1]Production!E58+[1]Production!E60+[1]Production!E62+[1]Production!E64+[1]Production!E66</f>
        <v>45664.140385289997</v>
      </c>
      <c r="G144" s="6">
        <f>[1]Production!F50+[1]Production!F52+[1]Production!F54+[1]Production!F56+[1]Production!F58+[1]Production!F60+[1]Production!F62+[1]Production!F64+[1]Production!F66</f>
        <v>46287.746903910011</v>
      </c>
      <c r="H144" s="6">
        <f>[1]Production!G50+[1]Production!G52+[1]Production!G54+[1]Production!G56+[1]Production!G58+[1]Production!G60+[1]Production!G62+[1]Production!G64+[1]Production!G66</f>
        <v>47094.266201719998</v>
      </c>
      <c r="I144" s="6">
        <f>[1]Production!H50+[1]Production!H52+[1]Production!H54+[1]Production!H56+[1]Production!H58+[1]Production!H60+[1]Production!H62+[1]Production!H64+[1]Production!H66</f>
        <v>48270.369464899988</v>
      </c>
      <c r="J144" s="6">
        <f>[1]Production!I50+[1]Production!I52+[1]Production!I54+[1]Production!I56+[1]Production!I58+[1]Production!I60+[1]Production!I62+[1]Production!I64+[1]Production!I66</f>
        <v>48899.661503709998</v>
      </c>
      <c r="K144" s="6">
        <f>[1]Production!J50+[1]Production!J52+[1]Production!J54+[1]Production!J56+[1]Production!J58+[1]Production!J60+[1]Production!J62+[1]Production!J64+[1]Production!J66</f>
        <v>49219.285012600005</v>
      </c>
      <c r="L144" s="6">
        <f>[1]Production!K50+[1]Production!K52+[1]Production!K54+[1]Production!K56+[1]Production!K58+[1]Production!K60+[1]Production!K62+[1]Production!K64+[1]Production!K66</f>
        <v>49318.155665499988</v>
      </c>
      <c r="M144" s="6">
        <f>[1]Production!L50+[1]Production!L52+[1]Production!L54+[1]Production!L56+[1]Production!L58+[1]Production!L60+[1]Production!L62+[1]Production!L64+[1]Production!L66</f>
        <v>49296.223455240004</v>
      </c>
      <c r="N144" s="6">
        <f>[1]Production!M50+[1]Production!M52+[1]Production!M54+[1]Production!M56+[1]Production!M58+[1]Production!M60+[1]Production!M62+[1]Production!M64+[1]Production!M66</f>
        <v>49192.111468650008</v>
      </c>
      <c r="O144" s="6">
        <f>[1]Production!N50+[1]Production!N52+[1]Production!N54+[1]Production!N56+[1]Production!N58+[1]Production!N60+[1]Production!N62+[1]Production!N64+[1]Production!N66</f>
        <v>49105.48929238</v>
      </c>
      <c r="P144" s="6">
        <f>[1]Production!O50+[1]Production!O52+[1]Production!O54+[1]Production!O56+[1]Production!O58+[1]Production!O60+[1]Production!O62+[1]Production!O64+[1]Production!O66</f>
        <v>49117.760723479987</v>
      </c>
      <c r="Q144" s="6">
        <f>[1]Production!P50+[1]Production!P52+[1]Production!P54+[1]Production!P56+[1]Production!P58+[1]Production!P60+[1]Production!P62+[1]Production!P64+[1]Production!P66</f>
        <v>49279.512715090001</v>
      </c>
      <c r="R144" s="6">
        <f>[1]Production!Q50+[1]Production!Q52+[1]Production!Q54+[1]Production!Q56+[1]Production!Q58+[1]Production!Q60+[1]Production!Q62+[1]Production!Q64+[1]Production!Q66</f>
        <v>49598.66524237</v>
      </c>
      <c r="S144" s="6">
        <f>[1]Production!R50+[1]Production!R52+[1]Production!R54+[1]Production!R56+[1]Production!R58+[1]Production!R60+[1]Production!R62+[1]Production!R64+[1]Production!R66</f>
        <v>50075.538802190007</v>
      </c>
      <c r="T144" s="6">
        <f>[1]Production!S50+[1]Production!S52+[1]Production!S54+[1]Production!S56+[1]Production!S58+[1]Production!S60+[1]Production!S62+[1]Production!S64+[1]Production!S66</f>
        <v>50701.463587449995</v>
      </c>
      <c r="U144" s="6">
        <f>[1]Production!T50+[1]Production!T52+[1]Production!T54+[1]Production!T56+[1]Production!T58+[1]Production!T60+[1]Production!T62+[1]Production!T64+[1]Production!T66</f>
        <v>51461.031604530006</v>
      </c>
      <c r="V144" s="6">
        <f>[1]Production!U50+[1]Production!U52+[1]Production!U54+[1]Production!U56+[1]Production!U58+[1]Production!U60+[1]Production!U62+[1]Production!U64+[1]Production!U66</f>
        <v>52335.072602580003</v>
      </c>
      <c r="W144" s="6">
        <f>[1]Production!V50+[1]Production!V52+[1]Production!V54+[1]Production!V56+[1]Production!V58+[1]Production!V60+[1]Production!V62+[1]Production!V64+[1]Production!V66</f>
        <v>53279.226146770001</v>
      </c>
      <c r="X144" s="6">
        <f>[1]Production!W50+[1]Production!W52+[1]Production!W54+[1]Production!W56+[1]Production!W58+[1]Production!W60+[1]Production!W62+[1]Production!W64+[1]Production!W66</f>
        <v>54304.404556489993</v>
      </c>
      <c r="Y144" s="6">
        <f>[1]Production!X50+[1]Production!X52+[1]Production!X54+[1]Production!X56+[1]Production!X58+[1]Production!X60+[1]Production!X62+[1]Production!X64+[1]Production!X66</f>
        <v>55379.636751110011</v>
      </c>
      <c r="Z144" s="6">
        <f>[1]Production!Y50+[1]Production!Y52+[1]Production!Y54+[1]Production!Y56+[1]Production!Y58+[1]Production!Y60+[1]Production!Y62+[1]Production!Y64+[1]Production!Y66</f>
        <v>56479.693013549993</v>
      </c>
      <c r="AA144" s="6">
        <f>[1]Production!Z50+[1]Production!Z52+[1]Production!Z54+[1]Production!Z56+[1]Production!Z58+[1]Production!Z60+[1]Production!Z62+[1]Production!Z64+[1]Production!Z66</f>
        <v>57584.628371290019</v>
      </c>
      <c r="AB144" s="6">
        <f>[1]Production!AA50+[1]Production!AA52+[1]Production!AA54+[1]Production!AA56+[1]Production!AA58+[1]Production!AA60+[1]Production!AA62+[1]Production!AA64+[1]Production!AA66</f>
        <v>58597.255731060017</v>
      </c>
      <c r="AC144" s="6">
        <f>[1]Production!AB50+[1]Production!AB52+[1]Production!AB54+[1]Production!AB56+[1]Production!AB58+[1]Production!AB60+[1]Production!AB62+[1]Production!AB64+[1]Production!AB66</f>
        <v>59588.313111000003</v>
      </c>
      <c r="AD144" s="6">
        <f>[1]Production!AC50+[1]Production!AC52+[1]Production!AC54+[1]Production!AC56+[1]Production!AC58+[1]Production!AC60+[1]Production!AC62+[1]Production!AC64+[1]Production!AC66</f>
        <v>60522.011784819988</v>
      </c>
      <c r="AE144" s="6">
        <f>[1]Production!AD50+[1]Production!AD52+[1]Production!AD54+[1]Production!AD56+[1]Production!AD58+[1]Production!AD60+[1]Production!AD62+[1]Production!AD64+[1]Production!AD66</f>
        <v>61385.520348700004</v>
      </c>
      <c r="AF144" s="6">
        <f>[1]Production!AE50+[1]Production!AE52+[1]Production!AE54+[1]Production!AE56+[1]Production!AE58+[1]Production!AE60+[1]Production!AE62+[1]Production!AE64+[1]Production!AE66</f>
        <v>62185.821291879991</v>
      </c>
      <c r="AG144" s="6">
        <f>[1]Production!AF50+[1]Production!AF52+[1]Production!AF54+[1]Production!AF56+[1]Production!AF58+[1]Production!AF60+[1]Production!AF62+[1]Production!AF64+[1]Production!AF66</f>
        <v>62941.241499530006</v>
      </c>
      <c r="AH144" s="6">
        <f>[1]Production!AG50+[1]Production!AG52+[1]Production!AG54+[1]Production!AG56+[1]Production!AG58+[1]Production!AG60+[1]Production!AG62+[1]Production!AG64+[1]Production!AG66</f>
        <v>63674.613966490004</v>
      </c>
      <c r="AI144" s="6">
        <f>[1]Production!AH50+[1]Production!AH52+[1]Production!AH54+[1]Production!AH56+[1]Production!AH58+[1]Production!AH60+[1]Production!AH62+[1]Production!AH64+[1]Production!AH66</f>
        <v>64407.789069729995</v>
      </c>
      <c r="AJ144" s="6">
        <f>[1]Production!AI50+[1]Production!AI52+[1]Production!AI54+[1]Production!AI56+[1]Production!AI58+[1]Production!AI60+[1]Production!AI62+[1]Production!AI64+[1]Production!AI66</f>
        <v>65155.713258920005</v>
      </c>
      <c r="AK144" s="6">
        <f>[1]Production!AJ50+[1]Production!AJ52+[1]Production!AJ54+[1]Production!AJ56+[1]Production!AJ58+[1]Production!AJ60+[1]Production!AJ62+[1]Production!AJ64+[1]Production!AJ66</f>
        <v>65927.696399830005</v>
      </c>
      <c r="AL144" s="6">
        <f>[1]Production!AK50+[1]Production!AK52+[1]Production!AK54+[1]Production!AK56+[1]Production!AK58+[1]Production!AK60+[1]Production!AK62+[1]Production!AK64+[1]Production!AK66</f>
        <v>66728.74310585999</v>
      </c>
    </row>
    <row r="145" spans="1:3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709651.716915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714191.95434599998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721611.11648099998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730266.94158700004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739560.95045499993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749329.34470099991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758909.1194330001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768136.45359200006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777064.56452299992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785889.22435000003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796358.25725499995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805641.32690600003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815186.95811000001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824990.93596000003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834920.94209999999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844910.43325999996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854969.69981999998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865159.99566999997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875557.83180000004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886224.50322000007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896070.89041999995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907308.81767000002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918910.71347000008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930741.65988000005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942773.47314999998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951644.58432999998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962608.23000999994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973901.24970000004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985366.08103999996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997035.17793000001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1008916.21346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1020985.5578300001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1033213.1156099999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1045581.7033999999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1058093.5837300001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1070765.4188299999</v>
      </c>
    </row>
    <row r="146" spans="1:38" x14ac:dyDescent="0.3">
      <c r="B146" t="s">
        <v>24</v>
      </c>
      <c r="C146" s="6">
        <f>[1]Production!B42+[1]Production!B46+[1]Production!B44+[1]Production!B48</f>
        <v>68313.307545700009</v>
      </c>
      <c r="D146" s="6">
        <f>[1]Production!C42+[1]Production!C46+[1]Production!C44+[1]Production!C48</f>
        <v>69926.342151200006</v>
      </c>
      <c r="E146" s="6">
        <f>[1]Production!D42+[1]Production!D46+[1]Production!D44+[1]Production!D48</f>
        <v>71279.296754699986</v>
      </c>
      <c r="F146" s="6">
        <f>[1]Production!E42+[1]Production!E46+[1]Production!E44+[1]Production!E48</f>
        <v>72529.976859799994</v>
      </c>
      <c r="G146" s="6">
        <f>[1]Production!F42+[1]Production!F46+[1]Production!F44+[1]Production!F48</f>
        <v>73747.38530129999</v>
      </c>
      <c r="H146" s="6">
        <f>[1]Production!G42+[1]Production!G46+[1]Production!G44+[1]Production!G48</f>
        <v>74961.795198899999</v>
      </c>
      <c r="I146" s="6">
        <f>[1]Production!H42+[1]Production!H46+[1]Production!H44+[1]Production!H48</f>
        <v>76594.873206200005</v>
      </c>
      <c r="J146" s="6">
        <f>[1]Production!I42+[1]Production!I46+[1]Production!I44+[1]Production!I48</f>
        <v>77850.185966199992</v>
      </c>
      <c r="K146" s="6">
        <f>[1]Production!J42+[1]Production!J46+[1]Production!J44+[1]Production!J48</f>
        <v>79036.10736319999</v>
      </c>
      <c r="L146" s="6">
        <f>[1]Production!K42+[1]Production!K46+[1]Production!K44+[1]Production!K48</f>
        <v>80173.0003344</v>
      </c>
      <c r="M146" s="6">
        <f>[1]Production!L42+[1]Production!L46+[1]Production!L44+[1]Production!L48</f>
        <v>81333.082676700011</v>
      </c>
      <c r="N146" s="6">
        <f>[1]Production!M42+[1]Production!M46+[1]Production!M44+[1]Production!M48</f>
        <v>82374.716861099994</v>
      </c>
      <c r="O146" s="6">
        <f>[1]Production!N42+[1]Production!N46+[1]Production!N44+[1]Production!N48</f>
        <v>83382.66136730001</v>
      </c>
      <c r="P146" s="6">
        <f>[1]Production!O42+[1]Production!O46+[1]Production!O44+[1]Production!O48</f>
        <v>84383.487492999993</v>
      </c>
      <c r="Q146" s="6">
        <f>[1]Production!P42+[1]Production!P46+[1]Production!P44+[1]Production!P48</f>
        <v>85390.620169100017</v>
      </c>
      <c r="R146" s="6">
        <f>[1]Production!Q42+[1]Production!Q46+[1]Production!Q44+[1]Production!Q48</f>
        <v>86407.03087810002</v>
      </c>
      <c r="S146" s="6">
        <f>[1]Production!R42+[1]Production!R46+[1]Production!R44+[1]Production!R48</f>
        <v>87430.987319100008</v>
      </c>
      <c r="T146" s="6">
        <f>[1]Production!S42+[1]Production!S46+[1]Production!S44+[1]Production!S48</f>
        <v>88459.113591400004</v>
      </c>
      <c r="U146" s="6">
        <f>[1]Production!T42+[1]Production!T46+[1]Production!T44+[1]Production!T48</f>
        <v>89488.902374800004</v>
      </c>
      <c r="V146" s="6">
        <f>[1]Production!U42+[1]Production!U46+[1]Production!U44+[1]Production!U48</f>
        <v>90520.054382000002</v>
      </c>
      <c r="W146" s="6">
        <f>[1]Production!V42+[1]Production!V46+[1]Production!V44+[1]Production!V48</f>
        <v>91493.635637900006</v>
      </c>
      <c r="X146" s="6">
        <f>[1]Production!W42+[1]Production!W46+[1]Production!W44+[1]Production!W48</f>
        <v>92523.819348699995</v>
      </c>
      <c r="Y146" s="6">
        <f>[1]Production!X42+[1]Production!X46+[1]Production!X44+[1]Production!X48</f>
        <v>93566.212531500001</v>
      </c>
      <c r="Z146" s="6">
        <f>[1]Production!Y42+[1]Production!Y46+[1]Production!Y44+[1]Production!Y48</f>
        <v>94618.141292800006</v>
      </c>
      <c r="AA146" s="6">
        <f>[1]Production!Z42+[1]Production!Z46+[1]Production!Z44+[1]Production!Z48</f>
        <v>95681.466457499992</v>
      </c>
      <c r="AB146" s="6">
        <f>[1]Production!AA42+[1]Production!AA46+[1]Production!AA44+[1]Production!AA48</f>
        <v>96573.912343400007</v>
      </c>
      <c r="AC146" s="6">
        <f>[1]Production!AB42+[1]Production!AB46+[1]Production!AB44+[1]Production!AB48</f>
        <v>97552.837778899993</v>
      </c>
      <c r="AD146" s="6">
        <f>[1]Production!AC42+[1]Production!AC46+[1]Production!AC44+[1]Production!AC48</f>
        <v>98534.400164399995</v>
      </c>
      <c r="AE146" s="6">
        <f>[1]Production!AD42+[1]Production!AD46+[1]Production!AD44+[1]Production!AD48</f>
        <v>99506.886005599998</v>
      </c>
      <c r="AF146" s="6">
        <f>[1]Production!AE42+[1]Production!AE46+[1]Production!AE44+[1]Production!AE48</f>
        <v>100472.56863770001</v>
      </c>
      <c r="AG146" s="6">
        <f>[1]Production!AF42+[1]Production!AF46+[1]Production!AF44+[1]Production!AF48</f>
        <v>101437.97687709999</v>
      </c>
      <c r="AH146" s="6">
        <f>[1]Production!AG42+[1]Production!AG46+[1]Production!AG44+[1]Production!AG48</f>
        <v>102409.426737</v>
      </c>
      <c r="AI146" s="6">
        <f>[1]Production!AH42+[1]Production!AH46+[1]Production!AH44+[1]Production!AH48</f>
        <v>103390.8862922</v>
      </c>
      <c r="AJ146" s="6">
        <f>[1]Production!AI42+[1]Production!AI46+[1]Production!AI44+[1]Production!AI48</f>
        <v>104383.22468869999</v>
      </c>
      <c r="AK146" s="6">
        <f>[1]Production!AJ42+[1]Production!AJ46+[1]Production!AJ44+[1]Production!AJ48</f>
        <v>105385.10449439999</v>
      </c>
      <c r="AL146" s="6">
        <f>[1]Production!AK42+[1]Production!AK46+[1]Production!AK44+[1]Production!AK48</f>
        <v>106394.32346199999</v>
      </c>
    </row>
    <row r="147" spans="1:38" x14ac:dyDescent="0.3">
      <c r="B147" t="s">
        <v>10</v>
      </c>
      <c r="C147" s="6">
        <f>[1]Production!B36+[1]Production!B38</f>
        <v>2569060.5400999999</v>
      </c>
      <c r="D147" s="6">
        <f>[1]Production!C36+[1]Production!C38</f>
        <v>2589486.3692000001</v>
      </c>
      <c r="E147" s="6">
        <f>[1]Production!D36+[1]Production!D38</f>
        <v>2619781.9734</v>
      </c>
      <c r="F147" s="6">
        <f>[1]Production!E36+[1]Production!E38</f>
        <v>2659826.3901</v>
      </c>
      <c r="G147" s="6">
        <f>[1]Production!F36+[1]Production!F38</f>
        <v>2703559.0410000002</v>
      </c>
      <c r="H147" s="6">
        <f>[1]Production!G36+[1]Production!G38</f>
        <v>2748397.6735</v>
      </c>
      <c r="I147" s="6">
        <f>[1]Production!H36+[1]Production!H38</f>
        <v>2799973.3388999999</v>
      </c>
      <c r="J147" s="6">
        <f>[1]Production!I36+[1]Production!I38</f>
        <v>2843713.5905999998</v>
      </c>
      <c r="K147" s="6">
        <f>[1]Production!J36+[1]Production!J38</f>
        <v>2884340.2501000003</v>
      </c>
      <c r="L147" s="6">
        <f>[1]Production!K36+[1]Production!K38</f>
        <v>2925075.0531000001</v>
      </c>
      <c r="M147" s="6">
        <f>[1]Production!L36+[1]Production!L38</f>
        <v>2963865.7013999997</v>
      </c>
      <c r="N147" s="6">
        <f>[1]Production!M36+[1]Production!M38</f>
        <v>3015163.2818</v>
      </c>
      <c r="O147" s="6">
        <f>[1]Production!N36+[1]Production!N38</f>
        <v>3066728.3420000002</v>
      </c>
      <c r="P147" s="6">
        <f>[1]Production!O36+[1]Production!O38</f>
        <v>3118844.37</v>
      </c>
      <c r="Q147" s="6">
        <f>[1]Production!P36+[1]Production!P38</f>
        <v>3171364.6578000002</v>
      </c>
      <c r="R147" s="6">
        <f>[1]Production!Q36+[1]Production!Q38</f>
        <v>3224194.4731000001</v>
      </c>
      <c r="S147" s="6">
        <f>[1]Production!R36+[1]Production!R38</f>
        <v>3277442.1162</v>
      </c>
      <c r="T147" s="6">
        <f>[1]Production!S36+[1]Production!S38</f>
        <v>3331365.3038999997</v>
      </c>
      <c r="U147" s="6">
        <f>[1]Production!T36+[1]Production!T38</f>
        <v>3386231.5597999999</v>
      </c>
      <c r="V147" s="6">
        <f>[1]Production!U36+[1]Production!U38</f>
        <v>3442199.6225999999</v>
      </c>
      <c r="W147" s="6">
        <f>[1]Production!V36+[1]Production!V38</f>
        <v>3501600.7556000003</v>
      </c>
      <c r="X147" s="6">
        <f>[1]Production!W36+[1]Production!W38</f>
        <v>3556057.0131999999</v>
      </c>
      <c r="Y147" s="6">
        <f>[1]Production!X36+[1]Production!X38</f>
        <v>3613266.5884999996</v>
      </c>
      <c r="Z147" s="6">
        <f>[1]Production!Y36+[1]Production!Y38</f>
        <v>3672205.5419999999</v>
      </c>
      <c r="AA147" s="6">
        <f>[1]Production!Z36+[1]Production!Z38</f>
        <v>3732240.5019999999</v>
      </c>
      <c r="AB147" s="6">
        <f>[1]Production!AA36+[1]Production!AA38</f>
        <v>3798423.2379000001</v>
      </c>
      <c r="AC147" s="6">
        <f>[1]Production!AB36+[1]Production!AB38</f>
        <v>3853016.9580000001</v>
      </c>
      <c r="AD147" s="6">
        <f>[1]Production!AC36+[1]Production!AC38</f>
        <v>3908946.807</v>
      </c>
      <c r="AE147" s="6">
        <f>[1]Production!AD36+[1]Production!AD38</f>
        <v>3966303.6030000001</v>
      </c>
      <c r="AF147" s="6">
        <f>[1]Production!AE36+[1]Production!AE38</f>
        <v>4025034.6320000002</v>
      </c>
      <c r="AG147" s="6">
        <f>[1]Production!AF36+[1]Production!AF38</f>
        <v>4084920.7940000002</v>
      </c>
      <c r="AH147" s="6">
        <f>[1]Production!AG36+[1]Production!AG38</f>
        <v>4145692.9040000001</v>
      </c>
      <c r="AI147" s="6">
        <f>[1]Production!AH36+[1]Production!AH38</f>
        <v>4207159.3569999998</v>
      </c>
      <c r="AJ147" s="6">
        <f>[1]Production!AI36+[1]Production!AI38</f>
        <v>4269270.8779999996</v>
      </c>
      <c r="AK147" s="6">
        <f>[1]Production!AJ36+[1]Production!AJ38</f>
        <v>4332108.3640000001</v>
      </c>
      <c r="AL147" s="6">
        <f>[1]Production!AK36+[1]Production!AK38</f>
        <v>4395818.5379999997</v>
      </c>
    </row>
    <row r="148" spans="1:38" x14ac:dyDescent="0.3">
      <c r="B148" t="s">
        <v>9</v>
      </c>
      <c r="C148" s="6">
        <f>[1]Production!B28+[1]Production!B30+[1]Production!B32+[1]Production!B34</f>
        <v>121218.24801000001</v>
      </c>
      <c r="D148" s="6">
        <f>[1]Production!C28+[1]Production!C30+[1]Production!C32+[1]Production!C34</f>
        <v>121643.18449000001</v>
      </c>
      <c r="E148" s="6">
        <f>[1]Production!D28+[1]Production!D30+[1]Production!D32+[1]Production!D34</f>
        <v>122515.99816999999</v>
      </c>
      <c r="F148" s="6">
        <f>[1]Production!E28+[1]Production!E30+[1]Production!E32+[1]Production!E34</f>
        <v>123754.72422999999</v>
      </c>
      <c r="G148" s="6">
        <f>[1]Production!F28+[1]Production!F30+[1]Production!F32+[1]Production!F34</f>
        <v>125214.679</v>
      </c>
      <c r="H148" s="6">
        <f>[1]Production!G28+[1]Production!G30+[1]Production!G32+[1]Production!G34</f>
        <v>126807.3567</v>
      </c>
      <c r="I148" s="6">
        <f>[1]Production!H28+[1]Production!H30+[1]Production!H32+[1]Production!H34</f>
        <v>128509.30198999999</v>
      </c>
      <c r="J148" s="6">
        <f>[1]Production!I28+[1]Production!I30+[1]Production!I32+[1]Production!I34</f>
        <v>130120.64569999999</v>
      </c>
      <c r="K148" s="6">
        <f>[1]Production!J28+[1]Production!J30+[1]Production!J32+[1]Production!J34</f>
        <v>131677.60172999999</v>
      </c>
      <c r="L148" s="6">
        <f>[1]Production!K28+[1]Production!K30+[1]Production!K32+[1]Production!K34</f>
        <v>133244.2501</v>
      </c>
      <c r="M148" s="6">
        <f>[1]Production!L28+[1]Production!L30+[1]Production!L32+[1]Production!L34</f>
        <v>134951.42361</v>
      </c>
      <c r="N148" s="6">
        <f>[1]Production!M28+[1]Production!M30+[1]Production!M32+[1]Production!M34</f>
        <v>136761.46071000001</v>
      </c>
      <c r="O148" s="6">
        <f>[1]Production!N28+[1]Production!N30+[1]Production!N32+[1]Production!N34</f>
        <v>138638.28292000003</v>
      </c>
      <c r="P148" s="6">
        <f>[1]Production!O28+[1]Production!O30+[1]Production!O32+[1]Production!O34</f>
        <v>140563.89572999999</v>
      </c>
      <c r="Q148" s="6">
        <f>[1]Production!P28+[1]Production!P30+[1]Production!P32+[1]Production!P34</f>
        <v>142520.40426000001</v>
      </c>
      <c r="R148" s="6">
        <f>[1]Production!Q28+[1]Production!Q30+[1]Production!Q32+[1]Production!Q34</f>
        <v>144496.59841000001</v>
      </c>
      <c r="S148" s="6">
        <f>[1]Production!R28+[1]Production!R30+[1]Production!R32+[1]Production!R34</f>
        <v>146491.33998000002</v>
      </c>
      <c r="T148" s="6">
        <f>[1]Production!S28+[1]Production!S30+[1]Production!S32+[1]Production!S34</f>
        <v>148511.48351000002</v>
      </c>
      <c r="U148" s="6">
        <f>[1]Production!T28+[1]Production!T30+[1]Production!T32+[1]Production!T34</f>
        <v>150566.85829999999</v>
      </c>
      <c r="V148" s="6">
        <f>[1]Production!U28+[1]Production!U30+[1]Production!U32+[1]Production!U34</f>
        <v>152665.41428999999</v>
      </c>
      <c r="W148" s="6">
        <f>[1]Production!V28+[1]Production!V30+[1]Production!V32+[1]Production!V34</f>
        <v>154745.71087000001</v>
      </c>
      <c r="X148" s="6">
        <f>[1]Production!W28+[1]Production!W30+[1]Production!W32+[1]Production!W34</f>
        <v>156880.58689999999</v>
      </c>
      <c r="Y148" s="6">
        <f>[1]Production!X28+[1]Production!X30+[1]Production!X32+[1]Production!X34</f>
        <v>159083.19915</v>
      </c>
      <c r="Z148" s="6">
        <f>[1]Production!Y28+[1]Production!Y30+[1]Production!Y32+[1]Production!Y34</f>
        <v>161341.83504000001</v>
      </c>
      <c r="AA148" s="6">
        <f>[1]Production!Z28+[1]Production!Z30+[1]Production!Z32+[1]Production!Z34</f>
        <v>163643.94175</v>
      </c>
      <c r="AB148" s="6">
        <f>[1]Production!AA28+[1]Production!AA30+[1]Production!AA32+[1]Production!AA34</f>
        <v>165770.32641000001</v>
      </c>
      <c r="AC148" s="6">
        <f>[1]Production!AB28+[1]Production!AB30+[1]Production!AB32+[1]Production!AB34</f>
        <v>167900.21119999999</v>
      </c>
      <c r="AD148" s="6">
        <f>[1]Production!AC28+[1]Production!AC30+[1]Production!AC32+[1]Production!AC34</f>
        <v>170062.59198999999</v>
      </c>
      <c r="AE148" s="6">
        <f>[1]Production!AD28+[1]Production!AD30+[1]Production!AD32+[1]Production!AD34</f>
        <v>172271.47805000001</v>
      </c>
      <c r="AF148" s="6">
        <f>[1]Production!AE28+[1]Production!AE30+[1]Production!AE32+[1]Production!AE34</f>
        <v>174531.07869000002</v>
      </c>
      <c r="AG148" s="6">
        <f>[1]Production!AF28+[1]Production!AF30+[1]Production!AF32+[1]Production!AF34</f>
        <v>176837.90792999999</v>
      </c>
      <c r="AH148" s="6">
        <f>[1]Production!AG28+[1]Production!AG30+[1]Production!AG32+[1]Production!AG34</f>
        <v>179184.52752</v>
      </c>
      <c r="AI148" s="6">
        <f>[1]Production!AH28+[1]Production!AH30+[1]Production!AH32+[1]Production!AH34</f>
        <v>181564.05120999998</v>
      </c>
      <c r="AJ148" s="6">
        <f>[1]Production!AI28+[1]Production!AI30+[1]Production!AI32+[1]Production!AI34</f>
        <v>183973.11960999999</v>
      </c>
      <c r="AK148" s="6">
        <f>[1]Production!AJ28+[1]Production!AJ30+[1]Production!AJ32+[1]Production!AJ34</f>
        <v>186412.51835999999</v>
      </c>
      <c r="AL148" s="6">
        <f>[1]Production!AK28+[1]Production!AK30+[1]Production!AK32+[1]Production!AK34</f>
        <v>188885.81621999998</v>
      </c>
    </row>
    <row r="150" spans="1:3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</row>
    <row r="151" spans="1:38" x14ac:dyDescent="0.3">
      <c r="A151" t="s">
        <v>54</v>
      </c>
      <c r="B151" t="s">
        <v>28</v>
      </c>
      <c r="C151" s="4">
        <f>(R141-R129)/R129</f>
        <v>-4.6515750588899552E-3</v>
      </c>
      <c r="D151" s="4">
        <f>(AB141-AB129)/AB129</f>
        <v>-1.6757610978153244E-3</v>
      </c>
      <c r="E151" s="4">
        <f>(AL141-AL129)/AL129</f>
        <v>-2.5551688133251872E-3</v>
      </c>
    </row>
    <row r="152" spans="1:38" x14ac:dyDescent="0.3">
      <c r="B152" t="s">
        <v>7</v>
      </c>
      <c r="C152" s="4">
        <f t="shared" ref="C152:C158" si="23">(R142-R130)/R130</f>
        <v>-2.4550080905134551E-4</v>
      </c>
      <c r="D152" s="4">
        <f t="shared" ref="D152:D158" si="24">(AB142-AB130)/AB130</f>
        <v>-7.0468729343263741E-4</v>
      </c>
      <c r="E152" s="4">
        <f t="shared" ref="E152:E158" si="25">(AL142-AL130)/AL130</f>
        <v>-2.9473161172031411E-4</v>
      </c>
    </row>
    <row r="153" spans="1:38" x14ac:dyDescent="0.3">
      <c r="B153" t="s">
        <v>96</v>
      </c>
      <c r="C153" s="4">
        <f t="shared" si="23"/>
        <v>-1.3285997651632105E-3</v>
      </c>
      <c r="D153" s="4">
        <f t="shared" si="24"/>
        <v>2.2210593415303696E-3</v>
      </c>
      <c r="E153" s="4">
        <f t="shared" si="25"/>
        <v>3.4650918675708305E-4</v>
      </c>
    </row>
    <row r="154" spans="1:38" x14ac:dyDescent="0.3">
      <c r="B154" t="s">
        <v>11</v>
      </c>
      <c r="C154" s="4">
        <f t="shared" si="23"/>
        <v>-0.13836181192199717</v>
      </c>
      <c r="D154" s="4">
        <f t="shared" si="24"/>
        <v>-8.9254599050750949E-2</v>
      </c>
      <c r="E154" s="4">
        <f t="shared" si="25"/>
        <v>-0.1051519967751566</v>
      </c>
    </row>
    <row r="155" spans="1:38" x14ac:dyDescent="0.3">
      <c r="B155" t="s">
        <v>8</v>
      </c>
      <c r="C155" s="4">
        <f t="shared" si="23"/>
        <v>-6.2331653493533264E-3</v>
      </c>
      <c r="D155" s="4">
        <f t="shared" si="24"/>
        <v>-2.2071526192702106E-3</v>
      </c>
      <c r="E155" s="4">
        <f t="shared" si="25"/>
        <v>-1.819013678596918E-3</v>
      </c>
    </row>
    <row r="156" spans="1:38" x14ac:dyDescent="0.3">
      <c r="B156" t="s">
        <v>24</v>
      </c>
      <c r="C156" s="4">
        <f t="shared" si="23"/>
        <v>2.519720879304702E-3</v>
      </c>
      <c r="D156" s="4">
        <f t="shared" si="24"/>
        <v>1.0597258650575668E-2</v>
      </c>
      <c r="E156" s="4">
        <f t="shared" si="25"/>
        <v>2.0735388419211378E-2</v>
      </c>
    </row>
    <row r="157" spans="1:38" x14ac:dyDescent="0.3">
      <c r="B157" t="s">
        <v>10</v>
      </c>
      <c r="C157" s="4">
        <f t="shared" si="23"/>
        <v>-2.5644908428423445E-3</v>
      </c>
      <c r="D157" s="4">
        <f t="shared" si="24"/>
        <v>-8.1234790194017581E-4</v>
      </c>
      <c r="E157" s="4">
        <f t="shared" si="25"/>
        <v>-1.9481944484358194E-3</v>
      </c>
    </row>
    <row r="158" spans="1:38" x14ac:dyDescent="0.3">
      <c r="B158" t="s">
        <v>9</v>
      </c>
      <c r="C158" s="4">
        <f t="shared" si="23"/>
        <v>-4.4283366588804664E-3</v>
      </c>
      <c r="D158" s="4">
        <f t="shared" si="24"/>
        <v>-1.831906229612601E-3</v>
      </c>
      <c r="E158" s="4">
        <f t="shared" si="25"/>
        <v>-2.0041488179725112E-3</v>
      </c>
    </row>
    <row r="159" spans="1:38" x14ac:dyDescent="0.3">
      <c r="C159" s="5"/>
      <c r="D159" s="5"/>
      <c r="E159" s="5"/>
    </row>
    <row r="160" spans="1:3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</row>
    <row r="161" spans="1:9" x14ac:dyDescent="0.3">
      <c r="A161" t="s">
        <v>98</v>
      </c>
      <c r="B161" t="s">
        <v>22</v>
      </c>
      <c r="C161" s="4">
        <f>C151</f>
        <v>-4.6515750588899552E-3</v>
      </c>
      <c r="D161" s="4">
        <f>D151</f>
        <v>-1.6757610978153244E-3</v>
      </c>
      <c r="E161" s="4">
        <f>E151</f>
        <v>-2.5551688133251872E-3</v>
      </c>
      <c r="G161" s="6">
        <f t="shared" ref="G161:G168" si="26">R129</f>
        <v>4835551.7680000002</v>
      </c>
      <c r="H161" s="6">
        <f t="shared" ref="H161:H168" si="27">AB129</f>
        <v>5594065.2949999999</v>
      </c>
      <c r="I161" s="6">
        <f t="shared" ref="I161:I168" si="28">AL129</f>
        <v>6438051.3389999997</v>
      </c>
    </row>
    <row r="162" spans="1:9" x14ac:dyDescent="0.3">
      <c r="B162" t="s">
        <v>7</v>
      </c>
      <c r="C162" s="4">
        <f t="shared" ref="C162:E168" si="29">C152*G162/G$161</f>
        <v>-4.8173346326588373E-6</v>
      </c>
      <c r="D162" s="4">
        <f t="shared" si="29"/>
        <v>-1.231144907471116E-5</v>
      </c>
      <c r="E162" s="4">
        <f t="shared" si="29"/>
        <v>-4.6154953471706401E-6</v>
      </c>
      <c r="G162" s="6">
        <f t="shared" si="26"/>
        <v>94885.516222999999</v>
      </c>
      <c r="H162" s="6">
        <f t="shared" si="27"/>
        <v>97732.782529000004</v>
      </c>
      <c r="I162" s="6">
        <f t="shared" si="28"/>
        <v>100819.847001</v>
      </c>
    </row>
    <row r="163" spans="1:9" x14ac:dyDescent="0.3">
      <c r="B163" t="s">
        <v>96</v>
      </c>
      <c r="C163" s="4">
        <f t="shared" si="29"/>
        <v>-1.0140710378597088E-4</v>
      </c>
      <c r="D163" s="4">
        <f t="shared" si="29"/>
        <v>1.6480901658835737E-4</v>
      </c>
      <c r="E163" s="4">
        <f t="shared" si="29"/>
        <v>2.6483013418543776E-5</v>
      </c>
      <c r="G163" s="6">
        <f t="shared" si="26"/>
        <v>369079.7732</v>
      </c>
      <c r="H163" s="6">
        <f t="shared" si="27"/>
        <v>415095.79810000001</v>
      </c>
      <c r="I163" s="6">
        <f t="shared" si="28"/>
        <v>492047.56040000002</v>
      </c>
    </row>
    <row r="164" spans="1:9" x14ac:dyDescent="0.3">
      <c r="B164" t="s">
        <v>11</v>
      </c>
      <c r="C164" s="4">
        <f t="shared" si="29"/>
        <v>-1.6470821253319293E-3</v>
      </c>
      <c r="D164" s="4">
        <f t="shared" si="29"/>
        <v>-1.0265576946362738E-3</v>
      </c>
      <c r="E164" s="4">
        <f t="shared" si="29"/>
        <v>-1.2179424282174108E-3</v>
      </c>
      <c r="G164" s="6">
        <f t="shared" si="26"/>
        <v>57563.216125560008</v>
      </c>
      <c r="H164" s="6">
        <f t="shared" si="27"/>
        <v>64339.886503940004</v>
      </c>
      <c r="I164" s="6">
        <f t="shared" si="28"/>
        <v>74569.918986670004</v>
      </c>
    </row>
    <row r="165" spans="1:9" x14ac:dyDescent="0.3">
      <c r="B165" t="s">
        <v>8</v>
      </c>
      <c r="C165" s="4">
        <f t="shared" si="29"/>
        <v>-1.0959450636161725E-3</v>
      </c>
      <c r="D165" s="4">
        <f t="shared" si="29"/>
        <v>-3.7630434022311991E-4</v>
      </c>
      <c r="E165" s="4">
        <f t="shared" si="29"/>
        <v>-3.0308648646208431E-4</v>
      </c>
      <c r="G165" s="6">
        <f t="shared" si="26"/>
        <v>850209.93235000002</v>
      </c>
      <c r="H165" s="6">
        <f t="shared" si="27"/>
        <v>953749.65538000001</v>
      </c>
      <c r="I165" s="6">
        <f t="shared" si="28"/>
        <v>1072716.7051899999</v>
      </c>
    </row>
    <row r="166" spans="1:9" x14ac:dyDescent="0.3">
      <c r="B166" t="s">
        <v>24</v>
      </c>
      <c r="C166" s="4">
        <f t="shared" si="29"/>
        <v>4.4912016543221281E-5</v>
      </c>
      <c r="D166" s="4">
        <f t="shared" si="29"/>
        <v>1.8102881684365396E-4</v>
      </c>
      <c r="E166" s="4">
        <f t="shared" si="29"/>
        <v>3.3570903141255269E-4</v>
      </c>
      <c r="G166" s="6">
        <f t="shared" si="26"/>
        <v>86189.856497100001</v>
      </c>
      <c r="H166" s="6">
        <f t="shared" si="27"/>
        <v>95561.225321700011</v>
      </c>
      <c r="I166" s="6">
        <f t="shared" si="28"/>
        <v>104233.01148280001</v>
      </c>
    </row>
    <row r="167" spans="1:9" x14ac:dyDescent="0.3">
      <c r="B167" t="s">
        <v>10</v>
      </c>
      <c r="C167" s="4">
        <f t="shared" si="29"/>
        <v>-1.7143185302778E-3</v>
      </c>
      <c r="D167" s="4">
        <f t="shared" si="29"/>
        <v>-5.5204035654713986E-4</v>
      </c>
      <c r="E167" s="4">
        <f t="shared" si="29"/>
        <v>-1.3327986293027857E-3</v>
      </c>
      <c r="G167" s="6">
        <f t="shared" si="26"/>
        <v>3232484.1491</v>
      </c>
      <c r="H167" s="6">
        <f t="shared" si="27"/>
        <v>3801511.3876999998</v>
      </c>
      <c r="I167" s="6">
        <f t="shared" si="28"/>
        <v>4404399.1639999999</v>
      </c>
    </row>
    <row r="168" spans="1:9" x14ac:dyDescent="0.3">
      <c r="B168" t="s">
        <v>9</v>
      </c>
      <c r="C168" s="4">
        <f t="shared" si="29"/>
        <v>-1.3291674266695532E-4</v>
      </c>
      <c r="D168" s="4">
        <f t="shared" si="29"/>
        <v>-5.4384960481585711E-5</v>
      </c>
      <c r="E168" s="4">
        <f t="shared" si="29"/>
        <v>-5.891774855882493E-5</v>
      </c>
      <c r="G168" s="6">
        <f t="shared" si="26"/>
        <v>145139.3242</v>
      </c>
      <c r="H168" s="6">
        <f t="shared" si="27"/>
        <v>166074.55942999999</v>
      </c>
      <c r="I168" s="6">
        <f t="shared" si="28"/>
        <v>189265.13170999999</v>
      </c>
    </row>
    <row r="169" spans="1:9" x14ac:dyDescent="0.3">
      <c r="C169" s="5"/>
      <c r="D169" s="5"/>
      <c r="E169" s="5"/>
    </row>
    <row r="170" spans="1:9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</row>
    <row r="171" spans="1:9" x14ac:dyDescent="0.3">
      <c r="A171" t="s">
        <v>58</v>
      </c>
      <c r="B171" t="s">
        <v>7</v>
      </c>
      <c r="C171" s="4">
        <f t="shared" ref="C171:C177" si="30">R142/R$141-R130/R$129</f>
        <v>8.6862148159453506E-5</v>
      </c>
      <c r="D171" s="4">
        <f t="shared" ref="D171:E177" si="31">AB142/AB$141-AB130/AB$129</f>
        <v>1.6993911626839858E-5</v>
      </c>
      <c r="E171" s="4">
        <f t="shared" si="31"/>
        <v>1.8783926314294014E-5</v>
      </c>
    </row>
    <row r="172" spans="1:9" x14ac:dyDescent="0.3">
      <c r="B172" t="s">
        <v>96</v>
      </c>
      <c r="C172" s="4">
        <f t="shared" si="30"/>
        <v>2.5481570235220963E-4</v>
      </c>
      <c r="D172" s="4">
        <f t="shared" si="31"/>
        <v>2.8964069752376864E-4</v>
      </c>
      <c r="E172" s="4">
        <f t="shared" si="31"/>
        <v>2.7593779742579594E-4</v>
      </c>
    </row>
    <row r="173" spans="1:9" x14ac:dyDescent="0.3">
      <c r="B173" t="s">
        <v>11</v>
      </c>
      <c r="C173" s="4">
        <f t="shared" si="30"/>
        <v>-1.5991475535643875E-3</v>
      </c>
      <c r="D173" s="4">
        <f t="shared" si="31"/>
        <v>-1.0089748056313717E-3</v>
      </c>
      <c r="E173" s="4">
        <f t="shared" si="31"/>
        <v>-9.8456374385659691E-4</v>
      </c>
    </row>
    <row r="174" spans="1:9" x14ac:dyDescent="0.3">
      <c r="B174" t="s">
        <v>8</v>
      </c>
      <c r="C174" s="4">
        <f t="shared" si="30"/>
        <v>-2.7938236777877434E-4</v>
      </c>
      <c r="D174" s="4">
        <f t="shared" si="31"/>
        <v>-9.0750675812850679E-5</v>
      </c>
      <c r="E174" s="4">
        <f t="shared" si="31"/>
        <v>-5.0069927091778155E-5</v>
      </c>
    </row>
    <row r="175" spans="1:9" x14ac:dyDescent="0.3">
      <c r="B175" t="s">
        <v>24</v>
      </c>
      <c r="C175" s="4">
        <f t="shared" si="30"/>
        <v>1.284199900462718E-4</v>
      </c>
      <c r="D175" s="4">
        <f t="shared" si="31"/>
        <v>2.1000710875030207E-4</v>
      </c>
      <c r="E175" s="4">
        <f t="shared" si="31"/>
        <v>2.2857209417429664E-4</v>
      </c>
    </row>
    <row r="176" spans="1:9" x14ac:dyDescent="0.3">
      <c r="B176" t="s">
        <v>10</v>
      </c>
      <c r="C176" s="4">
        <f t="shared" si="30"/>
        <v>1.4017004312828485E-3</v>
      </c>
      <c r="D176" s="4">
        <f t="shared" si="31"/>
        <v>5.8772725462152842E-4</v>
      </c>
      <c r="E176" s="4">
        <f t="shared" si="31"/>
        <v>5.1353867148518084E-4</v>
      </c>
    </row>
    <row r="177" spans="1:38" x14ac:dyDescent="0.3">
      <c r="B177" t="s">
        <v>9</v>
      </c>
      <c r="C177" s="4">
        <f t="shared" si="30"/>
        <v>6.7318251483899916E-6</v>
      </c>
      <c r="D177" s="4">
        <f t="shared" si="31"/>
        <v>-4.6433605856641136E-6</v>
      </c>
      <c r="E177" s="4">
        <f t="shared" si="31"/>
        <v>-2.1989797650799614E-6</v>
      </c>
    </row>
    <row r="178" spans="1:38" x14ac:dyDescent="0.3">
      <c r="C178" s="4"/>
      <c r="D178" s="4"/>
      <c r="E178" s="4"/>
    </row>
    <row r="179" spans="1:38" x14ac:dyDescent="0.3">
      <c r="A179" s="12" t="s">
        <v>29</v>
      </c>
      <c r="C179" s="4"/>
      <c r="D179" s="4"/>
      <c r="E179" s="4"/>
    </row>
    <row r="180" spans="1:38" x14ac:dyDescent="0.3">
      <c r="A180" t="s">
        <v>26</v>
      </c>
      <c r="B180" t="s">
        <v>28</v>
      </c>
      <c r="C180" s="6">
        <f>[1]Capital!B3</f>
        <v>8842603.023</v>
      </c>
      <c r="D180" s="6">
        <f>[1]Capital!C3</f>
        <v>8946732.2760000005</v>
      </c>
      <c r="E180" s="6">
        <f>[1]Capital!D3</f>
        <v>9053431.7170000002</v>
      </c>
      <c r="F180" s="6">
        <f>[1]Capital!E3</f>
        <v>9163660.0549999997</v>
      </c>
      <c r="G180" s="6">
        <f>[1]Capital!F3</f>
        <v>9277663.6610000003</v>
      </c>
      <c r="H180" s="6">
        <f>[1]Capital!G3</f>
        <v>9395208.9309999999</v>
      </c>
      <c r="I180" s="6">
        <f>[1]Capital!H3</f>
        <v>9516012.727</v>
      </c>
      <c r="J180" s="6">
        <f>[1]Capital!I3</f>
        <v>9639566.1620000005</v>
      </c>
      <c r="K180" s="6">
        <f>[1]Capital!J3</f>
        <v>9765575.6420000009</v>
      </c>
      <c r="L180" s="6">
        <f>[1]Capital!K3</f>
        <v>9894005.5260000005</v>
      </c>
      <c r="M180" s="6">
        <f>[1]Capital!L3</f>
        <v>10024843.51</v>
      </c>
      <c r="N180" s="6">
        <f>[1]Capital!M3</f>
        <v>10158771.48</v>
      </c>
      <c r="O180" s="6">
        <f>[1]Capital!N3</f>
        <v>10295780.380000001</v>
      </c>
      <c r="P180" s="6">
        <f>[1]Capital!O3</f>
        <v>10435680.98</v>
      </c>
      <c r="Q180" s="6">
        <f>[1]Capital!P3</f>
        <v>10578320.52</v>
      </c>
      <c r="R180" s="6">
        <f>[1]Capital!Q3</f>
        <v>10723675.449999999</v>
      </c>
      <c r="S180" s="6">
        <f>[1]Capital!R3</f>
        <v>10871870.039999999</v>
      </c>
      <c r="T180" s="6">
        <f>[1]Capital!S3</f>
        <v>11023143.42</v>
      </c>
      <c r="U180" s="6">
        <f>[1]Capital!T3</f>
        <v>11177791.52</v>
      </c>
      <c r="V180" s="6">
        <f>[1]Capital!U3</f>
        <v>11336109.390000001</v>
      </c>
      <c r="W180" s="6">
        <f>[1]Capital!V3</f>
        <v>11498363</v>
      </c>
      <c r="X180" s="6">
        <f>[1]Capital!W3</f>
        <v>11664432.41</v>
      </c>
      <c r="Y180" s="6">
        <f>[1]Capital!X3</f>
        <v>11834556.960000001</v>
      </c>
      <c r="Z180" s="6">
        <f>[1]Capital!Y3</f>
        <v>12008981.890000001</v>
      </c>
      <c r="AA180" s="6">
        <f>[1]Capital!Z3</f>
        <v>12187874.34</v>
      </c>
      <c r="AB180" s="6">
        <f>[1]Capital!AA3</f>
        <v>12371234.550000001</v>
      </c>
      <c r="AC180" s="6">
        <f>[1]Capital!AB3</f>
        <v>12558369.460000001</v>
      </c>
      <c r="AD180" s="6">
        <f>[1]Capital!AC3</f>
        <v>12749175.92</v>
      </c>
      <c r="AE180" s="6">
        <f>[1]Capital!AD3</f>
        <v>12943746.27</v>
      </c>
      <c r="AF180" s="6">
        <f>[1]Capital!AE3</f>
        <v>13142194.15</v>
      </c>
      <c r="AG180" s="6">
        <f>[1]Capital!AF3</f>
        <v>13344569.93</v>
      </c>
      <c r="AH180" s="6">
        <f>[1]Capital!AG3</f>
        <v>13550836.41</v>
      </c>
      <c r="AI180" s="6">
        <f>[1]Capital!AH3</f>
        <v>13760890.73</v>
      </c>
      <c r="AJ180" s="6">
        <f>[1]Capital!AI3</f>
        <v>13974609.539999999</v>
      </c>
      <c r="AK180" s="6">
        <f>[1]Capital!AJ3</f>
        <v>14191892.35</v>
      </c>
      <c r="AL180" s="6">
        <f>[1]Capital!AK3</f>
        <v>14412685.17</v>
      </c>
    </row>
    <row r="181" spans="1:38" x14ac:dyDescent="0.3">
      <c r="B181" t="s">
        <v>7</v>
      </c>
      <c r="C181" s="6">
        <f>[1]Capital!B5+[1]Capital!B7</f>
        <v>195880.74553000001</v>
      </c>
      <c r="D181" s="6">
        <f>[1]Capital!C5+[1]Capital!C7</f>
        <v>198047.38357000001</v>
      </c>
      <c r="E181" s="6">
        <f>[1]Capital!D5+[1]Capital!D7</f>
        <v>200075.00660999998</v>
      </c>
      <c r="F181" s="6">
        <f>[1]Capital!E5+[1]Capital!E7</f>
        <v>201978.13864000002</v>
      </c>
      <c r="G181" s="6">
        <f>[1]Capital!F5+[1]Capital!F7</f>
        <v>203787.67191999999</v>
      </c>
      <c r="H181" s="6">
        <f>[1]Capital!G5+[1]Capital!G7</f>
        <v>205535.79671999998</v>
      </c>
      <c r="I181" s="6">
        <f>[1]Capital!H5+[1]Capital!H7</f>
        <v>207244.37997000001</v>
      </c>
      <c r="J181" s="6">
        <f>[1]Capital!I5+[1]Capital!I7</f>
        <v>208928.22900000002</v>
      </c>
      <c r="K181" s="6">
        <f>[1]Capital!J5+[1]Capital!J7</f>
        <v>210595.66063</v>
      </c>
      <c r="L181" s="6">
        <f>[1]Capital!K5+[1]Capital!K7</f>
        <v>212248.96775000001</v>
      </c>
      <c r="M181" s="6">
        <f>[1]Capital!L5+[1]Capital!L7</f>
        <v>213894.71715000001</v>
      </c>
      <c r="N181" s="6">
        <f>[1]Capital!M5+[1]Capital!M7</f>
        <v>215523.10246000002</v>
      </c>
      <c r="O181" s="6">
        <f>[1]Capital!N5+[1]Capital!N7</f>
        <v>217120.26149999999</v>
      </c>
      <c r="P181" s="6">
        <f>[1]Capital!O5+[1]Capital!O7</f>
        <v>218671.43904999999</v>
      </c>
      <c r="Q181" s="6">
        <f>[1]Capital!P5+[1]Capital!P7</f>
        <v>220163.71719</v>
      </c>
      <c r="R181" s="6">
        <f>[1]Capital!Q5+[1]Capital!Q7</f>
        <v>221587.87943999999</v>
      </c>
      <c r="S181" s="6">
        <f>[1]Capital!R5+[1]Capital!R7</f>
        <v>222939.08600000001</v>
      </c>
      <c r="T181" s="6">
        <f>[1]Capital!S5+[1]Capital!S7</f>
        <v>224216.53005999999</v>
      </c>
      <c r="U181" s="6">
        <f>[1]Capital!T5+[1]Capital!T7</f>
        <v>225422.50593000001</v>
      </c>
      <c r="V181" s="6">
        <f>[1]Capital!U5+[1]Capital!U7</f>
        <v>226561.32345</v>
      </c>
      <c r="W181" s="6">
        <f>[1]Capital!V5+[1]Capital!V7</f>
        <v>227631.60569999999</v>
      </c>
      <c r="X181" s="6">
        <f>[1]Capital!W5+[1]Capital!W7</f>
        <v>228641.18925</v>
      </c>
      <c r="Y181" s="6">
        <f>[1]Capital!X5+[1]Capital!X7</f>
        <v>229598.15444000001</v>
      </c>
      <c r="Z181" s="6">
        <f>[1]Capital!Y5+[1]Capital!Y7</f>
        <v>230509.96729</v>
      </c>
      <c r="AA181" s="6">
        <f>[1]Capital!Z5+[1]Capital!Z7</f>
        <v>231383.12667000003</v>
      </c>
      <c r="AB181" s="6">
        <f>[1]Capital!AA5+[1]Capital!AA7</f>
        <v>232204.43713999999</v>
      </c>
      <c r="AC181" s="6">
        <f>[1]Capital!AB5+[1]Capital!AB7</f>
        <v>232975.84404</v>
      </c>
      <c r="AD181" s="6">
        <f>[1]Capital!AC5+[1]Capital!AC7</f>
        <v>233701.38513000001</v>
      </c>
      <c r="AE181" s="6">
        <f>[1]Capital!AD5+[1]Capital!AD7</f>
        <v>234385.91102</v>
      </c>
      <c r="AF181" s="6">
        <f>[1]Capital!AE5+[1]Capital!AE7</f>
        <v>235034.17962000001</v>
      </c>
      <c r="AG181" s="6">
        <f>[1]Capital!AF5+[1]Capital!AF7</f>
        <v>235650.17724999998</v>
      </c>
      <c r="AH181" s="6">
        <f>[1]Capital!AG5+[1]Capital!AG7</f>
        <v>236236.89188000001</v>
      </c>
      <c r="AI181" s="6">
        <f>[1]Capital!AH5+[1]Capital!AH7</f>
        <v>236796.49944000001</v>
      </c>
      <c r="AJ181" s="6">
        <f>[1]Capital!AI5+[1]Capital!AI7</f>
        <v>237330.75584</v>
      </c>
      <c r="AK181" s="6">
        <f>[1]Capital!AJ5+[1]Capital!AJ7</f>
        <v>237841.36057000002</v>
      </c>
      <c r="AL181" s="6">
        <f>[1]Capital!AK5+[1]Capital!AK7</f>
        <v>238330.14637</v>
      </c>
    </row>
    <row r="182" spans="1:38" x14ac:dyDescent="0.3">
      <c r="B182" t="s">
        <v>96</v>
      </c>
      <c r="C182" s="6">
        <f>[1]Capital!B27</f>
        <v>84761.609540000005</v>
      </c>
      <c r="D182" s="6">
        <f>[1]Capital!C27</f>
        <v>86077.72696</v>
      </c>
      <c r="E182" s="6">
        <f>[1]Capital!D27</f>
        <v>87807.399430000005</v>
      </c>
      <c r="F182" s="6">
        <f>[1]Capital!E27</f>
        <v>89828.476509999993</v>
      </c>
      <c r="G182" s="6">
        <f>[1]Capital!F27</f>
        <v>91997.267559999993</v>
      </c>
      <c r="H182" s="6">
        <f>[1]Capital!G27</f>
        <v>94216.563259999995</v>
      </c>
      <c r="I182" s="6">
        <f>[1]Capital!H27</f>
        <v>96321.754870000004</v>
      </c>
      <c r="J182" s="6">
        <f>[1]Capital!I27</f>
        <v>98326.021949999995</v>
      </c>
      <c r="K182" s="6">
        <f>[1]Capital!J27</f>
        <v>100264.6439</v>
      </c>
      <c r="L182" s="6">
        <f>[1]Capital!K27</f>
        <v>102164.32769999999</v>
      </c>
      <c r="M182" s="6">
        <f>[1]Capital!L27</f>
        <v>104208.9596</v>
      </c>
      <c r="N182" s="6">
        <f>[1]Capital!M27</f>
        <v>106196.98360000001</v>
      </c>
      <c r="O182" s="6">
        <f>[1]Capital!N27</f>
        <v>108122.0577</v>
      </c>
      <c r="P182" s="6">
        <f>[1]Capital!O27</f>
        <v>110009.84510000001</v>
      </c>
      <c r="Q182" s="6">
        <f>[1]Capital!P27</f>
        <v>111880.0073</v>
      </c>
      <c r="R182" s="6">
        <f>[1]Capital!Q27</f>
        <v>113744.9795</v>
      </c>
      <c r="S182" s="6">
        <f>[1]Capital!R27</f>
        <v>115613.8006</v>
      </c>
      <c r="T182" s="6">
        <f>[1]Capital!S27</f>
        <v>117494.48510000001</v>
      </c>
      <c r="U182" s="6">
        <f>[1]Capital!T27</f>
        <v>119394.6311</v>
      </c>
      <c r="V182" s="6">
        <f>[1]Capital!U27</f>
        <v>121321.1177</v>
      </c>
      <c r="W182" s="6">
        <f>[1]Capital!V27</f>
        <v>123160.08960000001</v>
      </c>
      <c r="X182" s="6">
        <f>[1]Capital!W27</f>
        <v>125063.7665</v>
      </c>
      <c r="Y182" s="6">
        <f>[1]Capital!X27</f>
        <v>127049.8612</v>
      </c>
      <c r="Z182" s="6">
        <f>[1]Capital!Y27</f>
        <v>129105.9602</v>
      </c>
      <c r="AA182" s="6">
        <f>[1]Capital!Z27</f>
        <v>131220.03419999999</v>
      </c>
      <c r="AB182" s="6">
        <f>[1]Capital!AA27</f>
        <v>133033.09220000001</v>
      </c>
      <c r="AC182" s="6">
        <f>[1]Capital!AB27</f>
        <v>134834.46960000001</v>
      </c>
      <c r="AD182" s="6">
        <f>[1]Capital!AC27</f>
        <v>136696.13740000001</v>
      </c>
      <c r="AE182" s="6">
        <f>[1]Capital!AD27</f>
        <v>138624.85140000001</v>
      </c>
      <c r="AF182" s="6">
        <f>[1]Capital!AE27</f>
        <v>140614.77669999999</v>
      </c>
      <c r="AG182" s="6">
        <f>[1]Capital!AF27</f>
        <v>142659.5197</v>
      </c>
      <c r="AH182" s="6">
        <f>[1]Capital!AG27</f>
        <v>144753.57190000001</v>
      </c>
      <c r="AI182" s="6">
        <f>[1]Capital!AH27</f>
        <v>146892.05929999999</v>
      </c>
      <c r="AJ182" s="6">
        <f>[1]Capital!AI27</f>
        <v>149070.78750000001</v>
      </c>
      <c r="AK182" s="6">
        <f>[1]Capital!AJ27</f>
        <v>151286.571</v>
      </c>
      <c r="AL182" s="6">
        <f>[1]Capital!AK27</f>
        <v>153537.46739999999</v>
      </c>
    </row>
    <row r="183" spans="1:38" x14ac:dyDescent="0.3">
      <c r="B183" t="s">
        <v>11</v>
      </c>
      <c r="C183" s="6">
        <f>[1]Capital!B51+[1]Capital!B53+[1]Capital!B55+[1]Capital!B57+[1]Capital!B59+[1]Capital!B61+[1]Capital!B63+[1]Capital!B65+[1]Capital!B67</f>
        <v>83894.931179599997</v>
      </c>
      <c r="D183" s="6">
        <f>[1]Capital!C51+[1]Capital!C53+[1]Capital!C55+[1]Capital!C57+[1]Capital!C59+[1]Capital!C61+[1]Capital!C63+[1]Capital!C65+[1]Capital!C67</f>
        <v>84840.445972699978</v>
      </c>
      <c r="E183" s="6">
        <f>[1]Capital!D51+[1]Capital!D53+[1]Capital!D55+[1]Capital!D57+[1]Capital!D59+[1]Capital!D61+[1]Capital!D63+[1]Capital!D65+[1]Capital!D67</f>
        <v>85768.626736599996</v>
      </c>
      <c r="F183" s="6">
        <f>[1]Capital!E51+[1]Capital!E53+[1]Capital!E55+[1]Capital!E57+[1]Capital!E59+[1]Capital!E61+[1]Capital!E63+[1]Capital!E65+[1]Capital!E67</f>
        <v>86691.847786600003</v>
      </c>
      <c r="G183" s="6">
        <f>[1]Capital!F51+[1]Capital!F53+[1]Capital!F55+[1]Capital!F57+[1]Capital!F59+[1]Capital!F61+[1]Capital!F63+[1]Capital!F65+[1]Capital!F67</f>
        <v>87632.487252199993</v>
      </c>
      <c r="H183" s="6">
        <f>[1]Capital!G51+[1]Capital!G53+[1]Capital!G55+[1]Capital!G57+[1]Capital!G59+[1]Capital!G61+[1]Capital!G63+[1]Capital!G65+[1]Capital!G67</f>
        <v>88616.343729900007</v>
      </c>
      <c r="I183" s="6">
        <f>[1]Capital!H51+[1]Capital!H53+[1]Capital!H55+[1]Capital!H57+[1]Capital!H59+[1]Capital!H61+[1]Capital!H63+[1]Capital!H65+[1]Capital!H67</f>
        <v>89665.235755600021</v>
      </c>
      <c r="J183" s="6">
        <f>[1]Capital!I51+[1]Capital!I53+[1]Capital!I55+[1]Capital!I57+[1]Capital!I59+[1]Capital!I61+[1]Capital!I63+[1]Capital!I65+[1]Capital!I67</f>
        <v>90797.466076799989</v>
      </c>
      <c r="K183" s="6">
        <f>[1]Capital!J51+[1]Capital!J53+[1]Capital!J55+[1]Capital!J57+[1]Capital!J59+[1]Capital!J61+[1]Capital!J63+[1]Capital!J65+[1]Capital!J67</f>
        <v>92025.550780999998</v>
      </c>
      <c r="L183" s="6">
        <f>[1]Capital!K51+[1]Capital!K53+[1]Capital!K55+[1]Capital!K57+[1]Capital!K59+[1]Capital!K61+[1]Capital!K63+[1]Capital!K65+[1]Capital!K67</f>
        <v>93354.953456200004</v>
      </c>
      <c r="M183" s="6">
        <f>[1]Capital!L51+[1]Capital!L53+[1]Capital!L55+[1]Capital!L57+[1]Capital!L59+[1]Capital!L61+[1]Capital!L63+[1]Capital!L65+[1]Capital!L67</f>
        <v>94787.344055700029</v>
      </c>
      <c r="N183" s="6">
        <f>[1]Capital!M51+[1]Capital!M53+[1]Capital!M55+[1]Capital!M57+[1]Capital!M59+[1]Capital!M61+[1]Capital!M63+[1]Capital!M65+[1]Capital!M67</f>
        <v>96314.818714299996</v>
      </c>
      <c r="O183" s="6">
        <f>[1]Capital!N51+[1]Capital!N53+[1]Capital!N55+[1]Capital!N57+[1]Capital!N59+[1]Capital!N61+[1]Capital!N63+[1]Capital!N65+[1]Capital!N67</f>
        <v>97925.213042200005</v>
      </c>
      <c r="P183" s="6">
        <f>[1]Capital!O51+[1]Capital!O53+[1]Capital!O55+[1]Capital!O57+[1]Capital!O59+[1]Capital!O61+[1]Capital!O63+[1]Capital!O65+[1]Capital!O67</f>
        <v>99603.601505300001</v>
      </c>
      <c r="Q183" s="6">
        <f>[1]Capital!P51+[1]Capital!P53+[1]Capital!P55+[1]Capital!P57+[1]Capital!P59+[1]Capital!P61+[1]Capital!P63+[1]Capital!P65+[1]Capital!P67</f>
        <v>101332.49456220001</v>
      </c>
      <c r="R183" s="6">
        <f>[1]Capital!Q51+[1]Capital!Q53+[1]Capital!Q55+[1]Capital!Q57+[1]Capital!Q59+[1]Capital!Q61+[1]Capital!Q63+[1]Capital!Q65+[1]Capital!Q67</f>
        <v>103092.65234330001</v>
      </c>
      <c r="S183" s="6">
        <f>[1]Capital!R51+[1]Capital!R53+[1]Capital!R55+[1]Capital!R57+[1]Capital!R59+[1]Capital!R61+[1]Capital!R63+[1]Capital!R65+[1]Capital!R67</f>
        <v>104865.2397961</v>
      </c>
      <c r="T183" s="6">
        <f>[1]Capital!S51+[1]Capital!S53+[1]Capital!S55+[1]Capital!S57+[1]Capital!S59+[1]Capital!S61+[1]Capital!S63+[1]Capital!S65+[1]Capital!S67</f>
        <v>106634.2453636</v>
      </c>
      <c r="U183" s="6">
        <f>[1]Capital!T51+[1]Capital!T53+[1]Capital!T55+[1]Capital!T57+[1]Capital!T59+[1]Capital!T61+[1]Capital!T63+[1]Capital!T65+[1]Capital!T67</f>
        <v>108388.4917023</v>
      </c>
      <c r="V183" s="6">
        <f>[1]Capital!U51+[1]Capital!U53+[1]Capital!U55+[1]Capital!U57+[1]Capital!U59+[1]Capital!U61+[1]Capital!U63+[1]Capital!U65+[1]Capital!U67</f>
        <v>110122.77224579998</v>
      </c>
      <c r="W183" s="6">
        <f>[1]Capital!V51+[1]Capital!V53+[1]Capital!V55+[1]Capital!V57+[1]Capital!V59+[1]Capital!V61+[1]Capital!V63+[1]Capital!V65+[1]Capital!V67</f>
        <v>111834.93836979999</v>
      </c>
      <c r="X183" s="6">
        <f>[1]Capital!W51+[1]Capital!W53+[1]Capital!W55+[1]Capital!W57+[1]Capital!W59+[1]Capital!W61+[1]Capital!W63+[1]Capital!W65+[1]Capital!W67</f>
        <v>113530.35710820001</v>
      </c>
      <c r="Y183" s="6">
        <f>[1]Capital!X51+[1]Capital!X53+[1]Capital!X55+[1]Capital!X57+[1]Capital!X59+[1]Capital!X61+[1]Capital!X63+[1]Capital!X65+[1]Capital!X67</f>
        <v>115217.79652330001</v>
      </c>
      <c r="Z183" s="6">
        <f>[1]Capital!Y51+[1]Capital!Y53+[1]Capital!Y55+[1]Capital!Y57+[1]Capital!Y59+[1]Capital!Y61+[1]Capital!Y63+[1]Capital!Y65+[1]Capital!Y67</f>
        <v>116907.8464739</v>
      </c>
      <c r="AA183" s="6">
        <f>[1]Capital!Z51+[1]Capital!Z53+[1]Capital!Z55+[1]Capital!Z57+[1]Capital!Z59+[1]Capital!Z61+[1]Capital!Z63+[1]Capital!Z65+[1]Capital!Z67</f>
        <v>118612.09513620002</v>
      </c>
      <c r="AB183" s="6">
        <f>[1]Capital!AA51+[1]Capital!AA53+[1]Capital!AA55+[1]Capital!AA57+[1]Capital!AA59+[1]Capital!AA61+[1]Capital!AA63+[1]Capital!AA65+[1]Capital!AA67</f>
        <v>120332.86028739999</v>
      </c>
      <c r="AC183" s="6">
        <f>[1]Capital!AB51+[1]Capital!AB53+[1]Capital!AB55+[1]Capital!AB57+[1]Capital!AB59+[1]Capital!AB61+[1]Capital!AB63+[1]Capital!AB65+[1]Capital!AB67</f>
        <v>122078.6394359</v>
      </c>
      <c r="AD183" s="6">
        <f>[1]Capital!AC51+[1]Capital!AC53+[1]Capital!AC55+[1]Capital!AC57+[1]Capital!AC59+[1]Capital!AC61+[1]Capital!AC63+[1]Capital!AC65+[1]Capital!AC67</f>
        <v>123855.75680510001</v>
      </c>
      <c r="AE183" s="6">
        <f>[1]Capital!AD51+[1]Capital!AD53+[1]Capital!AD55+[1]Capital!AD57+[1]Capital!AD59+[1]Capital!AD61+[1]Capital!AD63+[1]Capital!AD65+[1]Capital!AD67</f>
        <v>125667.30750439999</v>
      </c>
      <c r="AF183" s="6">
        <f>[1]Capital!AE51+[1]Capital!AE53+[1]Capital!AE55+[1]Capital!AE57+[1]Capital!AE59+[1]Capital!AE61+[1]Capital!AE63+[1]Capital!AE65+[1]Capital!AE67</f>
        <v>127514.3573129</v>
      </c>
      <c r="AG183" s="6">
        <f>[1]Capital!AF51+[1]Capital!AF53+[1]Capital!AF55+[1]Capital!AF57+[1]Capital!AF59+[1]Capital!AF61+[1]Capital!AF63+[1]Capital!AF65+[1]Capital!AF67</f>
        <v>129397.10659629999</v>
      </c>
      <c r="AH183" s="6">
        <f>[1]Capital!AG51+[1]Capital!AG53+[1]Capital!AG55+[1]Capital!AG57+[1]Capital!AG59+[1]Capital!AG61+[1]Capital!AG63+[1]Capital!AG65+[1]Capital!AG67</f>
        <v>131315.41531369998</v>
      </c>
      <c r="AI183" s="6">
        <f>[1]Capital!AH51+[1]Capital!AH53+[1]Capital!AH55+[1]Capital!AH57+[1]Capital!AH59+[1]Capital!AH61+[1]Capital!AH63+[1]Capital!AH65+[1]Capital!AH67</f>
        <v>133268.73813139999</v>
      </c>
      <c r="AJ183" s="6">
        <f>[1]Capital!AI51+[1]Capital!AI53+[1]Capital!AI55+[1]Capital!AI57+[1]Capital!AI59+[1]Capital!AI61+[1]Capital!AI63+[1]Capital!AI65+[1]Capital!AI67</f>
        <v>135255.7714544</v>
      </c>
      <c r="AK183" s="6">
        <f>[1]Capital!AJ51+[1]Capital!AJ53+[1]Capital!AJ55+[1]Capital!AJ57+[1]Capital!AJ59+[1]Capital!AJ61+[1]Capital!AJ63+[1]Capital!AJ65+[1]Capital!AJ67</f>
        <v>137274.1580694</v>
      </c>
      <c r="AL183" s="6">
        <f>[1]Capital!AK51+[1]Capital!AK53+[1]Capital!AK55+[1]Capital!AK57+[1]Capital!AK59+[1]Capital!AK61+[1]Capital!AK63+[1]Capital!AK65+[1]Capital!AK67</f>
        <v>139320.26470110001</v>
      </c>
    </row>
    <row r="184" spans="1:3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622110.14280400006</v>
      </c>
      <c r="D184" s="6">
        <f>-[1]Capital!C27+[1]Capital!C9+[1]Capital!C11+[1]Capital!C13+[1]Capital!C15+[1]Capital!C17+[1]Capital!C19+[1]Capital!C21+[1]Capital!C23+[1]Capital!C25+[1]Capital!C27+[1]Capital!C41</f>
        <v>629366.22872899997</v>
      </c>
      <c r="E184" s="6">
        <f>-[1]Capital!D27+[1]Capital!D9+[1]Capital!D11+[1]Capital!D13+[1]Capital!D15+[1]Capital!D17+[1]Capital!D19+[1]Capital!D21+[1]Capital!D23+[1]Capital!D25+[1]Capital!D27+[1]Capital!D41</f>
        <v>636749.50905799994</v>
      </c>
      <c r="F184" s="6">
        <f>-[1]Capital!E27+[1]Capital!E9+[1]Capital!E11+[1]Capital!E13+[1]Capital!E15+[1]Capital!E17+[1]Capital!E19+[1]Capital!E21+[1]Capital!E23+[1]Capital!E25+[1]Capital!E27+[1]Capital!E41</f>
        <v>644349.0919169999</v>
      </c>
      <c r="G184" s="6">
        <f>-[1]Capital!F27+[1]Capital!F9+[1]Capital!F11+[1]Capital!F13+[1]Capital!F15+[1]Capital!F17+[1]Capital!F19+[1]Capital!F21+[1]Capital!F23+[1]Capital!F25+[1]Capital!F27+[1]Capital!F41</f>
        <v>652191.04047499993</v>
      </c>
      <c r="H184" s="6">
        <f>-[1]Capital!G27+[1]Capital!G9+[1]Capital!G11+[1]Capital!G13+[1]Capital!G15+[1]Capital!G17+[1]Capital!G19+[1]Capital!G21+[1]Capital!G23+[1]Capital!G25+[1]Capital!G27+[1]Capital!G41</f>
        <v>660270.67090799985</v>
      </c>
      <c r="I184" s="6">
        <f>-[1]Capital!H27+[1]Capital!H9+[1]Capital!H11+[1]Capital!H13+[1]Capital!H15+[1]Capital!H17+[1]Capital!H19+[1]Capital!H21+[1]Capital!H23+[1]Capital!H25+[1]Capital!H27+[1]Capital!H41</f>
        <v>668514.69948399987</v>
      </c>
      <c r="J184" s="6">
        <f>-[1]Capital!I27+[1]Capital!I9+[1]Capital!I11+[1]Capital!I13+[1]Capital!I15+[1]Capital!I17+[1]Capital!I19+[1]Capital!I21+[1]Capital!I23+[1]Capital!I25+[1]Capital!I27+[1]Capital!I41</f>
        <v>676901.73427400005</v>
      </c>
      <c r="K184" s="6">
        <f>-[1]Capital!J27+[1]Capital!J9+[1]Capital!J11+[1]Capital!J13+[1]Capital!J15+[1]Capital!J17+[1]Capital!J19+[1]Capital!J21+[1]Capital!J23+[1]Capital!J25+[1]Capital!J27+[1]Capital!J41</f>
        <v>685434.18137499993</v>
      </c>
      <c r="L184" s="6">
        <f>-[1]Capital!K27+[1]Capital!K9+[1]Capital!K11+[1]Capital!K13+[1]Capital!K15+[1]Capital!K17+[1]Capital!K19+[1]Capital!K21+[1]Capital!K23+[1]Capital!K25+[1]Capital!K27+[1]Capital!K41</f>
        <v>694122.93884600012</v>
      </c>
      <c r="M184" s="6">
        <f>-[1]Capital!L27+[1]Capital!L9+[1]Capital!L11+[1]Capital!L13+[1]Capital!L15+[1]Capital!L17+[1]Capital!L19+[1]Capital!L21+[1]Capital!L23+[1]Capital!L25+[1]Capital!L27+[1]Capital!L41</f>
        <v>703078.44053999986</v>
      </c>
      <c r="N184" s="6">
        <f>-[1]Capital!M27+[1]Capital!M9+[1]Capital!M11+[1]Capital!M13+[1]Capital!M15+[1]Capital!M17+[1]Capital!M19+[1]Capital!M21+[1]Capital!M23+[1]Capital!M25+[1]Capital!M27+[1]Capital!M41</f>
        <v>712234.55596999999</v>
      </c>
      <c r="O184" s="6">
        <f>-[1]Capital!N27+[1]Capital!N9+[1]Capital!N11+[1]Capital!N13+[1]Capital!N15+[1]Capital!N17+[1]Capital!N19+[1]Capital!N21+[1]Capital!N23+[1]Capital!N25+[1]Capital!N27+[1]Capital!N41</f>
        <v>721559.04320000007</v>
      </c>
      <c r="P184" s="6">
        <f>-[1]Capital!O27+[1]Capital!O9+[1]Capital!O11+[1]Capital!O13+[1]Capital!O15+[1]Capital!O17+[1]Capital!O19+[1]Capital!O21+[1]Capital!O23+[1]Capital!O25+[1]Capital!O27+[1]Capital!O41</f>
        <v>731032.81891000003</v>
      </c>
      <c r="Q184" s="6">
        <f>-[1]Capital!P27+[1]Capital!P9+[1]Capital!P11+[1]Capital!P13+[1]Capital!P15+[1]Capital!P17+[1]Capital!P19+[1]Capital!P21+[1]Capital!P23+[1]Capital!P25+[1]Capital!P27+[1]Capital!P41</f>
        <v>740639.9895100001</v>
      </c>
      <c r="R184" s="6">
        <f>-[1]Capital!Q27+[1]Capital!Q9+[1]Capital!Q11+[1]Capital!Q13+[1]Capital!Q15+[1]Capital!Q17+[1]Capital!Q19+[1]Capital!Q21+[1]Capital!Q23+[1]Capital!Q25+[1]Capital!Q27+[1]Capital!Q41</f>
        <v>750370.82980000007</v>
      </c>
      <c r="S184" s="6">
        <f>-[1]Capital!R27+[1]Capital!R9+[1]Capital!R11+[1]Capital!R13+[1]Capital!R15+[1]Capital!R17+[1]Capital!R19+[1]Capital!R21+[1]Capital!R23+[1]Capital!R25+[1]Capital!R27+[1]Capital!R41</f>
        <v>760225.12023</v>
      </c>
      <c r="T184" s="6">
        <f>-[1]Capital!S27+[1]Capital!S9+[1]Capital!S11+[1]Capital!S13+[1]Capital!S15+[1]Capital!S17+[1]Capital!S19+[1]Capital!S21+[1]Capital!S23+[1]Capital!S25+[1]Capital!S27+[1]Capital!S41</f>
        <v>770211.90699000005</v>
      </c>
      <c r="U184" s="6">
        <f>-[1]Capital!T27+[1]Capital!T9+[1]Capital!T11+[1]Capital!T13+[1]Capital!T15+[1]Capital!T17+[1]Capital!T19+[1]Capital!T21+[1]Capital!T23+[1]Capital!T25+[1]Capital!T27+[1]Capital!T41</f>
        <v>780346.37477000011</v>
      </c>
      <c r="V184" s="6">
        <f>-[1]Capital!U27+[1]Capital!U9+[1]Capital!U11+[1]Capital!U13+[1]Capital!U15+[1]Capital!U17+[1]Capital!U19+[1]Capital!U21+[1]Capital!U23+[1]Capital!U25+[1]Capital!U27+[1]Capital!U41</f>
        <v>790645.82175000012</v>
      </c>
      <c r="W184" s="6">
        <f>-[1]Capital!V27+[1]Capital!V9+[1]Capital!V11+[1]Capital!V13+[1]Capital!V15+[1]Capital!V17+[1]Capital!V19+[1]Capital!V21+[1]Capital!V23+[1]Capital!V25+[1]Capital!V27+[1]Capital!V41</f>
        <v>801052.18828</v>
      </c>
      <c r="X184" s="6">
        <f>-[1]Capital!W27+[1]Capital!W9+[1]Capital!W11+[1]Capital!W13+[1]Capital!W15+[1]Capital!W17+[1]Capital!W19+[1]Capital!W21+[1]Capital!W23+[1]Capital!W25+[1]Capital!W27+[1]Capital!W41</f>
        <v>811633.33125000005</v>
      </c>
      <c r="Y184" s="6">
        <f>-[1]Capital!X27+[1]Capital!X9+[1]Capital!X11+[1]Capital!X13+[1]Capital!X15+[1]Capital!X17+[1]Capital!X19+[1]Capital!X21+[1]Capital!X23+[1]Capital!X25+[1]Capital!X27+[1]Capital!X41</f>
        <v>822424.86832000001</v>
      </c>
      <c r="Z184" s="6">
        <f>-[1]Capital!Y27+[1]Capital!Y9+[1]Capital!Y11+[1]Capital!Y13+[1]Capital!Y15+[1]Capital!Y17+[1]Capital!Y19+[1]Capital!Y21+[1]Capital!Y23+[1]Capital!Y25+[1]Capital!Y27+[1]Capital!Y41</f>
        <v>833441.94303000008</v>
      </c>
      <c r="AA184" s="6">
        <f>-[1]Capital!Z27+[1]Capital!Z9+[1]Capital!Z11+[1]Capital!Z13+[1]Capital!Z15+[1]Capital!Z17+[1]Capital!Z19+[1]Capital!Z21+[1]Capital!Z23+[1]Capital!Z25+[1]Capital!Z27+[1]Capital!Z41</f>
        <v>844691.85511000012</v>
      </c>
      <c r="AB184" s="6">
        <f>-[1]Capital!AA27+[1]Capital!AA9+[1]Capital!AA11+[1]Capital!AA13+[1]Capital!AA15+[1]Capital!AA17+[1]Capital!AA19+[1]Capital!AA21+[1]Capital!AA23+[1]Capital!AA25+[1]Capital!AA27+[1]Capital!AA41</f>
        <v>855958.56441000011</v>
      </c>
      <c r="AC184" s="6">
        <f>-[1]Capital!AB27+[1]Capital!AB9+[1]Capital!AB11+[1]Capital!AB13+[1]Capital!AB15+[1]Capital!AB17+[1]Capital!AB19+[1]Capital!AB21+[1]Capital!AB23+[1]Capital!AB25+[1]Capital!AB27+[1]Capital!AB41</f>
        <v>867316.5257</v>
      </c>
      <c r="AD184" s="6">
        <f>-[1]Capital!AC27+[1]Capital!AC9+[1]Capital!AC11+[1]Capital!AC13+[1]Capital!AC15+[1]Capital!AC17+[1]Capital!AC19+[1]Capital!AC21+[1]Capital!AC23+[1]Capital!AC25+[1]Capital!AC27+[1]Capital!AC41</f>
        <v>878812.39379000012</v>
      </c>
      <c r="AE184" s="6">
        <f>-[1]Capital!AD27+[1]Capital!AD9+[1]Capital!AD11+[1]Capital!AD13+[1]Capital!AD15+[1]Capital!AD17+[1]Capital!AD19+[1]Capital!AD21+[1]Capital!AD23+[1]Capital!AD25+[1]Capital!AD27+[1]Capital!AD41</f>
        <v>890468.9901500002</v>
      </c>
      <c r="AF184" s="6">
        <f>-[1]Capital!AE27+[1]Capital!AE9+[1]Capital!AE11+[1]Capital!AE13+[1]Capital!AE15+[1]Capital!AE17+[1]Capital!AE19+[1]Capital!AE21+[1]Capital!AE23+[1]Capital!AE25+[1]Capital!AE27+[1]Capital!AE41</f>
        <v>902300.28708999988</v>
      </c>
      <c r="AG184" s="6">
        <f>-[1]Capital!AF27+[1]Capital!AF9+[1]Capital!AF11+[1]Capital!AF13+[1]Capital!AF15+[1]Capital!AF17+[1]Capital!AF19+[1]Capital!AF21+[1]Capital!AF23+[1]Capital!AF25+[1]Capital!AF27+[1]Capital!AF41</f>
        <v>914314.35667999997</v>
      </c>
      <c r="AH184" s="6">
        <f>-[1]Capital!AG27+[1]Capital!AG9+[1]Capital!AG11+[1]Capital!AG13+[1]Capital!AG15+[1]Capital!AG17+[1]Capital!AG19+[1]Capital!AG21+[1]Capital!AG23+[1]Capital!AG25+[1]Capital!AG27+[1]Capital!AG41</f>
        <v>926513.14987999992</v>
      </c>
      <c r="AI184" s="6">
        <f>-[1]Capital!AH27+[1]Capital!AH9+[1]Capital!AH11+[1]Capital!AH13+[1]Capital!AH15+[1]Capital!AH17+[1]Capital!AH19+[1]Capital!AH21+[1]Capital!AH23+[1]Capital!AH25+[1]Capital!AH27+[1]Capital!AH41</f>
        <v>938893.54280000005</v>
      </c>
      <c r="AJ184" s="6">
        <f>-[1]Capital!AI27+[1]Capital!AI9+[1]Capital!AI11+[1]Capital!AI13+[1]Capital!AI15+[1]Capital!AI17+[1]Capital!AI19+[1]Capital!AI21+[1]Capital!AI23+[1]Capital!AI25+[1]Capital!AI27+[1]Capital!AI41</f>
        <v>951449.95470999996</v>
      </c>
      <c r="AK184" s="6">
        <f>-[1]Capital!AJ27+[1]Capital!AJ9+[1]Capital!AJ11+[1]Capital!AJ13+[1]Capital!AJ15+[1]Capital!AJ17+[1]Capital!AJ19+[1]Capital!AJ21+[1]Capital!AJ23+[1]Capital!AJ25+[1]Capital!AJ27+[1]Capital!AJ41</f>
        <v>964177.26205000002</v>
      </c>
      <c r="AL184" s="6">
        <f>-[1]Capital!AK27+[1]Capital!AK9+[1]Capital!AK11+[1]Capital!AK13+[1]Capital!AK15+[1]Capital!AK17+[1]Capital!AK19+[1]Capital!AK21+[1]Capital!AK23+[1]Capital!AK25+[1]Capital!AK27+[1]Capital!AK41</f>
        <v>977072.69651999988</v>
      </c>
    </row>
    <row r="185" spans="1:38" x14ac:dyDescent="0.3">
      <c r="B185" t="s">
        <v>24</v>
      </c>
      <c r="C185" s="6">
        <f>[1]Capital!B43+[1]Capital!B47+[1]Capital!B45+[1]Capital!B49</f>
        <v>48089.812201600005</v>
      </c>
      <c r="D185" s="6">
        <f>[1]Capital!C43+[1]Capital!C47+[1]Capital!C45+[1]Capital!C49</f>
        <v>48719.662545200001</v>
      </c>
      <c r="E185" s="6">
        <f>[1]Capital!D43+[1]Capital!D47+[1]Capital!D45+[1]Capital!D49</f>
        <v>49437.091918100006</v>
      </c>
      <c r="F185" s="6">
        <f>[1]Capital!E43+[1]Capital!E47+[1]Capital!E45+[1]Capital!E49</f>
        <v>50230.667540000002</v>
      </c>
      <c r="G185" s="6">
        <f>[1]Capital!F43+[1]Capital!F47+[1]Capital!F45+[1]Capital!F49</f>
        <v>51088.702419499998</v>
      </c>
      <c r="H185" s="6">
        <f>[1]Capital!G43+[1]Capital!G47+[1]Capital!G45+[1]Capital!G49</f>
        <v>52002.136742799994</v>
      </c>
      <c r="I185" s="6">
        <f>[1]Capital!H43+[1]Capital!H47+[1]Capital!H45+[1]Capital!H49</f>
        <v>52961.771758399998</v>
      </c>
      <c r="J185" s="6">
        <f>[1]Capital!I43+[1]Capital!I47+[1]Capital!I45+[1]Capital!I49</f>
        <v>53960.766517300013</v>
      </c>
      <c r="K185" s="6">
        <f>[1]Capital!J43+[1]Capital!J47+[1]Capital!J45+[1]Capital!J49</f>
        <v>54993.3122363</v>
      </c>
      <c r="L185" s="6">
        <f>[1]Capital!K43+[1]Capital!K47+[1]Capital!K45+[1]Capital!K49</f>
        <v>56053.812890800007</v>
      </c>
      <c r="M185" s="6">
        <f>[1]Capital!L43+[1]Capital!L47+[1]Capital!L45+[1]Capital!L49</f>
        <v>57139.896533400002</v>
      </c>
      <c r="N185" s="6">
        <f>[1]Capital!M43+[1]Capital!M47+[1]Capital!M45+[1]Capital!M49</f>
        <v>58245.244162199997</v>
      </c>
      <c r="O185" s="6">
        <f>[1]Capital!N43+[1]Capital!N47+[1]Capital!N45+[1]Capital!N49</f>
        <v>59364.698698500004</v>
      </c>
      <c r="P185" s="6">
        <f>[1]Capital!O43+[1]Capital!O47+[1]Capital!O45+[1]Capital!O49</f>
        <v>60494.168429500009</v>
      </c>
      <c r="Q185" s="6">
        <f>[1]Capital!P43+[1]Capital!P47+[1]Capital!P45+[1]Capital!P49</f>
        <v>61629.759820099993</v>
      </c>
      <c r="R185" s="6">
        <f>[1]Capital!Q43+[1]Capital!Q47+[1]Capital!Q45+[1]Capital!Q49</f>
        <v>62767.34137010001</v>
      </c>
      <c r="S185" s="6">
        <f>[1]Capital!R43+[1]Capital!R47+[1]Capital!R45+[1]Capital!R49</f>
        <v>63902.599111299998</v>
      </c>
      <c r="T185" s="6">
        <f>[1]Capital!S43+[1]Capital!S47+[1]Capital!S45+[1]Capital!S49</f>
        <v>65031.369860600003</v>
      </c>
      <c r="U185" s="6">
        <f>[1]Capital!T43+[1]Capital!T47+[1]Capital!T45+[1]Capital!T49</f>
        <v>66150.041308800006</v>
      </c>
      <c r="V185" s="6">
        <f>[1]Capital!U43+[1]Capital!U47+[1]Capital!U45+[1]Capital!U49</f>
        <v>67255.85334039999</v>
      </c>
      <c r="W185" s="6">
        <f>[1]Capital!V43+[1]Capital!V47+[1]Capital!V45+[1]Capital!V49</f>
        <v>68344.565644500006</v>
      </c>
      <c r="X185" s="6">
        <f>[1]Capital!W43+[1]Capital!W47+[1]Capital!W45+[1]Capital!W49</f>
        <v>69416.140152200009</v>
      </c>
      <c r="Y185" s="6">
        <f>[1]Capital!X43+[1]Capital!X47+[1]Capital!X45+[1]Capital!X49</f>
        <v>70470.973857199991</v>
      </c>
      <c r="Z185" s="6">
        <f>[1]Capital!Y43+[1]Capital!Y47+[1]Capital!Y45+[1]Capital!Y49</f>
        <v>71509.525929599986</v>
      </c>
      <c r="AA185" s="6">
        <f>[1]Capital!Z43+[1]Capital!Z47+[1]Capital!Z45+[1]Capital!Z49</f>
        <v>72532.531626399999</v>
      </c>
      <c r="AB185" s="6">
        <f>[1]Capital!AA43+[1]Capital!AA47+[1]Capital!AA45+[1]Capital!AA49</f>
        <v>73533.449424699997</v>
      </c>
      <c r="AC185" s="6">
        <f>[1]Capital!AB43+[1]Capital!AB47+[1]Capital!AB45+[1]Capital!AB49</f>
        <v>74513.587767799996</v>
      </c>
      <c r="AD185" s="6">
        <f>[1]Capital!AC43+[1]Capital!AC47+[1]Capital!AC45+[1]Capital!AC49</f>
        <v>75474.274870399997</v>
      </c>
      <c r="AE185" s="6">
        <f>[1]Capital!AD43+[1]Capital!AD47+[1]Capital!AD45+[1]Capital!AD49</f>
        <v>76416.083681700009</v>
      </c>
      <c r="AF185" s="6">
        <f>[1]Capital!AE43+[1]Capital!AE47+[1]Capital!AE45+[1]Capital!AE49</f>
        <v>77339.496911700015</v>
      </c>
      <c r="AG185" s="6">
        <f>[1]Capital!AF43+[1]Capital!AF47+[1]Capital!AF45+[1]Capital!AF49</f>
        <v>78245.359000000011</v>
      </c>
      <c r="AH185" s="6">
        <f>[1]Capital!AG43+[1]Capital!AG47+[1]Capital!AG45+[1]Capital!AG49</f>
        <v>79134.947423000005</v>
      </c>
      <c r="AI185" s="6">
        <f>[1]Capital!AH43+[1]Capital!AH47+[1]Capital!AH45+[1]Capital!AH49</f>
        <v>80009.797902000006</v>
      </c>
      <c r="AJ185" s="6">
        <f>[1]Capital!AI43+[1]Capital!AI47+[1]Capital!AI45+[1]Capital!AI49</f>
        <v>80871.44836699999</v>
      </c>
      <c r="AK185" s="6">
        <f>[1]Capital!AJ43+[1]Capital!AJ47+[1]Capital!AJ45+[1]Capital!AJ49</f>
        <v>81721.233174999987</v>
      </c>
      <c r="AL185" s="6">
        <f>[1]Capital!AK43+[1]Capital!AK47+[1]Capital!AK45+[1]Capital!AK49</f>
        <v>82560.180343999993</v>
      </c>
    </row>
    <row r="186" spans="1:38" x14ac:dyDescent="0.3">
      <c r="B186" t="s">
        <v>10</v>
      </c>
      <c r="C186" s="6">
        <f>[1]Capital!B37+[1]Capital!B39</f>
        <v>7643058.2779999999</v>
      </c>
      <c r="D186" s="6">
        <f>[1]Capital!C37+[1]Capital!C39</f>
        <v>7732998.7880000006</v>
      </c>
      <c r="E186" s="6">
        <f>[1]Capital!D37+[1]Capital!D39</f>
        <v>7825067.898</v>
      </c>
      <c r="F186" s="6">
        <f>[1]Capital!E37+[1]Capital!E39</f>
        <v>7920209.7520000003</v>
      </c>
      <c r="G186" s="6">
        <f>[1]Capital!F37+[1]Capital!F39</f>
        <v>8018723.8829999994</v>
      </c>
      <c r="H186" s="6">
        <f>[1]Capital!G37+[1]Capital!G39</f>
        <v>8120418.5219999999</v>
      </c>
      <c r="I186" s="6">
        <f>[1]Capital!H37+[1]Capital!H39</f>
        <v>8225213.2779999999</v>
      </c>
      <c r="J186" s="6">
        <f>[1]Capital!I37+[1]Capital!I39</f>
        <v>8332583.8550000004</v>
      </c>
      <c r="K186" s="6">
        <f>[1]Capital!J37+[1]Capital!J39</f>
        <v>8442184.1260000002</v>
      </c>
      <c r="L186" s="6">
        <f>[1]Capital!K37+[1]Capital!K39</f>
        <v>8553935.4299999997</v>
      </c>
      <c r="M186" s="6">
        <f>[1]Capital!L37+[1]Capital!L39</f>
        <v>8667513.1109999996</v>
      </c>
      <c r="N186" s="6">
        <f>[1]Capital!M37+[1]Capital!M39</f>
        <v>8783884.0869999994</v>
      </c>
      <c r="O186" s="6">
        <f>[1]Capital!N37+[1]Capital!N39</f>
        <v>8903109.8340000007</v>
      </c>
      <c r="P186" s="6">
        <f>[1]Capital!O37+[1]Capital!O39</f>
        <v>9025032.25</v>
      </c>
      <c r="Q186" s="6">
        <f>[1]Capital!P37+[1]Capital!P39</f>
        <v>9149532.9509999994</v>
      </c>
      <c r="R186" s="6">
        <f>[1]Capital!Q37+[1]Capital!Q39</f>
        <v>9276620.050999999</v>
      </c>
      <c r="S186" s="6">
        <f>[1]Capital!R37+[1]Capital!R39</f>
        <v>9406435.9979999997</v>
      </c>
      <c r="T186" s="6">
        <f>[1]Capital!S37+[1]Capital!S39</f>
        <v>9539220.5189999994</v>
      </c>
      <c r="U186" s="6">
        <f>[1]Capital!T37+[1]Capital!T39</f>
        <v>9675254.6109999996</v>
      </c>
      <c r="V186" s="6">
        <f>[1]Capital!U37+[1]Capital!U39</f>
        <v>9814808.0250000004</v>
      </c>
      <c r="W186" s="6">
        <f>[1]Capital!V37+[1]Capital!V39</f>
        <v>9958328.682</v>
      </c>
      <c r="X186" s="6">
        <f>[1]Capital!W37+[1]Capital!W39</f>
        <v>10105460.841</v>
      </c>
      <c r="Y186" s="6">
        <f>[1]Capital!X37+[1]Capital!X39</f>
        <v>10256368.304</v>
      </c>
      <c r="Z186" s="6">
        <f>[1]Capital!Y37+[1]Capital!Y39</f>
        <v>10411270.787</v>
      </c>
      <c r="AA186" s="6">
        <f>[1]Capital!Z37+[1]Capital!Z39</f>
        <v>10570318.681</v>
      </c>
      <c r="AB186" s="6">
        <f>[1]Capital!AA37+[1]Capital!AA39</f>
        <v>10734123.57</v>
      </c>
      <c r="AC186" s="6">
        <f>[1]Capital!AB37+[1]Capital!AB39</f>
        <v>10901624.261</v>
      </c>
      <c r="AD186" s="6">
        <f>[1]Capital!AC37+[1]Capital!AC39</f>
        <v>11072587.743000001</v>
      </c>
      <c r="AE186" s="6">
        <f>[1]Capital!AD37+[1]Capital!AD39</f>
        <v>11247065.624000002</v>
      </c>
      <c r="AF186" s="6">
        <f>[1]Capital!AE37+[1]Capital!AE39</f>
        <v>11425154.017999999</v>
      </c>
      <c r="AG186" s="6">
        <f>[1]Capital!AF37+[1]Capital!AF39</f>
        <v>11606894.684</v>
      </c>
      <c r="AH186" s="6">
        <f>[1]Capital!AG37+[1]Capital!AG39</f>
        <v>11792249.716</v>
      </c>
      <c r="AI186" s="6">
        <f>[1]Capital!AH37+[1]Capital!AH39</f>
        <v>11981122.380000001</v>
      </c>
      <c r="AJ186" s="6">
        <f>[1]Capital!AI37+[1]Capital!AI39</f>
        <v>12173398.998</v>
      </c>
      <c r="AK186" s="6">
        <f>[1]Capital!AJ37+[1]Capital!AJ39</f>
        <v>12368988.305</v>
      </c>
      <c r="AL186" s="6">
        <f>[1]Capital!AK37+[1]Capital!AK39</f>
        <v>12567842.583000001</v>
      </c>
    </row>
    <row r="187" spans="1:38" x14ac:dyDescent="0.3">
      <c r="B187" t="s">
        <v>9</v>
      </c>
      <c r="C187" s="6">
        <f>[1]Capital!B29+[1]Capital!B31+[1]Capital!B33+[1]Capital!B35</f>
        <v>164807.50347</v>
      </c>
      <c r="D187" s="6">
        <f>[1]Capital!C29+[1]Capital!C31+[1]Capital!C33+[1]Capital!C35</f>
        <v>166682.04033999998</v>
      </c>
      <c r="E187" s="6">
        <f>[1]Capital!D29+[1]Capital!D31+[1]Capital!D33+[1]Capital!D35</f>
        <v>168526.18522000001</v>
      </c>
      <c r="F187" s="6">
        <f>[1]Capital!E29+[1]Capital!E31+[1]Capital!E33+[1]Capital!E35</f>
        <v>170372.08017999999</v>
      </c>
      <c r="G187" s="6">
        <f>[1]Capital!F29+[1]Capital!F31+[1]Capital!F33+[1]Capital!F35</f>
        <v>172242.60921</v>
      </c>
      <c r="H187" s="6">
        <f>[1]Capital!G29+[1]Capital!G31+[1]Capital!G33+[1]Capital!G35</f>
        <v>174148.89721</v>
      </c>
      <c r="I187" s="6">
        <f>[1]Capital!H29+[1]Capital!H31+[1]Capital!H33+[1]Capital!H35</f>
        <v>176091.60749999998</v>
      </c>
      <c r="J187" s="6">
        <f>[1]Capital!I29+[1]Capital!I31+[1]Capital!I33+[1]Capital!I35</f>
        <v>178068.08997</v>
      </c>
      <c r="K187" s="6">
        <f>[1]Capital!J29+[1]Capital!J31+[1]Capital!J33+[1]Capital!J35</f>
        <v>180078.16777999999</v>
      </c>
      <c r="L187" s="6">
        <f>[1]Capital!K29+[1]Capital!K31+[1]Capital!K33+[1]Capital!K35</f>
        <v>182125.09613000002</v>
      </c>
      <c r="M187" s="6">
        <f>[1]Capital!L29+[1]Capital!L31+[1]Capital!L33+[1]Capital!L35</f>
        <v>184221.04321999999</v>
      </c>
      <c r="N187" s="6">
        <f>[1]Capital!M29+[1]Capital!M31+[1]Capital!M33+[1]Capital!M35</f>
        <v>186372.68476</v>
      </c>
      <c r="O187" s="6">
        <f>[1]Capital!N29+[1]Capital!N31+[1]Capital!N33+[1]Capital!N35</f>
        <v>188579.2696</v>
      </c>
      <c r="P187" s="6">
        <f>[1]Capital!O29+[1]Capital!O31+[1]Capital!O33+[1]Capital!O35</f>
        <v>190836.86028000002</v>
      </c>
      <c r="Q187" s="6">
        <f>[1]Capital!P29+[1]Capital!P31+[1]Capital!P33+[1]Capital!P35</f>
        <v>193141.60422000001</v>
      </c>
      <c r="R187" s="6">
        <f>[1]Capital!Q29+[1]Capital!Q31+[1]Capital!Q33+[1]Capital!Q35</f>
        <v>195491.71976000001</v>
      </c>
      <c r="S187" s="6">
        <f>[1]Capital!R29+[1]Capital!R31+[1]Capital!R33+[1]Capital!R35</f>
        <v>197888.19155999998</v>
      </c>
      <c r="T187" s="6">
        <f>[1]Capital!S29+[1]Capital!S31+[1]Capital!S33+[1]Capital!S35</f>
        <v>200334.35913</v>
      </c>
      <c r="U187" s="6">
        <f>[1]Capital!T29+[1]Capital!T31+[1]Capital!T33+[1]Capital!T35</f>
        <v>202834.86147</v>
      </c>
      <c r="V187" s="6">
        <f>[1]Capital!U29+[1]Capital!U31+[1]Capital!U33+[1]Capital!U35</f>
        <v>205394.47951000003</v>
      </c>
      <c r="W187" s="6">
        <f>[1]Capital!V29+[1]Capital!V31+[1]Capital!V33+[1]Capital!V35</f>
        <v>208010.9253</v>
      </c>
      <c r="X187" s="6">
        <f>[1]Capital!W29+[1]Capital!W31+[1]Capital!W33+[1]Capital!W35</f>
        <v>210686.78701</v>
      </c>
      <c r="Y187" s="6">
        <f>[1]Capital!X29+[1]Capital!X31+[1]Capital!X33+[1]Capital!X35</f>
        <v>213427.00481000001</v>
      </c>
      <c r="Z187" s="6">
        <f>[1]Capital!Y29+[1]Capital!Y31+[1]Capital!Y33+[1]Capital!Y35</f>
        <v>216235.86231000003</v>
      </c>
      <c r="AA187" s="6">
        <f>[1]Capital!Z29+[1]Capital!Z31+[1]Capital!Z33+[1]Capital!Z35</f>
        <v>219116.0203</v>
      </c>
      <c r="AB187" s="6">
        <f>[1]Capital!AA29+[1]Capital!AA31+[1]Capital!AA33+[1]Capital!AA35</f>
        <v>222048.57886000001</v>
      </c>
      <c r="AC187" s="6">
        <f>[1]Capital!AB29+[1]Capital!AB31+[1]Capital!AB33+[1]Capital!AB35</f>
        <v>225026.13127000001</v>
      </c>
      <c r="AD187" s="6">
        <f>[1]Capital!AC29+[1]Capital!AC31+[1]Capital!AC33+[1]Capital!AC35</f>
        <v>228048.22667</v>
      </c>
      <c r="AE187" s="6">
        <f>[1]Capital!AD29+[1]Capital!AD31+[1]Capital!AD33+[1]Capital!AD35</f>
        <v>231117.50248999998</v>
      </c>
      <c r="AF187" s="6">
        <f>[1]Capital!AE29+[1]Capital!AE31+[1]Capital!AE33+[1]Capital!AE35</f>
        <v>234237.03610000003</v>
      </c>
      <c r="AG187" s="6">
        <f>[1]Capital!AF29+[1]Capital!AF31+[1]Capital!AF33+[1]Capital!AF35</f>
        <v>237408.72758000001</v>
      </c>
      <c r="AH187" s="6">
        <f>[1]Capital!AG29+[1]Capital!AG31+[1]Capital!AG33+[1]Capital!AG35</f>
        <v>240632.71765999997</v>
      </c>
      <c r="AI187" s="6">
        <f>[1]Capital!AH29+[1]Capital!AH31+[1]Capital!AH33+[1]Capital!AH35</f>
        <v>243907.71227000002</v>
      </c>
      <c r="AJ187" s="6">
        <f>[1]Capital!AI29+[1]Capital!AI31+[1]Capital!AI33+[1]Capital!AI35</f>
        <v>247231.82616</v>
      </c>
      <c r="AK187" s="6">
        <f>[1]Capital!AJ29+[1]Capital!AJ31+[1]Capital!AJ33+[1]Capital!AJ35</f>
        <v>250603.45835999999</v>
      </c>
      <c r="AL187" s="6">
        <f>[1]Capital!AK29+[1]Capital!AK31+[1]Capital!AK33+[1]Capital!AK35</f>
        <v>254021.83262</v>
      </c>
    </row>
    <row r="188" spans="1:3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 x14ac:dyDescent="0.3">
      <c r="A190" t="s">
        <v>27</v>
      </c>
      <c r="B190" t="s">
        <v>28</v>
      </c>
      <c r="C190" s="6">
        <f>[1]Capital!B2</f>
        <v>8842603.023</v>
      </c>
      <c r="D190" s="6">
        <f>[1]Capital!C2</f>
        <v>8946732.2760000005</v>
      </c>
      <c r="E190" s="6">
        <f>[1]Capital!D2</f>
        <v>9053431.7170000002</v>
      </c>
      <c r="F190" s="6">
        <f>[1]Capital!E2</f>
        <v>9163660.0549999997</v>
      </c>
      <c r="G190" s="6">
        <f>[1]Capital!F2</f>
        <v>9277663.6610000003</v>
      </c>
      <c r="H190" s="6">
        <f>[1]Capital!G2</f>
        <v>9395208.9309999999</v>
      </c>
      <c r="I190" s="6">
        <f>[1]Capital!H2</f>
        <v>9516480.1339999996</v>
      </c>
      <c r="J190" s="6">
        <f>[1]Capital!I2</f>
        <v>9640105.4969999995</v>
      </c>
      <c r="K190" s="6">
        <f>[1]Capital!J2</f>
        <v>9765071.5769999996</v>
      </c>
      <c r="L190" s="6">
        <f>[1]Capital!K2</f>
        <v>9891143.4969999995</v>
      </c>
      <c r="M190" s="6">
        <f>[1]Capital!L2</f>
        <v>10018615.550000001</v>
      </c>
      <c r="N190" s="6">
        <f>[1]Capital!M2</f>
        <v>10148733.32</v>
      </c>
      <c r="O190" s="6">
        <f>[1]Capital!N2</f>
        <v>10282120.58</v>
      </c>
      <c r="P190" s="6">
        <f>[1]Capital!O2</f>
        <v>10419084.73</v>
      </c>
      <c r="Q190" s="6">
        <f>[1]Capital!P2</f>
        <v>10559730.369999999</v>
      </c>
      <c r="R190" s="6">
        <f>[1]Capital!Q2</f>
        <v>10704058.84</v>
      </c>
      <c r="S190" s="6">
        <f>[1]Capital!R2</f>
        <v>10852067.77</v>
      </c>
      <c r="T190" s="6">
        <f>[1]Capital!S2</f>
        <v>11003816.77</v>
      </c>
      <c r="U190" s="6">
        <f>[1]Capital!T2</f>
        <v>11159442.460000001</v>
      </c>
      <c r="V190" s="6">
        <f>[1]Capital!U2</f>
        <v>11319130.699999999</v>
      </c>
      <c r="W190" s="6">
        <f>[1]Capital!V2</f>
        <v>11483086.039999999</v>
      </c>
      <c r="X190" s="6">
        <f>[1]Capital!W2</f>
        <v>11651130.35</v>
      </c>
      <c r="Y190" s="6">
        <f>[1]Capital!X2</f>
        <v>11823439.52</v>
      </c>
      <c r="Z190" s="6">
        <f>[1]Capital!Y2</f>
        <v>12000173.17</v>
      </c>
      <c r="AA190" s="6">
        <f>[1]Capital!Z2</f>
        <v>12181392.380000001</v>
      </c>
      <c r="AB190" s="6">
        <f>[1]Capital!AA2</f>
        <v>12366987.76</v>
      </c>
      <c r="AC190" s="6">
        <f>[1]Capital!AB2</f>
        <v>12556165.529999999</v>
      </c>
      <c r="AD190" s="6">
        <f>[1]Capital!AC2</f>
        <v>12748761.91</v>
      </c>
      <c r="AE190" s="6">
        <f>[1]Capital!AD2</f>
        <v>12944850.98</v>
      </c>
      <c r="AF190" s="6">
        <f>[1]Capital!AE2</f>
        <v>13144563.34</v>
      </c>
      <c r="AG190" s="6">
        <f>[1]Capital!AF2</f>
        <v>13347988.58</v>
      </c>
      <c r="AH190" s="6">
        <f>[1]Capital!AG2</f>
        <v>13555137.51</v>
      </c>
      <c r="AI190" s="6">
        <f>[1]Capital!AH2</f>
        <v>13765954.210000001</v>
      </c>
      <c r="AJ190" s="6">
        <f>[1]Capital!AI2</f>
        <v>13980355.539999999</v>
      </c>
      <c r="AK190" s="6">
        <f>[1]Capital!AJ2</f>
        <v>14198273.310000001</v>
      </c>
      <c r="AL190" s="6">
        <f>[1]Capital!AK2</f>
        <v>14419679.5</v>
      </c>
    </row>
    <row r="191" spans="1:38" x14ac:dyDescent="0.3">
      <c r="B191" t="s">
        <v>7</v>
      </c>
      <c r="C191" s="6">
        <f>[1]Capital!B4+[1]Capital!B6</f>
        <v>195880.74553000001</v>
      </c>
      <c r="D191" s="6">
        <f>[1]Capital!C4+[1]Capital!C6</f>
        <v>198047.38357000001</v>
      </c>
      <c r="E191" s="6">
        <f>[1]Capital!D4+[1]Capital!D6</f>
        <v>200075.00660999998</v>
      </c>
      <c r="F191" s="6">
        <f>[1]Capital!E4+[1]Capital!E6</f>
        <v>201978.13864000002</v>
      </c>
      <c r="G191" s="6">
        <f>[1]Capital!F4+[1]Capital!F6</f>
        <v>203787.67191999999</v>
      </c>
      <c r="H191" s="6">
        <f>[1]Capital!G4+[1]Capital!G6</f>
        <v>205535.79671999998</v>
      </c>
      <c r="I191" s="6">
        <f>[1]Capital!H4+[1]Capital!H6</f>
        <v>207248.38407</v>
      </c>
      <c r="J191" s="6">
        <f>[1]Capital!I4+[1]Capital!I6</f>
        <v>208933.20802000002</v>
      </c>
      <c r="K191" s="6">
        <f>[1]Capital!J4+[1]Capital!J6</f>
        <v>210594.34529</v>
      </c>
      <c r="L191" s="6">
        <f>[1]Capital!K4+[1]Capital!K6</f>
        <v>212235.17608999999</v>
      </c>
      <c r="M191" s="6">
        <f>[1]Capital!L4+[1]Capital!L6</f>
        <v>213867.94237999999</v>
      </c>
      <c r="N191" s="6">
        <f>[1]Capital!M4+[1]Capital!M6</f>
        <v>215489.99664</v>
      </c>
      <c r="O191" s="6">
        <f>[1]Capital!N4+[1]Capital!N6</f>
        <v>217093.85202999998</v>
      </c>
      <c r="P191" s="6">
        <f>[1]Capital!O4+[1]Capital!O6</f>
        <v>218668.23090999998</v>
      </c>
      <c r="Q191" s="6">
        <f>[1]Capital!P4+[1]Capital!P6</f>
        <v>220200.08796999999</v>
      </c>
      <c r="R191" s="6">
        <f>[1]Capital!Q4+[1]Capital!Q6</f>
        <v>221677.13621</v>
      </c>
      <c r="S191" s="6">
        <f>[1]Capital!R4+[1]Capital!R6</f>
        <v>223089.94808999999</v>
      </c>
      <c r="T191" s="6">
        <f>[1]Capital!S4+[1]Capital!S6</f>
        <v>224433.06198</v>
      </c>
      <c r="U191" s="6">
        <f>[1]Capital!T4+[1]Capital!T6</f>
        <v>225705.02327999999</v>
      </c>
      <c r="V191" s="6">
        <f>[1]Capital!U4+[1]Capital!U6</f>
        <v>226907.65004000001</v>
      </c>
      <c r="W191" s="6">
        <f>[1]Capital!V4+[1]Capital!V6</f>
        <v>228038.19162999999</v>
      </c>
      <c r="X191" s="6">
        <f>[1]Capital!W4+[1]Capital!W6</f>
        <v>229103.80311000001</v>
      </c>
      <c r="Y191" s="6">
        <f>[1]Capital!X4+[1]Capital!X6</f>
        <v>230112.28794000001</v>
      </c>
      <c r="Z191" s="6">
        <f>[1]Capital!Y4+[1]Capital!Y6</f>
        <v>231070.97481000001</v>
      </c>
      <c r="AA191" s="6">
        <f>[1]Capital!Z4+[1]Capital!Z6</f>
        <v>231986.2818</v>
      </c>
      <c r="AB191" s="6">
        <f>[1]Capital!AA4+[1]Capital!AA6</f>
        <v>232844.93399999998</v>
      </c>
      <c r="AC191" s="6">
        <f>[1]Capital!AB4+[1]Capital!AB6</f>
        <v>233649.06655000002</v>
      </c>
      <c r="AD191" s="6">
        <f>[1]Capital!AC4+[1]Capital!AC6</f>
        <v>234403.21831</v>
      </c>
      <c r="AE191" s="6">
        <f>[1]Capital!AD4+[1]Capital!AD6</f>
        <v>235112.98750000002</v>
      </c>
      <c r="AF191" s="6">
        <f>[1]Capital!AE4+[1]Capital!AE6</f>
        <v>235783.98659000001</v>
      </c>
      <c r="AG191" s="6">
        <f>[1]Capital!AF4+[1]Capital!AF6</f>
        <v>236421.00376000002</v>
      </c>
      <c r="AH191" s="6">
        <f>[1]Capital!AG4+[1]Capital!AG6</f>
        <v>237027.6482</v>
      </c>
      <c r="AI191" s="6">
        <f>[1]Capital!AH4+[1]Capital!AH6</f>
        <v>237606.47483000002</v>
      </c>
      <c r="AJ191" s="6">
        <f>[1]Capital!AI4+[1]Capital!AI6</f>
        <v>238159.37614000001</v>
      </c>
      <c r="AK191" s="6">
        <f>[1]Capital!AJ4+[1]Capital!AJ6</f>
        <v>238687.99502</v>
      </c>
      <c r="AL191" s="6">
        <f>[1]Capital!AK4+[1]Capital!AK6</f>
        <v>239193.98612000002</v>
      </c>
    </row>
    <row r="192" spans="1:38" x14ac:dyDescent="0.3">
      <c r="B192" t="s">
        <v>96</v>
      </c>
      <c r="C192" s="6">
        <f>[1]Capital!B26</f>
        <v>84761.609540000005</v>
      </c>
      <c r="D192" s="6">
        <f>[1]Capital!C26</f>
        <v>86077.72696</v>
      </c>
      <c r="E192" s="6">
        <f>[1]Capital!D26</f>
        <v>87807.399430000005</v>
      </c>
      <c r="F192" s="6">
        <f>[1]Capital!E26</f>
        <v>89828.476509999993</v>
      </c>
      <c r="G192" s="6">
        <f>[1]Capital!F26</f>
        <v>91997.267559999993</v>
      </c>
      <c r="H192" s="6">
        <f>[1]Capital!G26</f>
        <v>94216.563259999995</v>
      </c>
      <c r="I192" s="6">
        <f>[1]Capital!H26</f>
        <v>96327.671300000002</v>
      </c>
      <c r="J192" s="6">
        <f>[1]Capital!I26</f>
        <v>98331.550770000002</v>
      </c>
      <c r="K192" s="6">
        <f>[1]Capital!J26</f>
        <v>100251.43060000001</v>
      </c>
      <c r="L192" s="6">
        <f>[1]Capital!K26</f>
        <v>102110.1154</v>
      </c>
      <c r="M192" s="6">
        <f>[1]Capital!L26</f>
        <v>104096.8846</v>
      </c>
      <c r="N192" s="6">
        <f>[1]Capital!M26</f>
        <v>106021.2475</v>
      </c>
      <c r="O192" s="6">
        <f>[1]Capital!N26</f>
        <v>107889.14780000001</v>
      </c>
      <c r="P192" s="6">
        <f>[1]Capital!O26</f>
        <v>109735.91220000001</v>
      </c>
      <c r="Q192" s="6">
        <f>[1]Capital!P26</f>
        <v>111586.07709999999</v>
      </c>
      <c r="R192" s="6">
        <f>[1]Capital!Q26</f>
        <v>113452.068</v>
      </c>
      <c r="S192" s="6">
        <f>[1]Capital!R26</f>
        <v>115339.5288</v>
      </c>
      <c r="T192" s="6">
        <f>[1]Capital!S26</f>
        <v>117251.7795</v>
      </c>
      <c r="U192" s="6">
        <f>[1]Capital!T26</f>
        <v>119192.11840000001</v>
      </c>
      <c r="V192" s="6">
        <f>[1]Capital!U26</f>
        <v>121164.3352</v>
      </c>
      <c r="W192" s="6">
        <f>[1]Capital!V26</f>
        <v>123052.5471</v>
      </c>
      <c r="X192" s="6">
        <f>[1]Capital!W26</f>
        <v>125007.88250000001</v>
      </c>
      <c r="Y192" s="6">
        <f>[1]Capital!X26</f>
        <v>127046.8502</v>
      </c>
      <c r="Z192" s="6">
        <f>[1]Capital!Y26</f>
        <v>129155.522</v>
      </c>
      <c r="AA192" s="6">
        <f>[1]Capital!Z26</f>
        <v>131320.03289999999</v>
      </c>
      <c r="AB192" s="6">
        <f>[1]Capital!AA26</f>
        <v>133178.65150000001</v>
      </c>
      <c r="AC192" s="6">
        <f>[1]Capital!AB26</f>
        <v>135019.7795</v>
      </c>
      <c r="AD192" s="6">
        <f>[1]Capital!AC26</f>
        <v>136914.56200000001</v>
      </c>
      <c r="AE192" s="6">
        <f>[1]Capital!AD26</f>
        <v>138869.58249999999</v>
      </c>
      <c r="AF192" s="6">
        <f>[1]Capital!AE26</f>
        <v>140879.53510000001</v>
      </c>
      <c r="AG192" s="6">
        <f>[1]Capital!AF26</f>
        <v>142939.0336</v>
      </c>
      <c r="AH192" s="6">
        <f>[1]Capital!AG26</f>
        <v>145043.76790000001</v>
      </c>
      <c r="AI192" s="6">
        <f>[1]Capital!AH26</f>
        <v>147190.01730000001</v>
      </c>
      <c r="AJ192" s="6">
        <f>[1]Capital!AI26</f>
        <v>149374.55600000001</v>
      </c>
      <c r="AK192" s="6">
        <f>[1]Capital!AJ26</f>
        <v>151594.93900000001</v>
      </c>
      <c r="AL192" s="6">
        <f>[1]Capital!AK26</f>
        <v>153849.76120000001</v>
      </c>
    </row>
    <row r="193" spans="1:38" x14ac:dyDescent="0.3">
      <c r="B193" t="s">
        <v>11</v>
      </c>
      <c r="C193" s="6">
        <f>[1]Capital!B50+[1]Capital!B52+[1]Capital!B54+[1]Capital!B56+[1]Capital!B58+[1]Capital!B60+[1]Capital!B62+[1]Capital!B64+[1]Capital!B66</f>
        <v>83894.931179599997</v>
      </c>
      <c r="D193" s="6">
        <f>[1]Capital!C50+[1]Capital!C52+[1]Capital!C54+[1]Capital!C56+[1]Capital!C58+[1]Capital!C60+[1]Capital!C62+[1]Capital!C64+[1]Capital!C66</f>
        <v>84840.445972699978</v>
      </c>
      <c r="E193" s="6">
        <f>[1]Capital!D50+[1]Capital!D52+[1]Capital!D54+[1]Capital!D56+[1]Capital!D58+[1]Capital!D60+[1]Capital!D62+[1]Capital!D64+[1]Capital!D66</f>
        <v>85768.626736599996</v>
      </c>
      <c r="F193" s="6">
        <f>[1]Capital!E50+[1]Capital!E52+[1]Capital!E54+[1]Capital!E56+[1]Capital!E58+[1]Capital!E60+[1]Capital!E62+[1]Capital!E64+[1]Capital!E66</f>
        <v>86691.847786600003</v>
      </c>
      <c r="G193" s="6">
        <f>[1]Capital!F50+[1]Capital!F52+[1]Capital!F54+[1]Capital!F56+[1]Capital!F58+[1]Capital!F60+[1]Capital!F62+[1]Capital!F64+[1]Capital!F66</f>
        <v>87632.487252199993</v>
      </c>
      <c r="H193" s="6">
        <f>[1]Capital!G50+[1]Capital!G52+[1]Capital!G54+[1]Capital!G56+[1]Capital!G58+[1]Capital!G60+[1]Capital!G62+[1]Capital!G64+[1]Capital!G66</f>
        <v>88616.343729900007</v>
      </c>
      <c r="I193" s="6">
        <f>[1]Capital!H50+[1]Capital!H52+[1]Capital!H54+[1]Capital!H56+[1]Capital!H58+[1]Capital!H60+[1]Capital!H62+[1]Capital!H64+[1]Capital!H66</f>
        <v>89689.447417200005</v>
      </c>
      <c r="J193" s="6">
        <f>[1]Capital!I50+[1]Capital!I52+[1]Capital!I54+[1]Capital!I56+[1]Capital!I58+[1]Capital!I60+[1]Capital!I62+[1]Capital!I64+[1]Capital!I66</f>
        <v>90845.885601400005</v>
      </c>
      <c r="K193" s="6">
        <f>[1]Capital!J50+[1]Capital!J52+[1]Capital!J54+[1]Capital!J56+[1]Capital!J58+[1]Capital!J60+[1]Capital!J62+[1]Capital!J64+[1]Capital!J66</f>
        <v>92034.916217100021</v>
      </c>
      <c r="L193" s="6">
        <f>[1]Capital!K50+[1]Capital!K52+[1]Capital!K54+[1]Capital!K56+[1]Capital!K58+[1]Capital!K60+[1]Capital!K62+[1]Capital!K64+[1]Capital!K66</f>
        <v>93214.776129699996</v>
      </c>
      <c r="M193" s="6">
        <f>[1]Capital!L50+[1]Capital!L52+[1]Capital!L54+[1]Capital!L56+[1]Capital!L58+[1]Capital!L60+[1]Capital!L62+[1]Capital!L64+[1]Capital!L66</f>
        <v>94357.869941099983</v>
      </c>
      <c r="N193" s="6">
        <f>[1]Capital!M50+[1]Capital!M52+[1]Capital!M54+[1]Capital!M56+[1]Capital!M58+[1]Capital!M60+[1]Capital!M62+[1]Capital!M64+[1]Capital!M66</f>
        <v>95445.722428199995</v>
      </c>
      <c r="O193" s="6">
        <f>[1]Capital!N50+[1]Capital!N52+[1]Capital!N54+[1]Capital!N56+[1]Capital!N58+[1]Capital!N60+[1]Capital!N62+[1]Capital!N64+[1]Capital!N66</f>
        <v>96473.998172200008</v>
      </c>
      <c r="P193" s="6">
        <f>[1]Capital!O50+[1]Capital!O52+[1]Capital!O54+[1]Capital!O56+[1]Capital!O58+[1]Capital!O60+[1]Capital!O62+[1]Capital!O64+[1]Capital!O66</f>
        <v>97452.035580899988</v>
      </c>
      <c r="Q193" s="6">
        <f>[1]Capital!P50+[1]Capital!P52+[1]Capital!P54+[1]Capital!P56+[1]Capital!P58+[1]Capital!P60+[1]Capital!P62+[1]Capital!P64+[1]Capital!P66</f>
        <v>98399.070453699998</v>
      </c>
      <c r="R193" s="6">
        <f>[1]Capital!Q50+[1]Capital!Q52+[1]Capital!Q54+[1]Capital!Q56+[1]Capital!Q58+[1]Capital!Q60+[1]Capital!Q62+[1]Capital!Q64+[1]Capital!Q66</f>
        <v>99338.147346100028</v>
      </c>
      <c r="S193" s="6">
        <f>[1]Capital!R50+[1]Capital!R52+[1]Capital!R54+[1]Capital!R56+[1]Capital!R58+[1]Capital!R60+[1]Capital!R62+[1]Capital!R64+[1]Capital!R66</f>
        <v>100293.26774300002</v>
      </c>
      <c r="T193" s="6">
        <f>[1]Capital!S50+[1]Capital!S52+[1]Capital!S54+[1]Capital!S56+[1]Capital!S58+[1]Capital!S60+[1]Capital!S62+[1]Capital!S64+[1]Capital!S66</f>
        <v>101287.47920690001</v>
      </c>
      <c r="U193" s="6">
        <f>[1]Capital!T50+[1]Capital!T52+[1]Capital!T54+[1]Capital!T56+[1]Capital!T58+[1]Capital!T60+[1]Capital!T62+[1]Capital!T64+[1]Capital!T66</f>
        <v>102341.52518350001</v>
      </c>
      <c r="V193" s="6">
        <f>[1]Capital!U50+[1]Capital!U52+[1]Capital!U54+[1]Capital!U56+[1]Capital!U58+[1]Capital!U60+[1]Capital!U62+[1]Capital!U64+[1]Capital!U66</f>
        <v>103473.01978930003</v>
      </c>
      <c r="W193" s="6">
        <f>[1]Capital!V50+[1]Capital!V52+[1]Capital!V54+[1]Capital!V56+[1]Capital!V58+[1]Capital!V60+[1]Capital!V62+[1]Capital!V64+[1]Capital!V66</f>
        <v>104693.4186189</v>
      </c>
      <c r="X193" s="6">
        <f>[1]Capital!W50+[1]Capital!W52+[1]Capital!W54+[1]Capital!W56+[1]Capital!W58+[1]Capital!W60+[1]Capital!W62+[1]Capital!W64+[1]Capital!W66</f>
        <v>106013.24344160002</v>
      </c>
      <c r="Y193" s="6">
        <f>[1]Capital!X50+[1]Capital!X52+[1]Capital!X54+[1]Capital!X56+[1]Capital!X58+[1]Capital!X60+[1]Capital!X62+[1]Capital!X64+[1]Capital!X66</f>
        <v>107439.12727790001</v>
      </c>
      <c r="Z193" s="6">
        <f>[1]Capital!Y50+[1]Capital!Y52+[1]Capital!Y54+[1]Capital!Y56+[1]Capital!Y58+[1]Capital!Y60+[1]Capital!Y62+[1]Capital!Y64+[1]Capital!Y66</f>
        <v>108973.47751689999</v>
      </c>
      <c r="AA193" s="6">
        <f>[1]Capital!Z50+[1]Capital!Z52+[1]Capital!Z54+[1]Capital!Z56+[1]Capital!Z58+[1]Capital!Z60+[1]Capital!Z62+[1]Capital!Z64+[1]Capital!Z66</f>
        <v>110615.00073710001</v>
      </c>
      <c r="AB193" s="6">
        <f>[1]Capital!AA50+[1]Capital!AA52+[1]Capital!AA54+[1]Capital!AA56+[1]Capital!AA58+[1]Capital!AA60+[1]Capital!AA62+[1]Capital!AA64+[1]Capital!AA66</f>
        <v>112350.1584613</v>
      </c>
      <c r="AC193" s="6">
        <f>[1]Capital!AB50+[1]Capital!AB52+[1]Capital!AB54+[1]Capital!AB56+[1]Capital!AB58+[1]Capital!AB60+[1]Capital!AB62+[1]Capital!AB64+[1]Capital!AB66</f>
        <v>114169.47766029999</v>
      </c>
      <c r="AD193" s="6">
        <f>[1]Capital!AC50+[1]Capital!AC52+[1]Capital!AC54+[1]Capital!AC56+[1]Capital!AC58+[1]Capital!AC60+[1]Capital!AC62+[1]Capital!AC64+[1]Capital!AC66</f>
        <v>116060.8202039</v>
      </c>
      <c r="AE193" s="6">
        <f>[1]Capital!AD50+[1]Capital!AD52+[1]Capital!AD54+[1]Capital!AD56+[1]Capital!AD58+[1]Capital!AD60+[1]Capital!AD62+[1]Capital!AD64+[1]Capital!AD66</f>
        <v>118009.70255680001</v>
      </c>
      <c r="AF193" s="6">
        <f>[1]Capital!AE50+[1]Capital!AE52+[1]Capital!AE54+[1]Capital!AE56+[1]Capital!AE58+[1]Capital!AE60+[1]Capital!AE62+[1]Capital!AE64+[1]Capital!AE66</f>
        <v>120001.77335120001</v>
      </c>
      <c r="AG193" s="6">
        <f>[1]Capital!AF50+[1]Capital!AF52+[1]Capital!AF54+[1]Capital!AF56+[1]Capital!AF58+[1]Capital!AF60+[1]Capital!AF62+[1]Capital!AF64+[1]Capital!AF66</f>
        <v>122024.96596729998</v>
      </c>
      <c r="AH193" s="6">
        <f>[1]Capital!AG50+[1]Capital!AG52+[1]Capital!AG54+[1]Capital!AG56+[1]Capital!AG58+[1]Capital!AG60+[1]Capital!AG62+[1]Capital!AG64+[1]Capital!AG66</f>
        <v>124070.7241679</v>
      </c>
      <c r="AI193" s="6">
        <f>[1]Capital!AH50+[1]Capital!AH52+[1]Capital!AH54+[1]Capital!AH56+[1]Capital!AH58+[1]Capital!AH60+[1]Capital!AH62+[1]Capital!AH64+[1]Capital!AH66</f>
        <v>126134.26987420001</v>
      </c>
      <c r="AJ193" s="6">
        <f>[1]Capital!AI50+[1]Capital!AI52+[1]Capital!AI54+[1]Capital!AI56+[1]Capital!AI58+[1]Capital!AI60+[1]Capital!AI62+[1]Capital!AI64+[1]Capital!AI66</f>
        <v>128213.85720089998</v>
      </c>
      <c r="AK193" s="6">
        <f>[1]Capital!AJ50+[1]Capital!AJ52+[1]Capital!AJ54+[1]Capital!AJ56+[1]Capital!AJ58+[1]Capital!AJ60+[1]Capital!AJ62+[1]Capital!AJ64+[1]Capital!AJ66</f>
        <v>130309.8454201</v>
      </c>
      <c r="AL193" s="6">
        <f>[1]Capital!AK50+[1]Capital!AK52+[1]Capital!AK54+[1]Capital!AK56+[1]Capital!AK58+[1]Capital!AK60+[1]Capital!AK62+[1]Capital!AK64+[1]Capital!AK66</f>
        <v>132423.87690460001</v>
      </c>
    </row>
    <row r="194" spans="1:3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622110.14280400006</v>
      </c>
      <c r="D194" s="6">
        <f>-[1]Capital!C26+[1]Capital!C8+[1]Capital!C10+[1]Capital!C13+[1]Capital!C14+[1]Capital!C16+[1]Capital!C18+[1]Capital!C20+[1]Capital!C22+[1]Capital!C24+[1]Capital!C26+[1]Capital!C40</f>
        <v>629366.22872899997</v>
      </c>
      <c r="E194" s="6">
        <f>-[1]Capital!D26+[1]Capital!D8+[1]Capital!D10+[1]Capital!D13+[1]Capital!D14+[1]Capital!D16+[1]Capital!D18+[1]Capital!D20+[1]Capital!D22+[1]Capital!D24+[1]Capital!D26+[1]Capital!D40</f>
        <v>636749.50905799994</v>
      </c>
      <c r="F194" s="6">
        <f>-[1]Capital!E26+[1]Capital!E8+[1]Capital!E10+[1]Capital!E13+[1]Capital!E14+[1]Capital!E16+[1]Capital!E18+[1]Capital!E20+[1]Capital!E22+[1]Capital!E24+[1]Capital!E26+[1]Capital!E40</f>
        <v>644349.0919169999</v>
      </c>
      <c r="G194" s="6">
        <f>-[1]Capital!F26+[1]Capital!F8+[1]Capital!F10+[1]Capital!F13+[1]Capital!F14+[1]Capital!F16+[1]Capital!F18+[1]Capital!F20+[1]Capital!F22+[1]Capital!F24+[1]Capital!F26+[1]Capital!F40</f>
        <v>652191.04047499993</v>
      </c>
      <c r="H194" s="6">
        <f>-[1]Capital!G26+[1]Capital!G8+[1]Capital!G10+[1]Capital!G13+[1]Capital!G14+[1]Capital!G16+[1]Capital!G18+[1]Capital!G20+[1]Capital!G22+[1]Capital!G24+[1]Capital!G26+[1]Capital!G40</f>
        <v>660270.67090799985</v>
      </c>
      <c r="I194" s="6">
        <f>-[1]Capital!H26+[1]Capital!H8+[1]Capital!H10+[1]Capital!H13+[1]Capital!H14+[1]Capital!H16+[1]Capital!H18+[1]Capital!H20+[1]Capital!H22+[1]Capital!H24+[1]Capital!H26+[1]Capital!H40</f>
        <v>668538.7403549999</v>
      </c>
      <c r="J194" s="6">
        <f>-[1]Capital!I26+[1]Capital!I8+[1]Capital!I10+[1]Capital!I13+[1]Capital!I14+[1]Capital!I16+[1]Capital!I18+[1]Capital!I20+[1]Capital!I22+[1]Capital!I24+[1]Capital!I26+[1]Capital!I40</f>
        <v>676931.34972200007</v>
      </c>
      <c r="K194" s="6">
        <f>-[1]Capital!J26+[1]Capital!J8+[1]Capital!J10+[1]Capital!J13+[1]Capital!J14+[1]Capital!J16+[1]Capital!J18+[1]Capital!J20+[1]Capital!J22+[1]Capital!J24+[1]Capital!J26+[1]Capital!J40</f>
        <v>685405.39350799983</v>
      </c>
      <c r="L194" s="6">
        <f>-[1]Capital!K26+[1]Capital!K8+[1]Capital!K10+[1]Capital!K13+[1]Capital!K14+[1]Capital!K16+[1]Capital!K18+[1]Capital!K20+[1]Capital!K22+[1]Capital!K24+[1]Capital!K26+[1]Capital!K40</f>
        <v>693953.85861700005</v>
      </c>
      <c r="M194" s="6">
        <f>-[1]Capital!L26+[1]Capital!L8+[1]Capital!L10+[1]Capital!L13+[1]Capital!L14+[1]Capital!L16+[1]Capital!L18+[1]Capital!L20+[1]Capital!L22+[1]Capital!L24+[1]Capital!L26+[1]Capital!L40</f>
        <v>702702.76682000002</v>
      </c>
      <c r="N194" s="6">
        <f>-[1]Capital!M26+[1]Capital!M8+[1]Capital!M10+[1]Capital!M13+[1]Capital!M14+[1]Capital!M16+[1]Capital!M18+[1]Capital!M20+[1]Capital!M22+[1]Capital!M24+[1]Capital!M26+[1]Capital!M40</f>
        <v>711621.8897099999</v>
      </c>
      <c r="O194" s="6">
        <f>-[1]Capital!N26+[1]Capital!N8+[1]Capital!N10+[1]Capital!N13+[1]Capital!N14+[1]Capital!N16+[1]Capital!N18+[1]Capital!N20+[1]Capital!N22+[1]Capital!N24+[1]Capital!N26+[1]Capital!N40</f>
        <v>720721.46964000002</v>
      </c>
      <c r="P194" s="6">
        <f>-[1]Capital!O26+[1]Capital!O8+[1]Capital!O10+[1]Capital!O13+[1]Capital!O14+[1]Capital!O16+[1]Capital!O18+[1]Capital!O20+[1]Capital!O22+[1]Capital!O24+[1]Capital!O26+[1]Capital!O40</f>
        <v>730016.94000000006</v>
      </c>
      <c r="Q194" s="6">
        <f>-[1]Capital!P26+[1]Capital!P8+[1]Capital!P10+[1]Capital!P13+[1]Capital!P14+[1]Capital!P16+[1]Capital!P18+[1]Capital!P20+[1]Capital!P22+[1]Capital!P24+[1]Capital!P26+[1]Capital!P40</f>
        <v>739510.81294000009</v>
      </c>
      <c r="R194" s="6">
        <f>-[1]Capital!Q26+[1]Capital!Q8+[1]Capital!Q10+[1]Capital!Q13+[1]Capital!Q14+[1]Capital!Q16+[1]Capital!Q18+[1]Capital!Q20+[1]Capital!Q22+[1]Capital!Q24+[1]Capital!Q26+[1]Capital!Q40</f>
        <v>749195.22090999992</v>
      </c>
      <c r="S194" s="6">
        <f>-[1]Capital!R26+[1]Capital!R8+[1]Capital!R10+[1]Capital!R13+[1]Capital!R14+[1]Capital!R16+[1]Capital!R18+[1]Capital!R20+[1]Capital!R22+[1]Capital!R24+[1]Capital!R26+[1]Capital!R40</f>
        <v>759060.47279000015</v>
      </c>
      <c r="T194" s="6">
        <f>-[1]Capital!S26+[1]Capital!S8+[1]Capital!S10+[1]Capital!S13+[1]Capital!S14+[1]Capital!S16+[1]Capital!S18+[1]Capital!S20+[1]Capital!S22+[1]Capital!S24+[1]Capital!S26+[1]Capital!S40</f>
        <v>769101.96479999996</v>
      </c>
      <c r="U194" s="6">
        <f>-[1]Capital!T26+[1]Capital!T8+[1]Capital!T10+[1]Capital!T13+[1]Capital!T14+[1]Capital!T16+[1]Capital!T18+[1]Capital!T20+[1]Capital!T22+[1]Capital!T24+[1]Capital!T26+[1]Capital!T40</f>
        <v>779322.81458000001</v>
      </c>
      <c r="V194" s="6">
        <f>-[1]Capital!U26+[1]Capital!U8+[1]Capital!U10+[1]Capital!U13+[1]Capital!U14+[1]Capital!U16+[1]Capital!U18+[1]Capital!U20+[1]Capital!U22+[1]Capital!U24+[1]Capital!U26+[1]Capital!U40</f>
        <v>789732.5557899999</v>
      </c>
      <c r="W194" s="6">
        <f>-[1]Capital!V26+[1]Capital!V8+[1]Capital!V10+[1]Capital!V13+[1]Capital!V14+[1]Capital!V16+[1]Capital!V18+[1]Capital!V20+[1]Capital!V22+[1]Capital!V24+[1]Capital!V26+[1]Capital!V40</f>
        <v>800269.70713999995</v>
      </c>
      <c r="X194" s="6">
        <f>-[1]Capital!W26+[1]Capital!W8+[1]Capital!W10+[1]Capital!W13+[1]Capital!W14+[1]Capital!W16+[1]Capital!W18+[1]Capital!W20+[1]Capital!W22+[1]Capital!W24+[1]Capital!W26+[1]Capital!W40</f>
        <v>811000.20681</v>
      </c>
      <c r="Y194" s="6">
        <f>-[1]Capital!X26+[1]Capital!X8+[1]Capital!X10+[1]Capital!X13+[1]Capital!X14+[1]Capital!X16+[1]Capital!X18+[1]Capital!X20+[1]Capital!X22+[1]Capital!X24+[1]Capital!X26+[1]Capital!X40</f>
        <v>821957.87921000004</v>
      </c>
      <c r="Z194" s="6">
        <f>-[1]Capital!Y26+[1]Capital!Y8+[1]Capital!Y10+[1]Capital!Y13+[1]Capital!Y14+[1]Capital!Y16+[1]Capital!Y18+[1]Capital!Y20+[1]Capital!Y22+[1]Capital!Y24+[1]Capital!Y26+[1]Capital!Y40</f>
        <v>833154.64222999988</v>
      </c>
      <c r="AA194" s="6">
        <f>-[1]Capital!Z26+[1]Capital!Z8+[1]Capital!Z10+[1]Capital!Z13+[1]Capital!Z14+[1]Capital!Z16+[1]Capital!Z18+[1]Capital!Z20+[1]Capital!Z22+[1]Capital!Z24+[1]Capital!Z26+[1]Capital!Z40</f>
        <v>844592.77983999997</v>
      </c>
      <c r="AB194" s="6">
        <f>-[1]Capital!AA26+[1]Capital!AA8+[1]Capital!AA10+[1]Capital!AA13+[1]Capital!AA14+[1]Capital!AA16+[1]Capital!AA18+[1]Capital!AA20+[1]Capital!AA22+[1]Capital!AA24+[1]Capital!AA26+[1]Capital!AA40</f>
        <v>856049.79466999997</v>
      </c>
      <c r="AC194" s="6">
        <f>-[1]Capital!AB26+[1]Capital!AB8+[1]Capital!AB10+[1]Capital!AB13+[1]Capital!AB14+[1]Capital!AB16+[1]Capital!AB18+[1]Capital!AB20+[1]Capital!AB22+[1]Capital!AB24+[1]Capital!AB26+[1]Capital!AB40</f>
        <v>867594.07270999986</v>
      </c>
      <c r="AD194" s="6">
        <f>-[1]Capital!AC26+[1]Capital!AC8+[1]Capital!AC10+[1]Capital!AC13+[1]Capital!AC14+[1]Capital!AC16+[1]Capital!AC18+[1]Capital!AC20+[1]Capital!AC22+[1]Capital!AC24+[1]Capital!AC26+[1]Capital!AC40</f>
        <v>879267.97536000004</v>
      </c>
      <c r="AE194" s="6">
        <f>-[1]Capital!AD26+[1]Capital!AD8+[1]Capital!AD10+[1]Capital!AD13+[1]Capital!AD14+[1]Capital!AD16+[1]Capital!AD18+[1]Capital!AD20+[1]Capital!AD22+[1]Capital!AD24+[1]Capital!AD26+[1]Capital!AD40</f>
        <v>891092.28685999999</v>
      </c>
      <c r="AF194" s="6">
        <f>-[1]Capital!AE26+[1]Capital!AE8+[1]Capital!AE10+[1]Capital!AE13+[1]Capital!AE14+[1]Capital!AE16+[1]Capital!AE18+[1]Capital!AE20+[1]Capital!AE22+[1]Capital!AE24+[1]Capital!AE26+[1]Capital!AE40</f>
        <v>903080.98050000006</v>
      </c>
      <c r="AG194" s="6">
        <f>-[1]Capital!AF26+[1]Capital!AF8+[1]Capital!AF10+[1]Capital!AF13+[1]Capital!AF14+[1]Capital!AF16+[1]Capital!AF18+[1]Capital!AF20+[1]Capital!AF22+[1]Capital!AF24+[1]Capital!AF26+[1]Capital!AF40</f>
        <v>915243.47226000007</v>
      </c>
      <c r="AH194" s="6">
        <f>-[1]Capital!AG26+[1]Capital!AG8+[1]Capital!AG10+[1]Capital!AG13+[1]Capital!AG14+[1]Capital!AG16+[1]Capital!AG18+[1]Capital!AG20+[1]Capital!AG22+[1]Capital!AG24+[1]Capital!AG26+[1]Capital!AG40</f>
        <v>927583.60742000001</v>
      </c>
      <c r="AI194" s="6">
        <f>-[1]Capital!AH26+[1]Capital!AH8+[1]Capital!AH10+[1]Capital!AH13+[1]Capital!AH14+[1]Capital!AH16+[1]Capital!AH18+[1]Capital!AH20+[1]Capital!AH22+[1]Capital!AH24+[1]Capital!AH26+[1]Capital!AH40</f>
        <v>940100.11551999999</v>
      </c>
      <c r="AJ194" s="6">
        <f>-[1]Capital!AI26+[1]Capital!AI8+[1]Capital!AI10+[1]Capital!AI13+[1]Capital!AI14+[1]Capital!AI16+[1]Capital!AI18+[1]Capital!AI20+[1]Capital!AI22+[1]Capital!AI24+[1]Capital!AI26+[1]Capital!AI40</f>
        <v>952788.92923999997</v>
      </c>
      <c r="AK194" s="6">
        <f>-[1]Capital!AJ26+[1]Capital!AJ8+[1]Capital!AJ10+[1]Capital!AJ13+[1]Capital!AJ14+[1]Capital!AJ16+[1]Capital!AJ18+[1]Capital!AJ20+[1]Capital!AJ22+[1]Capital!AJ24+[1]Capital!AJ26+[1]Capital!AJ40</f>
        <v>965646.07380000013</v>
      </c>
      <c r="AL194" s="6">
        <f>-[1]Capital!AK26+[1]Capital!AK8+[1]Capital!AK10+[1]Capital!AK13+[1]Capital!AK14+[1]Capital!AK16+[1]Capital!AK18+[1]Capital!AK20+[1]Capital!AK22+[1]Capital!AK24+[1]Capital!AK26+[1]Capital!AK40</f>
        <v>978669.72393999994</v>
      </c>
    </row>
    <row r="195" spans="1:38" x14ac:dyDescent="0.3">
      <c r="B195" t="s">
        <v>24</v>
      </c>
      <c r="C195" s="6">
        <f>[1]Capital!B42+[1]Capital!B46+[1]Capital!B44+[1]Capital!B48</f>
        <v>48089.812201600005</v>
      </c>
      <c r="D195" s="6">
        <f>[1]Capital!C42+[1]Capital!C46+[1]Capital!C44+[1]Capital!C48</f>
        <v>48719.662545200001</v>
      </c>
      <c r="E195" s="6">
        <f>[1]Capital!D42+[1]Capital!D46+[1]Capital!D44+[1]Capital!D48</f>
        <v>49437.091918100006</v>
      </c>
      <c r="F195" s="6">
        <f>[1]Capital!E42+[1]Capital!E46+[1]Capital!E44+[1]Capital!E48</f>
        <v>50230.667540000002</v>
      </c>
      <c r="G195" s="6">
        <f>[1]Capital!F42+[1]Capital!F46+[1]Capital!F44+[1]Capital!F48</f>
        <v>51088.702419499998</v>
      </c>
      <c r="H195" s="6">
        <f>[1]Capital!G42+[1]Capital!G46+[1]Capital!G44+[1]Capital!G48</f>
        <v>52002.136742799994</v>
      </c>
      <c r="I195" s="6">
        <f>[1]Capital!H42+[1]Capital!H46+[1]Capital!H44+[1]Capital!H48</f>
        <v>53004.327408600002</v>
      </c>
      <c r="J195" s="6">
        <f>[1]Capital!I42+[1]Capital!I46+[1]Capital!I44+[1]Capital!I48</f>
        <v>54065.968368400005</v>
      </c>
      <c r="K195" s="6">
        <f>[1]Capital!J42+[1]Capital!J46+[1]Capital!J44+[1]Capital!J48</f>
        <v>55167.214288599993</v>
      </c>
      <c r="L195" s="6">
        <f>[1]Capital!K42+[1]Capital!K46+[1]Capital!K44+[1]Capital!K48</f>
        <v>56295.1123362</v>
      </c>
      <c r="M195" s="6">
        <f>[1]Capital!L42+[1]Capital!L46+[1]Capital!L44+[1]Capital!L48</f>
        <v>57442.2032961</v>
      </c>
      <c r="N195" s="6">
        <f>[1]Capital!M42+[1]Capital!M46+[1]Capital!M44+[1]Capital!M48</f>
        <v>58598.032805400006</v>
      </c>
      <c r="O195" s="6">
        <f>[1]Capital!N42+[1]Capital!N46+[1]Capital!N44+[1]Capital!N48</f>
        <v>59754.762846100006</v>
      </c>
      <c r="P195" s="6">
        <f>[1]Capital!O42+[1]Capital!O46+[1]Capital!O44+[1]Capital!O48</f>
        <v>60907.672099399992</v>
      </c>
      <c r="Q195" s="6">
        <f>[1]Capital!P42+[1]Capital!P46+[1]Capital!P44+[1]Capital!P48</f>
        <v>62054.285455000005</v>
      </c>
      <c r="R195" s="6">
        <f>[1]Capital!Q42+[1]Capital!Q46+[1]Capital!Q44+[1]Capital!Q48</f>
        <v>63193.224334999999</v>
      </c>
      <c r="S195" s="6">
        <f>[1]Capital!R42+[1]Capital!R46+[1]Capital!R44+[1]Capital!R48</f>
        <v>64323.488214100005</v>
      </c>
      <c r="T195" s="6">
        <f>[1]Capital!S42+[1]Capital!S46+[1]Capital!S44+[1]Capital!S48</f>
        <v>65444.105082199989</v>
      </c>
      <c r="U195" s="6">
        <f>[1]Capital!T42+[1]Capital!T46+[1]Capital!T44+[1]Capital!T48</f>
        <v>66554.077189200005</v>
      </c>
      <c r="V195" s="6">
        <f>[1]Capital!U42+[1]Capital!U46+[1]Capital!U44+[1]Capital!U48</f>
        <v>67652.513330499991</v>
      </c>
      <c r="W195" s="6">
        <f>[1]Capital!V42+[1]Capital!V46+[1]Capital!V44+[1]Capital!V48</f>
        <v>68736.309251500003</v>
      </c>
      <c r="X195" s="6">
        <f>[1]Capital!W42+[1]Capital!W46+[1]Capital!W44+[1]Capital!W48</f>
        <v>69806.236722100002</v>
      </c>
      <c r="Y195" s="6">
        <f>[1]Capital!X42+[1]Capital!X46+[1]Capital!X44+[1]Capital!X48</f>
        <v>70863.175747300003</v>
      </c>
      <c r="Z195" s="6">
        <f>[1]Capital!Y42+[1]Capital!Y46+[1]Capital!Y44+[1]Capital!Y48</f>
        <v>71907.821834200018</v>
      </c>
      <c r="AA195" s="6">
        <f>[1]Capital!Z42+[1]Capital!Z46+[1]Capital!Z44+[1]Capital!Z48</f>
        <v>72940.930705799998</v>
      </c>
      <c r="AB195" s="6">
        <f>[1]Capital!AA42+[1]Capital!AA46+[1]Capital!AA44+[1]Capital!AA48</f>
        <v>73955.634662899989</v>
      </c>
      <c r="AC195" s="6">
        <f>[1]Capital!AB42+[1]Capital!AB46+[1]Capital!AB44+[1]Capital!AB48</f>
        <v>74952.822680800004</v>
      </c>
      <c r="AD195" s="6">
        <f>[1]Capital!AC42+[1]Capital!AC46+[1]Capital!AC44+[1]Capital!AC48</f>
        <v>75933.151410199993</v>
      </c>
      <c r="AE195" s="6">
        <f>[1]Capital!AD42+[1]Capital!AD46+[1]Capital!AD44+[1]Capital!AD48</f>
        <v>76896.339555900006</v>
      </c>
      <c r="AF195" s="6">
        <f>[1]Capital!AE42+[1]Capital!AE46+[1]Capital!AE44+[1]Capital!AE48</f>
        <v>77841.974244699988</v>
      </c>
      <c r="AG195" s="6">
        <f>[1]Capital!AF42+[1]Capital!AF46+[1]Capital!AF44+[1]Capital!AF48</f>
        <v>78770.098169999997</v>
      </c>
      <c r="AH195" s="6">
        <f>[1]Capital!AG42+[1]Capital!AG46+[1]Capital!AG44+[1]Capital!AG48</f>
        <v>79681.384450999991</v>
      </c>
      <c r="AI195" s="6">
        <f>[1]Capital!AH42+[1]Capital!AH46+[1]Capital!AH44+[1]Capital!AH48</f>
        <v>80577.02040899999</v>
      </c>
      <c r="AJ195" s="6">
        <f>[1]Capital!AI42+[1]Capital!AI46+[1]Capital!AI44+[1]Capital!AI48</f>
        <v>81458.438572999992</v>
      </c>
      <c r="AK195" s="6">
        <f>[1]Capital!AJ42+[1]Capital!AJ46+[1]Capital!AJ44+[1]Capital!AJ48</f>
        <v>82327.071261000005</v>
      </c>
      <c r="AL195" s="6">
        <f>[1]Capital!AK42+[1]Capital!AK46+[1]Capital!AK44+[1]Capital!AK48</f>
        <v>83184.212385000006</v>
      </c>
    </row>
    <row r="196" spans="1:38" x14ac:dyDescent="0.3">
      <c r="B196" t="s">
        <v>10</v>
      </c>
      <c r="C196" s="6">
        <f>[1]Capital!B36+[1]Capital!B38</f>
        <v>7643058.2779999999</v>
      </c>
      <c r="D196" s="6">
        <f>[1]Capital!C36+[1]Capital!C38</f>
        <v>7732998.7880000006</v>
      </c>
      <c r="E196" s="6">
        <f>[1]Capital!D36+[1]Capital!D38</f>
        <v>7825067.898</v>
      </c>
      <c r="F196" s="6">
        <f>[1]Capital!E36+[1]Capital!E38</f>
        <v>7920209.7520000003</v>
      </c>
      <c r="G196" s="6">
        <f>[1]Capital!F36+[1]Capital!F38</f>
        <v>8018723.8829999994</v>
      </c>
      <c r="H196" s="6">
        <f>[1]Capital!G36+[1]Capital!G38</f>
        <v>8120418.5219999999</v>
      </c>
      <c r="I196" s="6">
        <f>[1]Capital!H36+[1]Capital!H38</f>
        <v>8225573.6309999991</v>
      </c>
      <c r="J196" s="6">
        <f>[1]Capital!I36+[1]Capital!I38</f>
        <v>8332928.1040000003</v>
      </c>
      <c r="K196" s="6">
        <f>[1]Capital!J36+[1]Capital!J38</f>
        <v>8441571.4199999999</v>
      </c>
      <c r="L196" s="6">
        <f>[1]Capital!K36+[1]Capital!K38</f>
        <v>8551306.6640000008</v>
      </c>
      <c r="M196" s="6">
        <f>[1]Capital!L36+[1]Capital!L38</f>
        <v>8662117.1129999999</v>
      </c>
      <c r="N196" s="6">
        <f>[1]Capital!M36+[1]Capital!M38</f>
        <v>8775480.506000001</v>
      </c>
      <c r="O196" s="6">
        <f>[1]Capital!N36+[1]Capital!N38</f>
        <v>8892009.1520000007</v>
      </c>
      <c r="P196" s="6">
        <f>[1]Capital!O36+[1]Capital!O38</f>
        <v>9011957.4590000007</v>
      </c>
      <c r="Q196" s="6">
        <f>[1]Capital!P36+[1]Capital!P38</f>
        <v>9135396.0130000003</v>
      </c>
      <c r="R196" s="6">
        <f>[1]Capital!Q36+[1]Capital!Q38</f>
        <v>9262312.7650000006</v>
      </c>
      <c r="S196" s="6">
        <f>[1]Capital!R36+[1]Capital!R38</f>
        <v>9392697.675999999</v>
      </c>
      <c r="T196" s="6">
        <f>[1]Capital!S36+[1]Capital!S38</f>
        <v>9526596.1879999992</v>
      </c>
      <c r="U196" s="6">
        <f>[1]Capital!T36+[1]Capital!T38</f>
        <v>9664119.7459999993</v>
      </c>
      <c r="V196" s="6">
        <f>[1]Capital!U36+[1]Capital!U38</f>
        <v>9805420.4869999997</v>
      </c>
      <c r="W196" s="6">
        <f>[1]Capital!V36+[1]Capital!V38</f>
        <v>9950878.6469999999</v>
      </c>
      <c r="X196" s="6">
        <f>[1]Capital!W36+[1]Capital!W38</f>
        <v>10100079.141000001</v>
      </c>
      <c r="Y196" s="6">
        <f>[1]Capital!X36+[1]Capital!X38</f>
        <v>10253128.493000001</v>
      </c>
      <c r="Z196" s="6">
        <f>[1]Capital!Y36+[1]Capital!Y38</f>
        <v>10410175.357000001</v>
      </c>
      <c r="AA196" s="6">
        <f>[1]Capital!Z36+[1]Capital!Z38</f>
        <v>10571286.085999999</v>
      </c>
      <c r="AB196" s="6">
        <f>[1]Capital!AA36+[1]Capital!AA38</f>
        <v>10736990.739999998</v>
      </c>
      <c r="AC196" s="6">
        <f>[1]Capital!AB36+[1]Capital!AB38</f>
        <v>10906154.577</v>
      </c>
      <c r="AD196" s="6">
        <f>[1]Capital!AC36+[1]Capital!AC38</f>
        <v>11078509.003</v>
      </c>
      <c r="AE196" s="6">
        <f>[1]Capital!AD36+[1]Capital!AD38</f>
        <v>11254107.682</v>
      </c>
      <c r="AF196" s="6">
        <f>[1]Capital!AE36+[1]Capital!AE38</f>
        <v>11433078.206</v>
      </c>
      <c r="AG196" s="6">
        <f>[1]Capital!AF36+[1]Capital!AF38</f>
        <v>11615510.527999999</v>
      </c>
      <c r="AH196" s="6">
        <f>[1]Capital!AG36+[1]Capital!AG38</f>
        <v>11801418.922</v>
      </c>
      <c r="AI196" s="6">
        <f>[1]Capital!AH36+[1]Capital!AH38</f>
        <v>11990753.635000002</v>
      </c>
      <c r="AJ196" s="6">
        <f>[1]Capital!AI36+[1]Capital!AI38</f>
        <v>12183438.186000001</v>
      </c>
      <c r="AK196" s="6">
        <f>[1]Capital!AJ36+[1]Capital!AJ38</f>
        <v>12379408.210000001</v>
      </c>
      <c r="AL196" s="6">
        <f>[1]Capital!AK36+[1]Capital!AK38</f>
        <v>12578634.513</v>
      </c>
    </row>
    <row r="197" spans="1:38" x14ac:dyDescent="0.3">
      <c r="B197" t="s">
        <v>9</v>
      </c>
      <c r="C197" s="6">
        <f>[1]Capital!B28+[1]Capital!B30+[1]Capital!B32+[1]Capital!B34</f>
        <v>164807.50347</v>
      </c>
      <c r="D197" s="6">
        <f>[1]Capital!C28+[1]Capital!C30+[1]Capital!C32+[1]Capital!C34</f>
        <v>166682.04033999998</v>
      </c>
      <c r="E197" s="6">
        <f>[1]Capital!D28+[1]Capital!D30+[1]Capital!D32+[1]Capital!D34</f>
        <v>168526.18522000001</v>
      </c>
      <c r="F197" s="6">
        <f>[1]Capital!E28+[1]Capital!E30+[1]Capital!E32+[1]Capital!E34</f>
        <v>170372.08017999999</v>
      </c>
      <c r="G197" s="6">
        <f>[1]Capital!F28+[1]Capital!F30+[1]Capital!F32+[1]Capital!F34</f>
        <v>172242.60921</v>
      </c>
      <c r="H197" s="6">
        <f>[1]Capital!G28+[1]Capital!G30+[1]Capital!G32+[1]Capital!G34</f>
        <v>174148.89721</v>
      </c>
      <c r="I197" s="6">
        <f>[1]Capital!H28+[1]Capital!H30+[1]Capital!H32+[1]Capital!H34</f>
        <v>176096.66162</v>
      </c>
      <c r="J197" s="6">
        <f>[1]Capital!I28+[1]Capital!I30+[1]Capital!I32+[1]Capital!I34</f>
        <v>178067.95624</v>
      </c>
      <c r="K197" s="6">
        <f>[1]Capital!J28+[1]Capital!J30+[1]Capital!J32+[1]Capital!J34</f>
        <v>180048.44974000001</v>
      </c>
      <c r="L197" s="6">
        <f>[1]Capital!K28+[1]Capital!K30+[1]Capital!K32+[1]Capital!K34</f>
        <v>182036.25579000002</v>
      </c>
      <c r="M197" s="6">
        <f>[1]Capital!L28+[1]Capital!L30+[1]Capital!L32+[1]Capital!L34</f>
        <v>184048.57336000001</v>
      </c>
      <c r="N197" s="6">
        <f>[1]Capital!M28+[1]Capital!M30+[1]Capital!M32+[1]Capital!M34</f>
        <v>186103.24404999998</v>
      </c>
      <c r="O197" s="6">
        <f>[1]Capital!N28+[1]Capital!N30+[1]Capital!N32+[1]Capital!N34</f>
        <v>188212.76361999998</v>
      </c>
      <c r="P197" s="6">
        <f>[1]Capital!O28+[1]Capital!O30+[1]Capital!O32+[1]Capital!O34</f>
        <v>190384.22558</v>
      </c>
      <c r="Q197" s="6">
        <f>[1]Capital!P28+[1]Capital!P30+[1]Capital!P32+[1]Capital!P34</f>
        <v>192620.14643999998</v>
      </c>
      <c r="R197" s="6">
        <f>[1]Capital!Q28+[1]Capital!Q30+[1]Capital!Q32+[1]Capital!Q34</f>
        <v>194920.25065</v>
      </c>
      <c r="S197" s="6">
        <f>[1]Capital!R28+[1]Capital!R30+[1]Capital!R32+[1]Capital!R34</f>
        <v>197283.59432</v>
      </c>
      <c r="T197" s="6">
        <f>[1]Capital!S28+[1]Capital!S30+[1]Capital!S32+[1]Capital!S34</f>
        <v>199710.14919000003</v>
      </c>
      <c r="U197" s="6">
        <f>[1]Capital!T28+[1]Capital!T30+[1]Capital!T32+[1]Capital!T34</f>
        <v>202201.37323999999</v>
      </c>
      <c r="V197" s="6">
        <f>[1]Capital!U28+[1]Capital!U30+[1]Capital!U32+[1]Capital!U34</f>
        <v>204759.83656</v>
      </c>
      <c r="W197" s="6">
        <f>[1]Capital!V28+[1]Capital!V30+[1]Capital!V32+[1]Capital!V34</f>
        <v>207382.08658</v>
      </c>
      <c r="X197" s="6">
        <f>[1]Capital!W28+[1]Capital!W30+[1]Capital!W32+[1]Capital!W34</f>
        <v>210069.75401</v>
      </c>
      <c r="Y197" s="6">
        <f>[1]Capital!X28+[1]Capital!X30+[1]Capital!X32+[1]Capital!X34</f>
        <v>212826.74794</v>
      </c>
      <c r="Z197" s="6">
        <f>[1]Capital!Y28+[1]Capital!Y30+[1]Capital!Y32+[1]Capital!Y34</f>
        <v>215655.89075999998</v>
      </c>
      <c r="AA197" s="6">
        <f>[1]Capital!Z28+[1]Capital!Z30+[1]Capital!Z32+[1]Capital!Z34</f>
        <v>218557.93581</v>
      </c>
      <c r="AB197" s="6">
        <f>[1]Capital!AA28+[1]Capital!AA30+[1]Capital!AA32+[1]Capital!AA34</f>
        <v>221511.9454</v>
      </c>
      <c r="AC197" s="6">
        <f>[1]Capital!AB28+[1]Capital!AB30+[1]Capital!AB32+[1]Capital!AB34</f>
        <v>224508.59645000001</v>
      </c>
      <c r="AD197" s="6">
        <f>[1]Capital!AC28+[1]Capital!AC30+[1]Capital!AC32+[1]Capital!AC34</f>
        <v>227546.18302</v>
      </c>
      <c r="AE197" s="6">
        <f>[1]Capital!AD28+[1]Capital!AD30+[1]Capital!AD32+[1]Capital!AD34</f>
        <v>230626.88209999999</v>
      </c>
      <c r="AF197" s="6">
        <f>[1]Capital!AE28+[1]Capital!AE30+[1]Capital!AE32+[1]Capital!AE34</f>
        <v>233754.01456000001</v>
      </c>
      <c r="AG197" s="6">
        <f>[1]Capital!AF28+[1]Capital!AF30+[1]Capital!AF32+[1]Capital!AF34</f>
        <v>236930.19565000001</v>
      </c>
      <c r="AH197" s="6">
        <f>[1]Capital!AG28+[1]Capital!AG30+[1]Capital!AG32+[1]Capital!AG34</f>
        <v>240156.48865999997</v>
      </c>
      <c r="AI197" s="6">
        <f>[1]Capital!AH28+[1]Capital!AH30+[1]Capital!AH32+[1]Capital!AH34</f>
        <v>243432.52343</v>
      </c>
      <c r="AJ197" s="6">
        <f>[1]Capital!AI28+[1]Capital!AI30+[1]Capital!AI32+[1]Capital!AI34</f>
        <v>246757.21992</v>
      </c>
      <c r="AK197" s="6">
        <f>[1]Capital!AJ28+[1]Capital!AJ30+[1]Capital!AJ32+[1]Capital!AJ34</f>
        <v>250129.63225999995</v>
      </c>
      <c r="AL197" s="6">
        <f>[1]Capital!AK28+[1]Capital!AK30+[1]Capital!AK32+[1]Capital!AK34</f>
        <v>253549.51206000001</v>
      </c>
    </row>
    <row r="198" spans="1:3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</row>
    <row r="200" spans="1:38" x14ac:dyDescent="0.3">
      <c r="A200" s="12" t="s">
        <v>30</v>
      </c>
      <c r="B200" t="s">
        <v>28</v>
      </c>
      <c r="C200" s="9">
        <f t="shared" ref="C200:AL200" si="32">C190/C141/(C180/C129)-1</f>
        <v>0</v>
      </c>
      <c r="D200" s="9">
        <f t="shared" si="32"/>
        <v>0</v>
      </c>
      <c r="E200" s="9">
        <f t="shared" si="32"/>
        <v>0</v>
      </c>
      <c r="F200" s="9">
        <f t="shared" si="32"/>
        <v>0</v>
      </c>
      <c r="G200" s="9">
        <f t="shared" si="32"/>
        <v>0</v>
      </c>
      <c r="H200" s="9">
        <f t="shared" si="32"/>
        <v>0</v>
      </c>
      <c r="I200" s="9">
        <f t="shared" si="32"/>
        <v>-1.2216209030398995E-3</v>
      </c>
      <c r="J200" s="9">
        <f t="shared" si="32"/>
        <v>-6.1201436560298639E-4</v>
      </c>
      <c r="K200" s="9">
        <f t="shared" si="32"/>
        <v>8.4445718438908024E-4</v>
      </c>
      <c r="L200" s="9">
        <f t="shared" si="32"/>
        <v>2.458399488469043E-3</v>
      </c>
      <c r="M200" s="9">
        <f t="shared" si="32"/>
        <v>3.6959419686706241E-3</v>
      </c>
      <c r="N200" s="9">
        <f t="shared" si="32"/>
        <v>4.3505389261675464E-3</v>
      </c>
      <c r="O200" s="9">
        <f t="shared" si="32"/>
        <v>4.3978029534164076E-3</v>
      </c>
      <c r="P200" s="9">
        <f t="shared" si="32"/>
        <v>4.0089099765470149E-3</v>
      </c>
      <c r="Q200" s="9">
        <f t="shared" si="32"/>
        <v>3.4207979296021485E-3</v>
      </c>
      <c r="R200" s="9">
        <f t="shared" si="32"/>
        <v>2.8354840621094279E-3</v>
      </c>
      <c r="S200" s="9">
        <f t="shared" si="32"/>
        <v>2.3628443378993502E-3</v>
      </c>
      <c r="T200" s="9">
        <f t="shared" si="32"/>
        <v>2.0222965124641057E-3</v>
      </c>
      <c r="U200" s="9">
        <f t="shared" si="32"/>
        <v>1.7790393275092242E-3</v>
      </c>
      <c r="V200" s="9">
        <f t="shared" si="32"/>
        <v>1.5870656645211589E-3</v>
      </c>
      <c r="W200" s="9">
        <f t="shared" si="32"/>
        <v>1.4152321255345157E-3</v>
      </c>
      <c r="X200" s="9">
        <f t="shared" si="32"/>
        <v>1.2709410186484416E-3</v>
      </c>
      <c r="Y200" s="9">
        <f t="shared" si="32"/>
        <v>1.1706594636058387E-3</v>
      </c>
      <c r="Z200" s="9">
        <f t="shared" si="32"/>
        <v>1.1391339598105787E-3</v>
      </c>
      <c r="AA200" s="9">
        <f t="shared" si="32"/>
        <v>1.1932435656294427E-3</v>
      </c>
      <c r="AB200" s="9">
        <f t="shared" si="32"/>
        <v>1.3347183647920424E-3</v>
      </c>
      <c r="AC200" s="9">
        <f t="shared" si="32"/>
        <v>1.5458631270162115E-3</v>
      </c>
      <c r="AD200" s="9">
        <f t="shared" si="32"/>
        <v>1.7968005356565619E-3</v>
      </c>
      <c r="AE200" s="9">
        <f t="shared" si="32"/>
        <v>2.0557230336011312E-3</v>
      </c>
      <c r="AF200" s="9">
        <f t="shared" si="32"/>
        <v>2.2976590372949524E-3</v>
      </c>
      <c r="AG200" s="9">
        <f t="shared" si="32"/>
        <v>2.5080189126038821E-3</v>
      </c>
      <c r="AH200" s="9">
        <f t="shared" si="32"/>
        <v>2.6815242155804331E-3</v>
      </c>
      <c r="AI200" s="9">
        <f t="shared" si="32"/>
        <v>2.8188070631178785E-3</v>
      </c>
      <c r="AJ200" s="9">
        <f t="shared" si="32"/>
        <v>2.9234203214272281E-3</v>
      </c>
      <c r="AK200" s="9">
        <f t="shared" si="32"/>
        <v>2.9990759108704523E-3</v>
      </c>
      <c r="AL200" s="9">
        <f t="shared" si="32"/>
        <v>3.0482474623707567E-3</v>
      </c>
    </row>
    <row r="201" spans="1:38" x14ac:dyDescent="0.3">
      <c r="A201" t="s">
        <v>59</v>
      </c>
      <c r="B201" t="s">
        <v>7</v>
      </c>
      <c r="C201" s="9">
        <f t="shared" ref="C201:AL201" si="33">C191/C142/(C181/C130)-1</f>
        <v>0</v>
      </c>
      <c r="D201" s="9">
        <f t="shared" si="33"/>
        <v>0</v>
      </c>
      <c r="E201" s="9">
        <f t="shared" si="33"/>
        <v>0</v>
      </c>
      <c r="F201" s="9">
        <f t="shared" si="33"/>
        <v>0</v>
      </c>
      <c r="G201" s="9">
        <f t="shared" si="33"/>
        <v>0</v>
      </c>
      <c r="H201" s="9">
        <f t="shared" si="33"/>
        <v>0</v>
      </c>
      <c r="I201" s="9">
        <f t="shared" si="33"/>
        <v>-5.8331255585408748E-4</v>
      </c>
      <c r="J201" s="9">
        <f t="shared" si="33"/>
        <v>-7.8005540647485549E-4</v>
      </c>
      <c r="K201" s="9">
        <f t="shared" si="33"/>
        <v>-7.7763170324385289E-4</v>
      </c>
      <c r="L201" s="9">
        <f t="shared" si="33"/>
        <v>-6.4967460404385946E-4</v>
      </c>
      <c r="M201" s="9">
        <f t="shared" si="33"/>
        <v>-4.5945510534228795E-4</v>
      </c>
      <c r="N201" s="9">
        <f t="shared" si="33"/>
        <v>-2.577269338142063E-4</v>
      </c>
      <c r="O201" s="9">
        <f t="shared" si="33"/>
        <v>-5.8809198655751516E-5</v>
      </c>
      <c r="P201" s="9">
        <f t="shared" si="33"/>
        <v>1.4277877253876525E-4</v>
      </c>
      <c r="Q201" s="9">
        <f t="shared" si="33"/>
        <v>3.7034556052994994E-4</v>
      </c>
      <c r="R201" s="9">
        <f t="shared" si="33"/>
        <v>6.484652976335159E-4</v>
      </c>
      <c r="S201" s="9">
        <f t="shared" si="33"/>
        <v>9.8638365700964847E-4</v>
      </c>
      <c r="T201" s="9">
        <f t="shared" si="33"/>
        <v>1.3730652692247602E-3</v>
      </c>
      <c r="U201" s="9">
        <f t="shared" si="33"/>
        <v>1.7818402409230938E-3</v>
      </c>
      <c r="V201" s="9">
        <f t="shared" si="33"/>
        <v>2.1801524727875776E-3</v>
      </c>
      <c r="W201" s="9">
        <f t="shared" si="33"/>
        <v>2.5388103214494251E-3</v>
      </c>
      <c r="X201" s="9">
        <f t="shared" si="33"/>
        <v>2.8395378207384248E-3</v>
      </c>
      <c r="Y201" s="9">
        <f t="shared" si="33"/>
        <v>3.0764496896764637E-3</v>
      </c>
      <c r="Z201" s="9">
        <f t="shared" si="33"/>
        <v>3.2529378994103908E-3</v>
      </c>
      <c r="AA201" s="9">
        <f t="shared" si="33"/>
        <v>3.3787133656346668E-3</v>
      </c>
      <c r="AB201" s="9">
        <f t="shared" si="33"/>
        <v>3.4654610604798464E-3</v>
      </c>
      <c r="AC201" s="9">
        <f t="shared" si="33"/>
        <v>3.5249028912269775E-3</v>
      </c>
      <c r="AD201" s="9">
        <f t="shared" si="33"/>
        <v>3.5659657045672422E-3</v>
      </c>
      <c r="AE201" s="9">
        <f t="shared" si="33"/>
        <v>3.5957627808280712E-3</v>
      </c>
      <c r="AF201" s="9">
        <f t="shared" si="33"/>
        <v>3.6204479262027522E-3</v>
      </c>
      <c r="AG201" s="9">
        <f t="shared" si="33"/>
        <v>3.6458830514682905E-3</v>
      </c>
      <c r="AH201" s="9">
        <f t="shared" si="33"/>
        <v>3.6774456744552708E-3</v>
      </c>
      <c r="AI201" s="9">
        <f t="shared" si="33"/>
        <v>3.7193151506507149E-3</v>
      </c>
      <c r="AJ201" s="9">
        <f t="shared" si="33"/>
        <v>3.7740124956018306E-3</v>
      </c>
      <c r="AK201" s="9">
        <f t="shared" si="33"/>
        <v>3.841797388071555E-3</v>
      </c>
      <c r="AL201" s="9">
        <f t="shared" si="33"/>
        <v>3.920438003322646E-3</v>
      </c>
    </row>
    <row r="202" spans="1:38" x14ac:dyDescent="0.3">
      <c r="B202" t="s">
        <v>96</v>
      </c>
      <c r="C202" s="9">
        <f t="shared" ref="C202:AL202" si="34">C192/C143/(C182/C131)-1</f>
        <v>0</v>
      </c>
      <c r="D202" s="9">
        <f t="shared" si="34"/>
        <v>0</v>
      </c>
      <c r="E202" s="9">
        <f t="shared" si="34"/>
        <v>0</v>
      </c>
      <c r="F202" s="9">
        <f t="shared" si="34"/>
        <v>0</v>
      </c>
      <c r="G202" s="9">
        <f t="shared" si="34"/>
        <v>0</v>
      </c>
      <c r="H202" s="9">
        <f t="shared" si="34"/>
        <v>0</v>
      </c>
      <c r="I202" s="9">
        <f t="shared" si="34"/>
        <v>-9.0483840347532762E-4</v>
      </c>
      <c r="J202" s="9">
        <f t="shared" si="34"/>
        <v>-2.5420085732064113E-4</v>
      </c>
      <c r="K202" s="9">
        <f t="shared" si="34"/>
        <v>1.37061547032169E-3</v>
      </c>
      <c r="L202" s="9">
        <f t="shared" si="34"/>
        <v>3.046839802874457E-3</v>
      </c>
      <c r="M202" s="9">
        <f t="shared" si="34"/>
        <v>3.8745816231122721E-3</v>
      </c>
      <c r="N202" s="9">
        <f t="shared" si="34"/>
        <v>3.9137085832401386E-3</v>
      </c>
      <c r="O202" s="9">
        <f t="shared" si="34"/>
        <v>3.0440792865973343E-3</v>
      </c>
      <c r="P202" s="9">
        <f t="shared" si="34"/>
        <v>1.6077279137673983E-3</v>
      </c>
      <c r="Q202" s="9">
        <f t="shared" si="34"/>
        <v>5.6776993010654309E-5</v>
      </c>
      <c r="R202" s="9">
        <f t="shared" si="34"/>
        <v>-1.2482184293275411E-3</v>
      </c>
      <c r="S202" s="9">
        <f t="shared" si="34"/>
        <v>-2.1306495542078308E-3</v>
      </c>
      <c r="T202" s="9">
        <f t="shared" si="34"/>
        <v>-2.5917259433460016E-3</v>
      </c>
      <c r="U202" s="9">
        <f t="shared" si="34"/>
        <v>-2.7385823355837724E-3</v>
      </c>
      <c r="V202" s="9">
        <f t="shared" si="34"/>
        <v>-2.701646204786412E-3</v>
      </c>
      <c r="W202" s="9">
        <f t="shared" si="34"/>
        <v>-2.609883456283324E-3</v>
      </c>
      <c r="X202" s="9">
        <f t="shared" si="34"/>
        <v>-2.4294768102283149E-3</v>
      </c>
      <c r="Y202" s="9">
        <f t="shared" si="34"/>
        <v>-2.1949165552386241E-3</v>
      </c>
      <c r="Z202" s="9">
        <f t="shared" si="34"/>
        <v>-1.8916599184422012E-3</v>
      </c>
      <c r="AA202" s="9">
        <f t="shared" si="34"/>
        <v>-1.5039350652413797E-3</v>
      </c>
      <c r="AB202" s="9">
        <f t="shared" si="34"/>
        <v>-1.1244033892756633E-3</v>
      </c>
      <c r="AC202" s="9">
        <f t="shared" si="34"/>
        <v>-5.8766921350694723E-4</v>
      </c>
      <c r="AD202" s="9">
        <f t="shared" si="34"/>
        <v>-4.6168748234487467E-5</v>
      </c>
      <c r="AE202" s="9">
        <f t="shared" si="34"/>
        <v>4.4923908855265537E-4</v>
      </c>
      <c r="AF202" s="9">
        <f t="shared" si="34"/>
        <v>8.630172354908705E-4</v>
      </c>
      <c r="AG202" s="9">
        <f t="shared" si="34"/>
        <v>1.1798650814223155E-3</v>
      </c>
      <c r="AH202" s="9">
        <f t="shared" si="34"/>
        <v>1.4028546339779346E-3</v>
      </c>
      <c r="AI202" s="9">
        <f t="shared" si="34"/>
        <v>1.5467740978065692E-3</v>
      </c>
      <c r="AJ202" s="9">
        <f t="shared" si="34"/>
        <v>1.6308599137775381E-3</v>
      </c>
      <c r="AK202" s="9">
        <f t="shared" si="34"/>
        <v>1.6730520173269259E-3</v>
      </c>
      <c r="AL202" s="9">
        <f t="shared" si="34"/>
        <v>1.6868971129917476E-3</v>
      </c>
    </row>
    <row r="203" spans="1:38" x14ac:dyDescent="0.3">
      <c r="B203" t="s">
        <v>25</v>
      </c>
      <c r="C203" s="9">
        <f t="shared" ref="C203:AL203" si="35">C193/C144/(C183/C132)-1</f>
        <v>0</v>
      </c>
      <c r="D203" s="9">
        <f t="shared" si="35"/>
        <v>0</v>
      </c>
      <c r="E203" s="9">
        <f t="shared" si="35"/>
        <v>0</v>
      </c>
      <c r="F203" s="9">
        <f t="shared" si="35"/>
        <v>0</v>
      </c>
      <c r="G203" s="9">
        <f t="shared" si="35"/>
        <v>0</v>
      </c>
      <c r="H203" s="9">
        <f t="shared" si="35"/>
        <v>0</v>
      </c>
      <c r="I203" s="9">
        <f t="shared" si="35"/>
        <v>-4.4894653769048665E-3</v>
      </c>
      <c r="J203" s="9">
        <f t="shared" si="35"/>
        <v>4.8294931516810191E-3</v>
      </c>
      <c r="K203" s="9">
        <f t="shared" si="35"/>
        <v>2.1243549611630996E-2</v>
      </c>
      <c r="L203" s="9">
        <f t="shared" si="35"/>
        <v>4.1538388426578532E-2</v>
      </c>
      <c r="M203" s="9">
        <f t="shared" si="35"/>
        <v>6.3175848430812476E-2</v>
      </c>
      <c r="N203" s="9">
        <f t="shared" si="35"/>
        <v>8.3741249590431721E-2</v>
      </c>
      <c r="O203" s="9">
        <f t="shared" si="35"/>
        <v>0.10096434301354806</v>
      </c>
      <c r="P203" s="9">
        <f t="shared" si="35"/>
        <v>0.11298398058259895</v>
      </c>
      <c r="Q203" s="9">
        <f t="shared" si="35"/>
        <v>0.11871241073179739</v>
      </c>
      <c r="R203" s="9">
        <f t="shared" si="35"/>
        <v>0.11831307911511968</v>
      </c>
      <c r="S203" s="9">
        <f t="shared" si="35"/>
        <v>0.11255732623814829</v>
      </c>
      <c r="T203" s="9">
        <f t="shared" si="35"/>
        <v>0.10271780220106441</v>
      </c>
      <c r="U203" s="9">
        <f t="shared" si="35"/>
        <v>9.0325206840791816E-2</v>
      </c>
      <c r="V203" s="9">
        <f t="shared" si="35"/>
        <v>7.6900784829044389E-2</v>
      </c>
      <c r="W203" s="9">
        <f t="shared" si="35"/>
        <v>6.3742858263416968E-2</v>
      </c>
      <c r="X203" s="9">
        <f t="shared" si="35"/>
        <v>5.172640764100378E-2</v>
      </c>
      <c r="Y203" s="9">
        <f t="shared" si="35"/>
        <v>4.1539207672280698E-2</v>
      </c>
      <c r="Z203" s="9">
        <f t="shared" si="35"/>
        <v>3.3608702269363633E-2</v>
      </c>
      <c r="AA203" s="9">
        <f t="shared" si="35"/>
        <v>2.813592241172258E-2</v>
      </c>
      <c r="AB203" s="9">
        <f t="shared" si="35"/>
        <v>2.516191234064924E-2</v>
      </c>
      <c r="AC203" s="9">
        <f t="shared" si="35"/>
        <v>2.449382418678514E-2</v>
      </c>
      <c r="AD203" s="9">
        <f t="shared" si="35"/>
        <v>2.5890143188188608E-2</v>
      </c>
      <c r="AE203" s="9">
        <f t="shared" si="35"/>
        <v>2.8993945251247766E-2</v>
      </c>
      <c r="AF203" s="9">
        <f t="shared" si="35"/>
        <v>3.3366282375425715E-2</v>
      </c>
      <c r="AG203" s="9">
        <f t="shared" si="35"/>
        <v>3.8537611421299189E-2</v>
      </c>
      <c r="AH203" s="9">
        <f t="shared" si="35"/>
        <v>4.4037578135840416E-2</v>
      </c>
      <c r="AI203" s="9">
        <f t="shared" si="35"/>
        <v>4.9430486693367692E-2</v>
      </c>
      <c r="AJ203" s="9">
        <f t="shared" si="35"/>
        <v>5.4390907764453544E-2</v>
      </c>
      <c r="AK203" s="9">
        <f t="shared" si="35"/>
        <v>5.8693625005306282E-2</v>
      </c>
      <c r="AL203" s="9">
        <f t="shared" si="35"/>
        <v>6.2191285618015568E-2</v>
      </c>
    </row>
    <row r="204" spans="1:38" x14ac:dyDescent="0.3">
      <c r="B204" t="s">
        <v>8</v>
      </c>
      <c r="C204" s="9">
        <f t="shared" ref="C204:AL204" si="36">C194/C145/(C184/C133)-1</f>
        <v>0</v>
      </c>
      <c r="D204" s="9">
        <f t="shared" si="36"/>
        <v>0</v>
      </c>
      <c r="E204" s="9">
        <f t="shared" si="36"/>
        <v>0</v>
      </c>
      <c r="F204" s="9">
        <f t="shared" si="36"/>
        <v>0</v>
      </c>
      <c r="G204" s="9">
        <f t="shared" si="36"/>
        <v>0</v>
      </c>
      <c r="H204" s="9">
        <f t="shared" si="36"/>
        <v>0</v>
      </c>
      <c r="I204" s="9">
        <f t="shared" si="36"/>
        <v>-4.7524786076080794E-4</v>
      </c>
      <c r="J204" s="9">
        <f t="shared" si="36"/>
        <v>-1.9545192379011311E-5</v>
      </c>
      <c r="K204" s="9">
        <f t="shared" si="36"/>
        <v>1.1112790278873241E-3</v>
      </c>
      <c r="L204" s="9">
        <f t="shared" si="36"/>
        <v>2.5021128630389189E-3</v>
      </c>
      <c r="M204" s="9">
        <f t="shared" si="36"/>
        <v>3.750192484750503E-3</v>
      </c>
      <c r="N204" s="9">
        <f t="shared" si="36"/>
        <v>4.632558207890991E-3</v>
      </c>
      <c r="O204" s="9">
        <f t="shared" si="36"/>
        <v>5.0735501579333153E-3</v>
      </c>
      <c r="P204" s="9">
        <f t="shared" si="36"/>
        <v>5.138943086436587E-3</v>
      </c>
      <c r="Q204" s="9">
        <f t="shared" si="36"/>
        <v>4.9672172253540925E-3</v>
      </c>
      <c r="R204" s="9">
        <f t="shared" si="36"/>
        <v>4.695730736115733E-3</v>
      </c>
      <c r="S204" s="9">
        <f t="shared" si="36"/>
        <v>4.4131366144071205E-3</v>
      </c>
      <c r="T204" s="9">
        <f t="shared" si="36"/>
        <v>4.1497589251331402E-3</v>
      </c>
      <c r="U204" s="9">
        <f t="shared" si="36"/>
        <v>3.8962382856100319E-3</v>
      </c>
      <c r="V204" s="9">
        <f t="shared" si="36"/>
        <v>3.6318580392420419E-3</v>
      </c>
      <c r="W204" s="9">
        <f t="shared" si="36"/>
        <v>3.3449485882006691E-3</v>
      </c>
      <c r="X204" s="9">
        <f t="shared" si="36"/>
        <v>3.0493939873237341E-3</v>
      </c>
      <c r="Y204" s="9">
        <f t="shared" si="36"/>
        <v>2.7707748901379947E-3</v>
      </c>
      <c r="Z204" s="9">
        <f t="shared" si="36"/>
        <v>2.5406104267817753E-3</v>
      </c>
      <c r="AA204" s="9">
        <f t="shared" si="36"/>
        <v>2.385251315048853E-3</v>
      </c>
      <c r="AB204" s="9">
        <f t="shared" si="36"/>
        <v>2.3188532480746815E-3</v>
      </c>
      <c r="AC204" s="9">
        <f t="shared" si="36"/>
        <v>2.3374269440328277E-3</v>
      </c>
      <c r="AD204" s="9">
        <f t="shared" si="36"/>
        <v>2.4244711435823518E-3</v>
      </c>
      <c r="AE204" s="9">
        <f t="shared" si="36"/>
        <v>2.5570415157696313E-3</v>
      </c>
      <c r="AF204" s="9">
        <f t="shared" si="36"/>
        <v>2.7127259911310375E-3</v>
      </c>
      <c r="AG204" s="9">
        <f t="shared" si="36"/>
        <v>2.8738557198635384E-3</v>
      </c>
      <c r="AH204" s="9">
        <f t="shared" si="36"/>
        <v>3.0283518746874183E-3</v>
      </c>
      <c r="AI204" s="9">
        <f t="shared" si="36"/>
        <v>3.1685042108167139E-3</v>
      </c>
      <c r="AJ204" s="9">
        <f t="shared" si="36"/>
        <v>3.2894164014101168E-3</v>
      </c>
      <c r="AK204" s="9">
        <f t="shared" si="36"/>
        <v>3.3875306087842727E-3</v>
      </c>
      <c r="AL204" s="9">
        <f t="shared" si="36"/>
        <v>3.4598092657340818E-3</v>
      </c>
    </row>
    <row r="205" spans="1:38" x14ac:dyDescent="0.3">
      <c r="B205" t="s">
        <v>24</v>
      </c>
      <c r="C205" s="9">
        <f t="shared" ref="C205:AL205" si="37">C195/C146/(C185/C134)-1</f>
        <v>0</v>
      </c>
      <c r="D205" s="9">
        <f t="shared" si="37"/>
        <v>0</v>
      </c>
      <c r="E205" s="9">
        <f t="shared" si="37"/>
        <v>0</v>
      </c>
      <c r="F205" s="9">
        <f t="shared" si="37"/>
        <v>0</v>
      </c>
      <c r="G205" s="9">
        <f t="shared" si="37"/>
        <v>0</v>
      </c>
      <c r="H205" s="9">
        <f t="shared" si="37"/>
        <v>0</v>
      </c>
      <c r="I205" s="9">
        <f t="shared" si="37"/>
        <v>-5.3069342927600793E-3</v>
      </c>
      <c r="J205" s="9">
        <f t="shared" si="37"/>
        <v>-5.2540645805194686E-3</v>
      </c>
      <c r="K205" s="9">
        <f t="shared" si="37"/>
        <v>-4.3306630222964548E-3</v>
      </c>
      <c r="L205" s="9">
        <f t="shared" si="37"/>
        <v>-3.0649910608553377E-3</v>
      </c>
      <c r="M205" s="9">
        <f t="shared" si="37"/>
        <v>-1.5234296855606289E-3</v>
      </c>
      <c r="N205" s="9">
        <f t="shared" si="37"/>
        <v>1.7514928376516359E-4</v>
      </c>
      <c r="O205" s="9">
        <f t="shared" si="37"/>
        <v>1.8111712990735995E-3</v>
      </c>
      <c r="P205" s="9">
        <f t="shared" si="37"/>
        <v>3.1346573115442755E-3</v>
      </c>
      <c r="Q205" s="9">
        <f t="shared" si="37"/>
        <v>3.9659750975036268E-3</v>
      </c>
      <c r="R205" s="9">
        <f t="shared" si="37"/>
        <v>4.2546629702155947E-3</v>
      </c>
      <c r="S205" s="9">
        <f t="shared" si="37"/>
        <v>4.0451230256386417E-3</v>
      </c>
      <c r="T205" s="9">
        <f t="shared" si="37"/>
        <v>3.4445973144641151E-3</v>
      </c>
      <c r="U205" s="9">
        <f t="shared" si="37"/>
        <v>2.5820455676022203E-3</v>
      </c>
      <c r="V205" s="9">
        <f t="shared" si="37"/>
        <v>1.572845099966802E-3</v>
      </c>
      <c r="W205" s="9">
        <f t="shared" si="37"/>
        <v>5.0566774875981935E-4</v>
      </c>
      <c r="X205" s="9">
        <f t="shared" si="37"/>
        <v>-5.9397119733262116E-4</v>
      </c>
      <c r="Y205" s="9">
        <f t="shared" si="37"/>
        <v>-1.6904117555360809E-3</v>
      </c>
      <c r="Z205" s="9">
        <f t="shared" si="37"/>
        <v>-2.766568002044778E-3</v>
      </c>
      <c r="AA205" s="9">
        <f t="shared" si="37"/>
        <v>-3.8091182035551174E-3</v>
      </c>
      <c r="AB205" s="9">
        <f t="shared" si="37"/>
        <v>-4.8049355393308124E-3</v>
      </c>
      <c r="AC205" s="9">
        <f t="shared" si="37"/>
        <v>-5.7455886384223387E-3</v>
      </c>
      <c r="AD205" s="9">
        <f t="shared" si="37"/>
        <v>-6.6198036866583765E-3</v>
      </c>
      <c r="AE205" s="9">
        <f t="shared" si="37"/>
        <v>-7.4292407185809761E-3</v>
      </c>
      <c r="AF205" s="9">
        <f t="shared" si="37"/>
        <v>-8.1877816503989065E-3</v>
      </c>
      <c r="AG205" s="9">
        <f t="shared" si="37"/>
        <v>-8.9173260035337876E-3</v>
      </c>
      <c r="AH205" s="9">
        <f t="shared" si="37"/>
        <v>-9.6434659981292636E-3</v>
      </c>
      <c r="AI205" s="9">
        <f t="shared" si="37"/>
        <v>-1.0390950003352883E-2</v>
      </c>
      <c r="AJ205" s="9">
        <f t="shared" si="37"/>
        <v>-1.1177871715518428E-2</v>
      </c>
      <c r="AK205" s="9">
        <f t="shared" si="37"/>
        <v>-1.201540849545546E-2</v>
      </c>
      <c r="AL205" s="9">
        <f t="shared" si="37"/>
        <v>-1.2909200024927348E-2</v>
      </c>
    </row>
    <row r="206" spans="1:38" x14ac:dyDescent="0.3">
      <c r="B206" t="s">
        <v>10</v>
      </c>
      <c r="C206" s="9">
        <f t="shared" ref="C206:AL206" si="38">C196/C147/(C186/C135)-1</f>
        <v>0</v>
      </c>
      <c r="D206" s="9">
        <f t="shared" si="38"/>
        <v>0</v>
      </c>
      <c r="E206" s="9">
        <f t="shared" si="38"/>
        <v>0</v>
      </c>
      <c r="F206" s="9">
        <f t="shared" si="38"/>
        <v>0</v>
      </c>
      <c r="G206" s="9">
        <f t="shared" si="38"/>
        <v>0</v>
      </c>
      <c r="H206" s="9">
        <f t="shared" si="38"/>
        <v>0</v>
      </c>
      <c r="I206" s="9">
        <f t="shared" si="38"/>
        <v>-1.3324787975975694E-3</v>
      </c>
      <c r="J206" s="9">
        <f t="shared" si="38"/>
        <v>-7.6071095730123606E-4</v>
      </c>
      <c r="K206" s="9">
        <f t="shared" si="38"/>
        <v>6.1319162684969619E-4</v>
      </c>
      <c r="L206" s="9">
        <f t="shared" si="38"/>
        <v>2.0574909551607234E-3</v>
      </c>
      <c r="M206" s="9">
        <f t="shared" si="38"/>
        <v>3.0432869150105457E-3</v>
      </c>
      <c r="N206" s="9">
        <f t="shared" si="38"/>
        <v>3.3779379576914792E-3</v>
      </c>
      <c r="O206" s="9">
        <f t="shared" si="38"/>
        <v>3.0996904410538484E-3</v>
      </c>
      <c r="P206" s="9">
        <f t="shared" si="38"/>
        <v>2.4398438617128093E-3</v>
      </c>
      <c r="Q206" s="9">
        <f t="shared" si="38"/>
        <v>1.6766841384654452E-3</v>
      </c>
      <c r="R206" s="9">
        <f t="shared" si="38"/>
        <v>1.0248238564245504E-3</v>
      </c>
      <c r="S206" s="9">
        <f t="shared" si="38"/>
        <v>5.8676858889339378E-4</v>
      </c>
      <c r="T206" s="9">
        <f t="shared" si="38"/>
        <v>3.6085372093253021E-4</v>
      </c>
      <c r="U206" s="9">
        <f t="shared" si="38"/>
        <v>2.8573602639903051E-4</v>
      </c>
      <c r="V206" s="9">
        <f t="shared" si="38"/>
        <v>2.904605801146154E-4</v>
      </c>
      <c r="W206" s="9">
        <f t="shared" si="38"/>
        <v>3.2157526132969849E-4</v>
      </c>
      <c r="X206" s="9">
        <f t="shared" si="38"/>
        <v>3.8318624489486197E-4</v>
      </c>
      <c r="Y206" s="9">
        <f t="shared" si="38"/>
        <v>4.759267894776098E-4</v>
      </c>
      <c r="Z206" s="9">
        <f t="shared" si="38"/>
        <v>6.1873025679215488E-4</v>
      </c>
      <c r="AA206" s="9">
        <f t="shared" si="38"/>
        <v>8.2293488114726365E-4</v>
      </c>
      <c r="AB206" s="9">
        <f t="shared" si="38"/>
        <v>1.0803334826294808E-3</v>
      </c>
      <c r="AC206" s="9">
        <f t="shared" si="38"/>
        <v>1.3814263059364063E-3</v>
      </c>
      <c r="AD206" s="9">
        <f t="shared" si="38"/>
        <v>1.6885042111605131E-3</v>
      </c>
      <c r="AE206" s="9">
        <f t="shared" si="38"/>
        <v>1.972340460856703E-3</v>
      </c>
      <c r="AF206" s="9">
        <f t="shared" si="38"/>
        <v>2.213333367087067E-3</v>
      </c>
      <c r="AG206" s="9">
        <f t="shared" si="38"/>
        <v>2.4040546995927059E-3</v>
      </c>
      <c r="AH206" s="9">
        <f t="shared" si="38"/>
        <v>2.5471576608273594E-3</v>
      </c>
      <c r="AI206" s="9">
        <f t="shared" si="38"/>
        <v>2.6508887354292909E-3</v>
      </c>
      <c r="AJ206" s="9">
        <f t="shared" si="38"/>
        <v>2.7247682840041421E-3</v>
      </c>
      <c r="AK206" s="9">
        <f t="shared" si="38"/>
        <v>2.7767917711880585E-3</v>
      </c>
      <c r="AL206" s="9">
        <f t="shared" si="38"/>
        <v>2.8123674059257198E-3</v>
      </c>
    </row>
    <row r="207" spans="1:38" x14ac:dyDescent="0.3">
      <c r="B207" t="s">
        <v>9</v>
      </c>
      <c r="C207" s="9">
        <f t="shared" ref="C207:AL207" si="39">C197/C148/(C187/C136)-1</f>
        <v>0</v>
      </c>
      <c r="D207" s="9">
        <f t="shared" si="39"/>
        <v>0</v>
      </c>
      <c r="E207" s="9">
        <f t="shared" si="39"/>
        <v>0</v>
      </c>
      <c r="F207" s="9">
        <f t="shared" si="39"/>
        <v>0</v>
      </c>
      <c r="G207" s="9">
        <f t="shared" si="39"/>
        <v>0</v>
      </c>
      <c r="H207" s="9">
        <f t="shared" si="39"/>
        <v>0</v>
      </c>
      <c r="I207" s="9">
        <f t="shared" si="39"/>
        <v>-4.8032521586771626E-4</v>
      </c>
      <c r="J207" s="9">
        <f t="shared" si="39"/>
        <v>-9.0352245159630584E-5</v>
      </c>
      <c r="K207" s="9">
        <f t="shared" si="39"/>
        <v>8.760424492526564E-4</v>
      </c>
      <c r="L207" s="9">
        <f t="shared" si="39"/>
        <v>1.9834473946567233E-3</v>
      </c>
      <c r="M207" s="9">
        <f t="shared" si="39"/>
        <v>2.8374407830136228E-3</v>
      </c>
      <c r="N207" s="9">
        <f t="shared" si="39"/>
        <v>3.2392679188131268E-3</v>
      </c>
      <c r="O207" s="9">
        <f t="shared" si="39"/>
        <v>3.1620649185108984E-3</v>
      </c>
      <c r="P207" s="9">
        <f t="shared" si="39"/>
        <v>2.7275777710862315E-3</v>
      </c>
      <c r="Q207" s="9">
        <f t="shared" si="39"/>
        <v>2.1217013462471179E-3</v>
      </c>
      <c r="R207" s="9">
        <f t="shared" si="39"/>
        <v>1.5117919189038265E-3</v>
      </c>
      <c r="S207" s="9">
        <f t="shared" si="39"/>
        <v>9.9823991438152682E-4</v>
      </c>
      <c r="T207" s="9">
        <f t="shared" si="39"/>
        <v>6.0750999814751516E-4</v>
      </c>
      <c r="U207" s="9">
        <f t="shared" si="39"/>
        <v>3.1580336235137452E-4</v>
      </c>
      <c r="V207" s="9">
        <f t="shared" si="39"/>
        <v>8.2879670078250811E-5</v>
      </c>
      <c r="W207" s="9">
        <f t="shared" si="39"/>
        <v>-1.2485425565234021E-4</v>
      </c>
      <c r="X207" s="9">
        <f t="shared" si="39"/>
        <v>-3.0747807442188524E-4</v>
      </c>
      <c r="Y207" s="9">
        <f t="shared" si="39"/>
        <v>-4.5938271252476959E-4</v>
      </c>
      <c r="Z207" s="9">
        <f t="shared" si="39"/>
        <v>-5.6358070335493782E-4</v>
      </c>
      <c r="AA207" s="9">
        <f t="shared" si="39"/>
        <v>-6.062591501284631E-4</v>
      </c>
      <c r="AB207" s="9">
        <f t="shared" si="39"/>
        <v>-5.8590609349362666E-4</v>
      </c>
      <c r="AC207" s="9">
        <f t="shared" si="39"/>
        <v>-5.0805033109491138E-4</v>
      </c>
      <c r="AD207" s="9">
        <f t="shared" si="39"/>
        <v>-3.9593940571203134E-4</v>
      </c>
      <c r="AE207" s="9">
        <f t="shared" si="39"/>
        <v>-2.726388226017562E-4</v>
      </c>
      <c r="AF207" s="9">
        <f t="shared" si="39"/>
        <v>-1.5672611403283465E-4</v>
      </c>
      <c r="AG207" s="9">
        <f t="shared" si="39"/>
        <v>-5.9143171641684589E-5</v>
      </c>
      <c r="AH207" s="9">
        <f t="shared" si="39"/>
        <v>1.6494302411240724E-5</v>
      </c>
      <c r="AI207" s="9">
        <f t="shared" si="39"/>
        <v>7.1453557184408822E-5</v>
      </c>
      <c r="AJ207" s="9">
        <f t="shared" si="39"/>
        <v>1.0912369591609128E-4</v>
      </c>
      <c r="AK207" s="9">
        <f t="shared" si="39"/>
        <v>1.3288980241221715E-4</v>
      </c>
      <c r="AL207" s="9">
        <f t="shared" si="39"/>
        <v>1.450696178053601E-4</v>
      </c>
    </row>
    <row r="209" spans="1:38" x14ac:dyDescent="0.3">
      <c r="A209" s="12" t="s">
        <v>60</v>
      </c>
      <c r="B209" t="s">
        <v>22</v>
      </c>
      <c r="C209" s="6">
        <f>[1]Results!F1434</f>
        <v>27376.288509999998</v>
      </c>
      <c r="D209" s="6">
        <f>[1]Results!G1434</f>
        <v>27367.35829</v>
      </c>
      <c r="E209" s="6">
        <f>[1]Results!H1434</f>
        <v>27379.091649999998</v>
      </c>
      <c r="F209" s="6">
        <f>[1]Results!I1434</f>
        <v>27427.834900000002</v>
      </c>
      <c r="G209" s="6">
        <f>[1]Results!J1434</f>
        <v>27502.841369999998</v>
      </c>
      <c r="H209" s="6">
        <f>[1]Results!K1434</f>
        <v>27595.689839999999</v>
      </c>
      <c r="I209" s="6">
        <f>[1]Results!L1434</f>
        <v>27710.3017</v>
      </c>
      <c r="J209" s="6">
        <f>[1]Results!M1434</f>
        <v>27818.101040000001</v>
      </c>
      <c r="K209" s="6">
        <f>[1]Results!N1434</f>
        <v>27915.22508</v>
      </c>
      <c r="L209" s="6">
        <f>[1]Results!O1434</f>
        <v>28005.208200000001</v>
      </c>
      <c r="M209" s="6">
        <f>[1]Results!P1434</f>
        <v>28110.935560000002</v>
      </c>
      <c r="N209" s="6">
        <f>[1]Results!Q1434</f>
        <v>28217.563450000001</v>
      </c>
      <c r="O209" s="6">
        <f>[1]Results!R1434</f>
        <v>28328.37285</v>
      </c>
      <c r="P209" s="6">
        <f>[1]Results!S1434</f>
        <v>28442.248299999999</v>
      </c>
      <c r="Q209" s="6">
        <f>[1]Results!T1434</f>
        <v>28556.329300000001</v>
      </c>
      <c r="R209" s="6">
        <f>[1]Results!U1434</f>
        <v>28668.066139999999</v>
      </c>
      <c r="S209" s="6">
        <f>[1]Results!V1434</f>
        <v>28776.174210000001</v>
      </c>
      <c r="T209" s="6">
        <f>[1]Results!W1434</f>
        <v>28880.762879999998</v>
      </c>
      <c r="U209" s="6">
        <f>[1]Results!X1434</f>
        <v>28982.898399999998</v>
      </c>
      <c r="V209" s="6">
        <f>[1]Results!Y1434</f>
        <v>29083.95206</v>
      </c>
      <c r="W209" s="6">
        <f>[1]Results!Z1434</f>
        <v>29171.833610000001</v>
      </c>
      <c r="X209" s="6">
        <f>[1]Results!AA1434</f>
        <v>29263.664150000001</v>
      </c>
      <c r="Y209" s="6">
        <f>[1]Results!AB1434</f>
        <v>29359.978500000001</v>
      </c>
      <c r="Z209" s="6">
        <f>[1]Results!AC1434</f>
        <v>29459.717420000001</v>
      </c>
      <c r="AA209" s="6">
        <f>[1]Results!AD1434</f>
        <v>29561.682840000001</v>
      </c>
      <c r="AB209" s="6">
        <f>[1]Results!AE1434</f>
        <v>29622.91203</v>
      </c>
      <c r="AC209" s="6">
        <f>[1]Results!AF1434</f>
        <v>29684.91172</v>
      </c>
      <c r="AD209" s="6">
        <f>[1]Results!AG1434</f>
        <v>29746.416730000001</v>
      </c>
      <c r="AE209" s="6">
        <f>[1]Results!AH1434</f>
        <v>29807.597689999999</v>
      </c>
      <c r="AF209" s="6">
        <f>[1]Results!AI1434</f>
        <v>29869.419610000001</v>
      </c>
      <c r="AG209" s="6">
        <f>[1]Results!AJ1434</f>
        <v>29932.499800000001</v>
      </c>
      <c r="AH209" s="6">
        <f>[1]Results!AK1434</f>
        <v>29996.804940000002</v>
      </c>
      <c r="AI209" s="6">
        <f>[1]Results!AL1434</f>
        <v>30061.89832</v>
      </c>
      <c r="AJ209" s="6">
        <f>[1]Results!AM1434</f>
        <v>30127.321889999999</v>
      </c>
      <c r="AK209" s="6">
        <f>[1]Results!AN1434</f>
        <v>30192.85209</v>
      </c>
      <c r="AL209" s="6">
        <f>[1]Results!AO1434</f>
        <v>30258.545030000001</v>
      </c>
    </row>
    <row r="210" spans="1:38" x14ac:dyDescent="0.3">
      <c r="A210" t="s">
        <v>27</v>
      </c>
      <c r="B210" t="s">
        <v>7</v>
      </c>
      <c r="C210" s="6">
        <f>[1]Results!F1435</f>
        <v>760.65442880000001</v>
      </c>
      <c r="D210" s="6">
        <f>[1]Results!G1435</f>
        <v>751.86677380000003</v>
      </c>
      <c r="E210" s="6">
        <f>[1]Results!H1435</f>
        <v>739.14441850000003</v>
      </c>
      <c r="F210" s="6">
        <f>[1]Results!I1435</f>
        <v>726.65682819999995</v>
      </c>
      <c r="G210" s="6">
        <f>[1]Results!J1435</f>
        <v>716.63451010000006</v>
      </c>
      <c r="H210" s="6">
        <f>[1]Results!K1435</f>
        <v>709.8275261</v>
      </c>
      <c r="I210" s="6">
        <f>[1]Results!L1435</f>
        <v>705.9513068</v>
      </c>
      <c r="J210" s="6">
        <f>[1]Results!M1435</f>
        <v>704.33183870000005</v>
      </c>
      <c r="K210" s="6">
        <f>[1]Results!N1435</f>
        <v>704.02729829999998</v>
      </c>
      <c r="L210" s="6">
        <f>[1]Results!O1435</f>
        <v>704.07222739999997</v>
      </c>
      <c r="M210" s="6">
        <f>[1]Results!P1435</f>
        <v>704.07380279999995</v>
      </c>
      <c r="N210" s="6">
        <f>[1]Results!Q1435</f>
        <v>703.14757010000005</v>
      </c>
      <c r="O210" s="6">
        <f>[1]Results!R1435</f>
        <v>701.02604220000001</v>
      </c>
      <c r="P210" s="6">
        <f>[1]Results!S1435</f>
        <v>697.68611220000003</v>
      </c>
      <c r="Q210" s="6">
        <f>[1]Results!T1435</f>
        <v>693.24903140000004</v>
      </c>
      <c r="R210" s="6">
        <f>[1]Results!U1435</f>
        <v>687.90826679999998</v>
      </c>
      <c r="S210" s="6">
        <f>[1]Results!V1435</f>
        <v>681.88352629999997</v>
      </c>
      <c r="T210" s="6">
        <f>[1]Results!W1435</f>
        <v>675.3951333</v>
      </c>
      <c r="U210" s="6">
        <f>[1]Results!X1435</f>
        <v>668.65016500000002</v>
      </c>
      <c r="V210" s="6">
        <f>[1]Results!Y1435</f>
        <v>661.83318870000005</v>
      </c>
      <c r="W210" s="6">
        <f>[1]Results!Z1435</f>
        <v>654.83878679999998</v>
      </c>
      <c r="X210" s="6">
        <f>[1]Results!AA1435</f>
        <v>648.06001920000006</v>
      </c>
      <c r="Y210" s="6">
        <f>[1]Results!AB1435</f>
        <v>641.60474680000004</v>
      </c>
      <c r="Z210" s="6">
        <f>[1]Results!AC1435</f>
        <v>635.52100289999998</v>
      </c>
      <c r="AA210" s="6">
        <f>[1]Results!AD1435</f>
        <v>629.81219090000002</v>
      </c>
      <c r="AB210" s="6">
        <f>[1]Results!AE1435</f>
        <v>623.74785220000001</v>
      </c>
      <c r="AC210" s="6">
        <f>[1]Results!AF1435</f>
        <v>617.72340250000002</v>
      </c>
      <c r="AD210" s="6">
        <f>[1]Results!AG1435</f>
        <v>611.78167269999994</v>
      </c>
      <c r="AE210" s="6">
        <f>[1]Results!AH1435</f>
        <v>605.94534190000002</v>
      </c>
      <c r="AF210" s="6">
        <f>[1]Results!AI1435</f>
        <v>600.23173029999998</v>
      </c>
      <c r="AG210" s="6">
        <f>[1]Results!AJ1435</f>
        <v>594.65174690000003</v>
      </c>
      <c r="AH210" s="6">
        <f>[1]Results!AK1435</f>
        <v>589.20584210000004</v>
      </c>
      <c r="AI210" s="6">
        <f>[1]Results!AL1435</f>
        <v>583.88228960000004</v>
      </c>
      <c r="AJ210" s="6">
        <f>[1]Results!AM1435</f>
        <v>578.65933280000002</v>
      </c>
      <c r="AK210" s="6">
        <f>[1]Results!AN1435</f>
        <v>573.51031279999995</v>
      </c>
      <c r="AL210" s="6">
        <f>[1]Results!AO1435</f>
        <v>568.40962290000004</v>
      </c>
    </row>
    <row r="211" spans="1:38" x14ac:dyDescent="0.3">
      <c r="B211" t="s">
        <v>96</v>
      </c>
      <c r="C211" s="6">
        <f>[1]Results!F1448</f>
        <v>1770.9867389999999</v>
      </c>
      <c r="D211" s="6">
        <f>[1]Results!G1448</f>
        <v>1831.682266</v>
      </c>
      <c r="E211" s="6">
        <f>[1]Results!H1448</f>
        <v>1919.1808470000001</v>
      </c>
      <c r="F211" s="6">
        <f>[1]Results!I1448</f>
        <v>1991.3999799999999</v>
      </c>
      <c r="G211" s="6">
        <f>[1]Results!J1448</f>
        <v>2035.5293140000001</v>
      </c>
      <c r="H211" s="6">
        <f>[1]Results!K1448</f>
        <v>2055.840964</v>
      </c>
      <c r="I211" s="6">
        <f>[1]Results!L1448</f>
        <v>2041.4871169999999</v>
      </c>
      <c r="J211" s="6">
        <f>[1]Results!M1448</f>
        <v>2021.2026559999999</v>
      </c>
      <c r="K211" s="6">
        <f>[1]Results!N1448</f>
        <v>2003.576724</v>
      </c>
      <c r="L211" s="6">
        <f>[1]Results!O1448</f>
        <v>1990.8225829999999</v>
      </c>
      <c r="M211" s="6">
        <f>[1]Results!P1448</f>
        <v>2012.1306520000001</v>
      </c>
      <c r="N211" s="6">
        <f>[1]Results!Q1448</f>
        <v>2007.504428</v>
      </c>
      <c r="O211" s="6">
        <f>[1]Results!R1448</f>
        <v>2000.738153</v>
      </c>
      <c r="P211" s="6">
        <f>[1]Results!S1448</f>
        <v>1998.322332</v>
      </c>
      <c r="Q211" s="6">
        <f>[1]Results!T1448</f>
        <v>2000.4406839999999</v>
      </c>
      <c r="R211" s="6">
        <f>[1]Results!U1448</f>
        <v>2005.6584849999999</v>
      </c>
      <c r="S211" s="6">
        <f>[1]Results!V1448</f>
        <v>2012.6201120000001</v>
      </c>
      <c r="T211" s="6">
        <f>[1]Results!W1448</f>
        <v>2020.495694</v>
      </c>
      <c r="U211" s="6">
        <f>[1]Results!X1448</f>
        <v>2028.9244530000001</v>
      </c>
      <c r="V211" s="6">
        <f>[1]Results!Y1448</f>
        <v>2037.8063870000001</v>
      </c>
      <c r="W211" s="6">
        <f>[1]Results!Z1448</f>
        <v>2028.838913</v>
      </c>
      <c r="X211" s="6">
        <f>[1]Results!AA1448</f>
        <v>2039.1650930000001</v>
      </c>
      <c r="Y211" s="6">
        <f>[1]Results!AB1448</f>
        <v>2054.505384</v>
      </c>
      <c r="Z211" s="6">
        <f>[1]Results!AC1448</f>
        <v>2069.5443789999999</v>
      </c>
      <c r="AA211" s="6">
        <f>[1]Results!AD1448</f>
        <v>2082.8971289999999</v>
      </c>
      <c r="AB211" s="6">
        <f>[1]Results!AE1448</f>
        <v>2043.837728</v>
      </c>
      <c r="AC211" s="6">
        <f>[1]Results!AF1448</f>
        <v>2035.950002</v>
      </c>
      <c r="AD211" s="6">
        <f>[1]Results!AG1448</f>
        <v>2041.0846220000001</v>
      </c>
      <c r="AE211" s="6">
        <f>[1]Results!AH1448</f>
        <v>2050.7278609999998</v>
      </c>
      <c r="AF211" s="6">
        <f>[1]Results!AI1448</f>
        <v>2061.3647380000002</v>
      </c>
      <c r="AG211" s="6">
        <f>[1]Results!AJ1448</f>
        <v>2071.6922340000001</v>
      </c>
      <c r="AH211" s="6">
        <f>[1]Results!AK1448</f>
        <v>2081.2876500000002</v>
      </c>
      <c r="AI211" s="6">
        <f>[1]Results!AL1448</f>
        <v>2090.0606079999998</v>
      </c>
      <c r="AJ211" s="6">
        <f>[1]Results!AM1448</f>
        <v>2098.0628470000001</v>
      </c>
      <c r="AK211" s="6">
        <f>[1]Results!AN1448</f>
        <v>2105.4264199999998</v>
      </c>
      <c r="AL211" s="6">
        <f>[1]Results!AO1448</f>
        <v>2112.3268389999998</v>
      </c>
    </row>
    <row r="212" spans="1:38" x14ac:dyDescent="0.3">
      <c r="B212" t="s">
        <v>11</v>
      </c>
      <c r="C212" s="6">
        <f>[1]Results!F1463</f>
        <v>57.152108140000003</v>
      </c>
      <c r="D212" s="6">
        <f>[1]Results!G1463</f>
        <v>56.985075649999999</v>
      </c>
      <c r="E212" s="6">
        <f>[1]Results!H1463</f>
        <v>56.720925190000003</v>
      </c>
      <c r="F212" s="6">
        <f>[1]Results!I1463</f>
        <v>56.514446149999998</v>
      </c>
      <c r="G212" s="6">
        <f>[1]Results!J1463</f>
        <v>56.469923469999998</v>
      </c>
      <c r="H212" s="6">
        <f>[1]Results!K1463</f>
        <v>56.636463720000002</v>
      </c>
      <c r="I212" s="6">
        <f>[1]Results!L1463</f>
        <v>60.892060229999998</v>
      </c>
      <c r="J212" s="6">
        <f>[1]Results!M1463</f>
        <v>63.178083409999999</v>
      </c>
      <c r="K212" s="6">
        <f>[1]Results!N1463</f>
        <v>64.029052530000001</v>
      </c>
      <c r="L212" s="6">
        <f>[1]Results!O1463</f>
        <v>63.930864049999997</v>
      </c>
      <c r="M212" s="6">
        <f>[1]Results!P1463</f>
        <v>63.280222000000002</v>
      </c>
      <c r="N212" s="6">
        <f>[1]Results!Q1463</f>
        <v>62.336205419999999</v>
      </c>
      <c r="O212" s="6">
        <f>[1]Results!R1463</f>
        <v>61.31049119</v>
      </c>
      <c r="P212" s="6">
        <f>[1]Results!S1463</f>
        <v>60.363085769999998</v>
      </c>
      <c r="Q212" s="6">
        <f>[1]Results!T1463</f>
        <v>59.597807250000002</v>
      </c>
      <c r="R212" s="6">
        <f>[1]Results!U1463</f>
        <v>59.057044230000002</v>
      </c>
      <c r="S212" s="6">
        <f>[1]Results!V1463</f>
        <v>58.748202370000001</v>
      </c>
      <c r="T212" s="6">
        <f>[1]Results!W1463</f>
        <v>58.657201010000001</v>
      </c>
      <c r="U212" s="6">
        <f>[1]Results!X1463</f>
        <v>58.757133410000002</v>
      </c>
      <c r="V212" s="6">
        <f>[1]Results!Y1463</f>
        <v>59.014589290000004</v>
      </c>
      <c r="W212" s="6">
        <f>[1]Results!Z1463</f>
        <v>59.378290980000003</v>
      </c>
      <c r="X212" s="6">
        <f>[1]Results!AA1463</f>
        <v>59.827179889999996</v>
      </c>
      <c r="Y212" s="6">
        <f>[1]Results!AB1463</f>
        <v>60.329128179999998</v>
      </c>
      <c r="Z212" s="6">
        <f>[1]Results!AC1463</f>
        <v>60.851445259999998</v>
      </c>
      <c r="AA212" s="6">
        <f>[1]Results!AD1463</f>
        <v>61.365856729999997</v>
      </c>
      <c r="AB212" s="6">
        <f>[1]Results!AE1463</f>
        <v>61.79852313</v>
      </c>
      <c r="AC212" s="6">
        <f>[1]Results!AF1463</f>
        <v>62.16075171</v>
      </c>
      <c r="AD212" s="6">
        <f>[1]Results!AG1463</f>
        <v>62.440303200000002</v>
      </c>
      <c r="AE212" s="6">
        <f>[1]Results!AH1463</f>
        <v>62.626999300000001</v>
      </c>
      <c r="AF212" s="6">
        <f>[1]Results!AI1463</f>
        <v>62.723797699999999</v>
      </c>
      <c r="AG212" s="6">
        <f>[1]Results!AJ1463</f>
        <v>62.746563090000002</v>
      </c>
      <c r="AH212" s="6">
        <f>[1]Results!AK1463</f>
        <v>62.719182099999998</v>
      </c>
      <c r="AI212" s="6">
        <f>[1]Results!AL1463</f>
        <v>62.667532970000003</v>
      </c>
      <c r="AJ212" s="6">
        <f>[1]Results!AM1463</f>
        <v>62.613090030000002</v>
      </c>
      <c r="AK212" s="6">
        <f>[1]Results!AN1463</f>
        <v>62.570875860000001</v>
      </c>
      <c r="AL212" s="6">
        <f>[1]Results!AO1463</f>
        <v>62.549682359999998</v>
      </c>
    </row>
    <row r="213" spans="1:38" x14ac:dyDescent="0.3">
      <c r="B213" t="s">
        <v>8</v>
      </c>
      <c r="C213" s="6">
        <f>[1]Results!F1438-[1]Results!F1448</f>
        <v>2596.3826909999998</v>
      </c>
      <c r="D213" s="6">
        <f>[1]Results!G1438-[1]Results!G1448</f>
        <v>2588.0099209999998</v>
      </c>
      <c r="E213" s="6">
        <f>[1]Results!H1438-[1]Results!H1448</f>
        <v>2578.9760529999999</v>
      </c>
      <c r="F213" s="6">
        <f>[1]Results!I1438-[1]Results!I1448</f>
        <v>2572.906559</v>
      </c>
      <c r="G213" s="6">
        <f>[1]Results!J1438-[1]Results!J1448</f>
        <v>2570.1698659999993</v>
      </c>
      <c r="H213" s="6">
        <f>[1]Results!K1438-[1]Results!K1448</f>
        <v>2570.4045569999998</v>
      </c>
      <c r="I213" s="6">
        <f>[1]Results!L1438-[1]Results!L1448</f>
        <v>2571.9080670000003</v>
      </c>
      <c r="J213" s="6">
        <f>[1]Results!M1438-[1]Results!M1448</f>
        <v>2573.5955570000001</v>
      </c>
      <c r="K213" s="6">
        <f>[1]Results!N1438-[1]Results!N1448</f>
        <v>2574.8164849999998</v>
      </c>
      <c r="L213" s="6">
        <f>[1]Results!O1438-[1]Results!O1448</f>
        <v>2575.389768</v>
      </c>
      <c r="M213" s="6">
        <f>[1]Results!P1438-[1]Results!P1448</f>
        <v>2578.495379</v>
      </c>
      <c r="N213" s="6">
        <f>[1]Results!Q1438-[1]Results!Q1448</f>
        <v>2580.0789649999997</v>
      </c>
      <c r="O213" s="6">
        <f>[1]Results!R1438-[1]Results!R1448</f>
        <v>2580.9506169999995</v>
      </c>
      <c r="P213" s="6">
        <f>[1]Results!S1438-[1]Results!S1448</f>
        <v>2581.6252800000002</v>
      </c>
      <c r="Q213" s="6">
        <f>[1]Results!T1438-[1]Results!T1448</f>
        <v>2582.1418999999996</v>
      </c>
      <c r="R213" s="6">
        <f>[1]Results!U1438-[1]Results!U1448</f>
        <v>2582.4003069999999</v>
      </c>
      <c r="S213" s="6">
        <f>[1]Results!V1438-[1]Results!V1448</f>
        <v>2582.363578</v>
      </c>
      <c r="T213" s="6">
        <f>[1]Results!W1438-[1]Results!W1448</f>
        <v>2582.1182289999997</v>
      </c>
      <c r="U213" s="6">
        <f>[1]Results!X1438-[1]Results!X1448</f>
        <v>2581.8433790000004</v>
      </c>
      <c r="V213" s="6">
        <f>[1]Results!Y1438-[1]Results!Y1448</f>
        <v>2581.7419320000004</v>
      </c>
      <c r="W213" s="6">
        <f>[1]Results!Z1438-[1]Results!Z1448</f>
        <v>2580.015492</v>
      </c>
      <c r="X213" s="6">
        <f>[1]Results!AA1438-[1]Results!AA1448</f>
        <v>2579.676739</v>
      </c>
      <c r="Y213" s="6">
        <f>[1]Results!AB1438-[1]Results!AB1448</f>
        <v>2580.4597299999996</v>
      </c>
      <c r="Z213" s="6">
        <f>[1]Results!AC1438-[1]Results!AC1448</f>
        <v>2581.9429049999999</v>
      </c>
      <c r="AA213" s="6">
        <f>[1]Results!AD1438-[1]Results!AD1448</f>
        <v>2583.8610859999999</v>
      </c>
      <c r="AB213" s="6">
        <f>[1]Results!AE1438-[1]Results!AE1448</f>
        <v>2580.4960759999999</v>
      </c>
      <c r="AC213" s="6">
        <f>[1]Results!AF1438-[1]Results!AF1448</f>
        <v>2577.8713540000003</v>
      </c>
      <c r="AD213" s="6">
        <f>[1]Results!AG1438-[1]Results!AG1448</f>
        <v>2576.0793539999995</v>
      </c>
      <c r="AE213" s="6">
        <f>[1]Results!AH1438-[1]Results!AH1448</f>
        <v>2574.7970700000001</v>
      </c>
      <c r="AF213" s="6">
        <f>[1]Results!AI1438-[1]Results!AI1448</f>
        <v>2573.8841329999996</v>
      </c>
      <c r="AG213" s="6">
        <f>[1]Results!AJ1438-[1]Results!AJ1448</f>
        <v>2573.2790589999995</v>
      </c>
      <c r="AH213" s="6">
        <f>[1]Results!AK1438-[1]Results!AK1448</f>
        <v>2572.9159730000001</v>
      </c>
      <c r="AI213" s="6">
        <f>[1]Results!AL1438-[1]Results!AL1448</f>
        <v>2572.7132170000004</v>
      </c>
      <c r="AJ213" s="6">
        <f>[1]Results!AM1438-[1]Results!AM1448</f>
        <v>2572.5955709999998</v>
      </c>
      <c r="AK213" s="6">
        <f>[1]Results!AN1438-[1]Results!AN1448</f>
        <v>2572.5167019999999</v>
      </c>
      <c r="AL213" s="6">
        <f>[1]Results!AO1438-[1]Results!AO1448</f>
        <v>2572.465584</v>
      </c>
    </row>
    <row r="214" spans="1:38" x14ac:dyDescent="0.3">
      <c r="B214" t="s">
        <v>24</v>
      </c>
      <c r="C214" s="6">
        <f>[1]Results!F1458</f>
        <v>43.676752630000003</v>
      </c>
      <c r="D214" s="6">
        <f>[1]Results!G1458</f>
        <v>44.249539149999997</v>
      </c>
      <c r="E214" s="6">
        <f>[1]Results!H1458</f>
        <v>44.93232441</v>
      </c>
      <c r="F214" s="6">
        <f>[1]Results!I1458</f>
        <v>45.571063500000001</v>
      </c>
      <c r="G214" s="6">
        <f>[1]Results!J1458</f>
        <v>46.125722340000003</v>
      </c>
      <c r="H214" s="6">
        <f>[1]Results!K1458</f>
        <v>46.600582789999997</v>
      </c>
      <c r="I214" s="6">
        <f>[1]Results!L1458</f>
        <v>47.292111050000003</v>
      </c>
      <c r="J214" s="6">
        <f>[1]Results!M1458</f>
        <v>47.822538199999997</v>
      </c>
      <c r="K214" s="6">
        <f>[1]Results!N1458</f>
        <v>48.203392950000001</v>
      </c>
      <c r="L214" s="6">
        <f>[1]Results!O1458</f>
        <v>48.46394987</v>
      </c>
      <c r="M214" s="6">
        <f>[1]Results!P1458</f>
        <v>48.647634009999997</v>
      </c>
      <c r="N214" s="6">
        <f>[1]Results!Q1458</f>
        <v>48.737105870000001</v>
      </c>
      <c r="O214" s="6">
        <f>[1]Results!R1458</f>
        <v>48.756029179999999</v>
      </c>
      <c r="P214" s="6">
        <f>[1]Results!S1458</f>
        <v>48.733489419999998</v>
      </c>
      <c r="Q214" s="6">
        <f>[1]Results!T1458</f>
        <v>48.692753619999998</v>
      </c>
      <c r="R214" s="6">
        <f>[1]Results!U1458</f>
        <v>48.646979039999998</v>
      </c>
      <c r="S214" s="6">
        <f>[1]Results!V1458</f>
        <v>48.601082720000001</v>
      </c>
      <c r="T214" s="6">
        <f>[1]Results!W1458</f>
        <v>48.55490708</v>
      </c>
      <c r="U214" s="6">
        <f>[1]Results!X1458</f>
        <v>48.506458600000002</v>
      </c>
      <c r="V214" s="6">
        <f>[1]Results!Y1458</f>
        <v>48.454308470000001</v>
      </c>
      <c r="W214" s="6">
        <f>[1]Results!Z1458</f>
        <v>48.380668999999997</v>
      </c>
      <c r="X214" s="6">
        <f>[1]Results!AA1458</f>
        <v>48.309868860000002</v>
      </c>
      <c r="Y214" s="6">
        <f>[1]Results!AB1458</f>
        <v>48.243864090000002</v>
      </c>
      <c r="Z214" s="6">
        <f>[1]Results!AC1458</f>
        <v>48.18221132</v>
      </c>
      <c r="AA214" s="6">
        <f>[1]Results!AD1458</f>
        <v>48.125161210000002</v>
      </c>
      <c r="AB214" s="6">
        <f>[1]Results!AE1458</f>
        <v>48.020883550000001</v>
      </c>
      <c r="AC214" s="6">
        <f>[1]Results!AF1458</f>
        <v>47.913745900000002</v>
      </c>
      <c r="AD214" s="6">
        <f>[1]Results!AG1458</f>
        <v>47.805133400000003</v>
      </c>
      <c r="AE214" s="6">
        <f>[1]Results!AH1458</f>
        <v>47.69054861</v>
      </c>
      <c r="AF214" s="6">
        <f>[1]Results!AI1458</f>
        <v>47.56855659</v>
      </c>
      <c r="AG214" s="6">
        <f>[1]Results!AJ1458</f>
        <v>47.44134047</v>
      </c>
      <c r="AH214" s="6">
        <f>[1]Results!AK1458</f>
        <v>47.312798280000003</v>
      </c>
      <c r="AI214" s="6">
        <f>[1]Results!AL1458</f>
        <v>47.186511809999999</v>
      </c>
      <c r="AJ214" s="6">
        <f>[1]Results!AM1458</f>
        <v>47.064398779999998</v>
      </c>
      <c r="AK214" s="6">
        <f>[1]Results!AN1458</f>
        <v>46.946537800000002</v>
      </c>
      <c r="AL214" s="6">
        <f>[1]Results!AO1458</f>
        <v>46.831772569999998</v>
      </c>
    </row>
    <row r="215" spans="1:38" x14ac:dyDescent="0.3">
      <c r="B215" t="s">
        <v>10</v>
      </c>
      <c r="C215" s="6">
        <f>[1]Results!F1455</f>
        <v>21279.16316</v>
      </c>
      <c r="D215" s="6">
        <f>[1]Results!G1455</f>
        <v>21232.72306</v>
      </c>
      <c r="E215" s="6">
        <f>[1]Results!H1455</f>
        <v>21186.529549999999</v>
      </c>
      <c r="F215" s="6">
        <f>[1]Results!I1455</f>
        <v>21188.15352</v>
      </c>
      <c r="G215" s="6">
        <f>[1]Results!J1455</f>
        <v>21236.160169999999</v>
      </c>
      <c r="H215" s="6">
        <f>[1]Results!K1455</f>
        <v>21317.513340000001</v>
      </c>
      <c r="I215" s="6">
        <f>[1]Results!L1455</f>
        <v>21444.953600000001</v>
      </c>
      <c r="J215" s="6">
        <f>[1]Results!M1455</f>
        <v>21570.442780000001</v>
      </c>
      <c r="K215" s="6">
        <f>[1]Results!N1455</f>
        <v>21683.113150000001</v>
      </c>
      <c r="L215" s="6">
        <f>[1]Results!O1455</f>
        <v>21785.075079999999</v>
      </c>
      <c r="M215" s="6">
        <f>[1]Results!P1455</f>
        <v>21866.619279999999</v>
      </c>
      <c r="N215" s="6">
        <f>[1]Results!Q1455</f>
        <v>21977.3655</v>
      </c>
      <c r="O215" s="6">
        <f>[1]Results!R1455</f>
        <v>22096.21934</v>
      </c>
      <c r="P215" s="6">
        <f>[1]Results!S1455</f>
        <v>22215.030460000002</v>
      </c>
      <c r="Q215" s="6">
        <f>[1]Results!T1455</f>
        <v>22330.570619999999</v>
      </c>
      <c r="R215" s="6">
        <f>[1]Results!U1455</f>
        <v>22441.649969999999</v>
      </c>
      <c r="S215" s="6">
        <f>[1]Results!V1455</f>
        <v>22548.180629999999</v>
      </c>
      <c r="T215" s="6">
        <f>[1]Results!W1455</f>
        <v>22650.806059999999</v>
      </c>
      <c r="U215" s="6">
        <f>[1]Results!X1455</f>
        <v>22750.564180000001</v>
      </c>
      <c r="V215" s="6">
        <f>[1]Results!Y1455</f>
        <v>22848.531060000001</v>
      </c>
      <c r="W215" s="6">
        <f>[1]Results!Z1455</f>
        <v>22952.987089999999</v>
      </c>
      <c r="X215" s="6">
        <f>[1]Results!AA1455</f>
        <v>23040.48818</v>
      </c>
      <c r="Y215" s="6">
        <f>[1]Results!AB1455</f>
        <v>23125.86537</v>
      </c>
      <c r="Z215" s="6">
        <f>[1]Results!AC1455</f>
        <v>23213.731619999999</v>
      </c>
      <c r="AA215" s="6">
        <f>[1]Results!AD1455</f>
        <v>23304.579150000001</v>
      </c>
      <c r="AB215" s="6">
        <f>[1]Results!AE1455</f>
        <v>23413.230390000001</v>
      </c>
      <c r="AC215" s="6">
        <f>[1]Results!AF1455</f>
        <v>23491.18331</v>
      </c>
      <c r="AD215" s="6">
        <f>[1]Results!AG1455</f>
        <v>23554.98114</v>
      </c>
      <c r="AE215" s="6">
        <f>[1]Results!AH1455</f>
        <v>23613.474190000001</v>
      </c>
      <c r="AF215" s="6">
        <f>[1]Results!AI1455</f>
        <v>23671.175640000001</v>
      </c>
      <c r="AG215" s="6">
        <f>[1]Results!AJ1455</f>
        <v>23730.00044</v>
      </c>
      <c r="AH215" s="6">
        <f>[1]Results!AK1455</f>
        <v>23790.374739999999</v>
      </c>
      <c r="AI215" s="6">
        <f>[1]Results!AL1455</f>
        <v>23852.035090000001</v>
      </c>
      <c r="AJ215" s="6">
        <f>[1]Results!AM1455</f>
        <v>23914.56784</v>
      </c>
      <c r="AK215" s="6">
        <f>[1]Results!AN1455</f>
        <v>23977.69096</v>
      </c>
      <c r="AL215" s="6">
        <f>[1]Results!AO1455</f>
        <v>24041.319469999999</v>
      </c>
    </row>
    <row r="216" spans="1:38" x14ac:dyDescent="0.3">
      <c r="B216" t="s">
        <v>23</v>
      </c>
      <c r="C216" s="6">
        <f>[1]Results!F1450</f>
        <v>868.27262640000004</v>
      </c>
      <c r="D216" s="6">
        <f>[1]Results!G1450</f>
        <v>861.8416545</v>
      </c>
      <c r="E216" s="6">
        <f>[1]Results!H1450</f>
        <v>853.60753169999998</v>
      </c>
      <c r="F216" s="6">
        <f>[1]Results!I1450</f>
        <v>846.63249680000001</v>
      </c>
      <c r="G216" s="6">
        <f>[1]Results!J1450</f>
        <v>841.75187029999995</v>
      </c>
      <c r="H216" s="6">
        <f>[1]Results!K1450</f>
        <v>838.86641369999995</v>
      </c>
      <c r="I216" s="6">
        <f>[1]Results!L1450</f>
        <v>837.81744000000003</v>
      </c>
      <c r="J216" s="6">
        <f>[1]Results!M1450</f>
        <v>837.52758730000005</v>
      </c>
      <c r="K216" s="6">
        <f>[1]Results!N1450</f>
        <v>837.458979</v>
      </c>
      <c r="L216" s="6">
        <f>[1]Results!O1450</f>
        <v>837.45372610000004</v>
      </c>
      <c r="M216" s="6">
        <f>[1]Results!P1450</f>
        <v>837.6885896</v>
      </c>
      <c r="N216" s="6">
        <f>[1]Results!Q1450</f>
        <v>838.39367649999997</v>
      </c>
      <c r="O216" s="6">
        <f>[1]Results!R1450</f>
        <v>839.37217969999995</v>
      </c>
      <c r="P216" s="6">
        <f>[1]Results!S1450</f>
        <v>840.48753650000003</v>
      </c>
      <c r="Q216" s="6">
        <f>[1]Results!T1450</f>
        <v>841.63650210000003</v>
      </c>
      <c r="R216" s="6">
        <f>[1]Results!U1450</f>
        <v>842.74508530000003</v>
      </c>
      <c r="S216" s="6">
        <f>[1]Results!V1450</f>
        <v>843.77707820000001</v>
      </c>
      <c r="T216" s="6">
        <f>[1]Results!W1450</f>
        <v>844.73565629999996</v>
      </c>
      <c r="U216" s="6">
        <f>[1]Results!X1450</f>
        <v>845.65263579999998</v>
      </c>
      <c r="V216" s="6">
        <f>[1]Results!Y1450</f>
        <v>846.57059360000005</v>
      </c>
      <c r="W216" s="6">
        <f>[1]Results!Z1450</f>
        <v>847.39436880000005</v>
      </c>
      <c r="X216" s="6">
        <f>[1]Results!AA1450</f>
        <v>848.13707260000001</v>
      </c>
      <c r="Y216" s="6">
        <f>[1]Results!AB1450</f>
        <v>848.97028390000003</v>
      </c>
      <c r="Z216" s="6">
        <f>[1]Results!AC1450</f>
        <v>849.94385590000002</v>
      </c>
      <c r="AA216" s="6">
        <f>[1]Results!AD1450</f>
        <v>851.04226779999999</v>
      </c>
      <c r="AB216" s="6">
        <f>[1]Results!AE1450</f>
        <v>851.78057709999996</v>
      </c>
      <c r="AC216" s="6">
        <f>[1]Results!AF1450</f>
        <v>852.10915379999994</v>
      </c>
      <c r="AD216" s="6">
        <f>[1]Results!AG1450</f>
        <v>852.24450879999995</v>
      </c>
      <c r="AE216" s="6">
        <f>[1]Results!AH1450</f>
        <v>852.33568720000005</v>
      </c>
      <c r="AF216" s="6">
        <f>[1]Results!AI1450</f>
        <v>852.47101729999997</v>
      </c>
      <c r="AG216" s="6">
        <f>[1]Results!AJ1450</f>
        <v>852.68841469999995</v>
      </c>
      <c r="AH216" s="6">
        <f>[1]Results!AK1450</f>
        <v>852.98875039999996</v>
      </c>
      <c r="AI216" s="6">
        <f>[1]Results!AL1450</f>
        <v>853.35307520000003</v>
      </c>
      <c r="AJ216" s="6">
        <f>[1]Results!AM1450</f>
        <v>853.75880359999996</v>
      </c>
      <c r="AK216" s="6">
        <f>[1]Results!AN1450</f>
        <v>854.19027900000003</v>
      </c>
      <c r="AL216" s="6">
        <f>[1]Results!AO1450</f>
        <v>854.64206449999995</v>
      </c>
    </row>
    <row r="218" spans="1:38" x14ac:dyDescent="0.3">
      <c r="A218" s="12" t="s">
        <v>60</v>
      </c>
      <c r="B218" t="s">
        <v>22</v>
      </c>
      <c r="C218" s="6">
        <f>[1]Results!F1473</f>
        <v>27376.288509999998</v>
      </c>
      <c r="D218" s="3">
        <f>[1]Results!G1473</f>
        <v>27367.35829</v>
      </c>
      <c r="E218" s="3">
        <f>[1]Results!H1473</f>
        <v>27379.091649999998</v>
      </c>
      <c r="F218" s="3">
        <f>[1]Results!I1473</f>
        <v>27427.834900000002</v>
      </c>
      <c r="G218" s="3">
        <f>[1]Results!J1473</f>
        <v>27502.841369999998</v>
      </c>
      <c r="H218" s="3">
        <f>[1]Results!K1473</f>
        <v>27595.689839999999</v>
      </c>
      <c r="I218" s="3">
        <f>[1]Results!L1473</f>
        <v>27688.07343</v>
      </c>
      <c r="J218" s="3">
        <f>[1]Results!M1473</f>
        <v>27785.61922</v>
      </c>
      <c r="K218" s="3">
        <f>[1]Results!N1473</f>
        <v>27889.444</v>
      </c>
      <c r="L218" s="3">
        <f>[1]Results!O1473</f>
        <v>27999.427159999999</v>
      </c>
      <c r="M218" s="3">
        <f>[1]Results!P1473</f>
        <v>28131.166689999998</v>
      </c>
      <c r="N218" s="3">
        <f>[1]Results!Q1473</f>
        <v>28262.900010000001</v>
      </c>
      <c r="O218" s="3">
        <f>[1]Results!R1473</f>
        <v>28392.887009999999</v>
      </c>
      <c r="P218" s="3">
        <f>[1]Results!S1473</f>
        <v>28518.048620000001</v>
      </c>
      <c r="Q218" s="3">
        <f>[1]Results!T1473</f>
        <v>28636.213459999999</v>
      </c>
      <c r="R218" s="3">
        <f>[1]Results!U1473</f>
        <v>28747.00805</v>
      </c>
      <c r="S218" s="3">
        <f>[1]Results!V1473</f>
        <v>28851.5497</v>
      </c>
      <c r="T218" s="3">
        <f>[1]Results!W1473</f>
        <v>28951.692370000001</v>
      </c>
      <c r="U218" s="3">
        <f>[1]Results!X1473</f>
        <v>29049.30675</v>
      </c>
      <c r="V218" s="3">
        <f>[1]Results!Y1473</f>
        <v>29145.83654</v>
      </c>
      <c r="W218" s="3">
        <f>[1]Results!Z1473</f>
        <v>29228.90482</v>
      </c>
      <c r="X218" s="3">
        <f>[1]Results!AA1473</f>
        <v>29315.56826</v>
      </c>
      <c r="Y218" s="3">
        <f>[1]Results!AB1473</f>
        <v>29406.500209999998</v>
      </c>
      <c r="Z218" s="3">
        <f>[1]Results!AC1473</f>
        <v>29501.036649999998</v>
      </c>
      <c r="AA218" s="3">
        <f>[1]Results!AD1473</f>
        <v>29598.49368</v>
      </c>
      <c r="AB218" s="3">
        <f>[1]Results!AE1473</f>
        <v>29656.33584</v>
      </c>
      <c r="AC218" s="3">
        <f>[1]Results!AF1473</f>
        <v>29716.336469999998</v>
      </c>
      <c r="AD218" s="3">
        <f>[1]Results!AG1473</f>
        <v>29777.233779999999</v>
      </c>
      <c r="AE218" s="3">
        <f>[1]Results!AH1473</f>
        <v>29838.970170000001</v>
      </c>
      <c r="AF218" s="3">
        <f>[1]Results!AI1473</f>
        <v>29902.164499999999</v>
      </c>
      <c r="AG218" s="3">
        <f>[1]Results!AJ1473</f>
        <v>29967.086050000002</v>
      </c>
      <c r="AH218" s="3">
        <f>[1]Results!AK1473</f>
        <v>30033.42712</v>
      </c>
      <c r="AI218" s="3">
        <f>[1]Results!AL1473</f>
        <v>30100.5726</v>
      </c>
      <c r="AJ218" s="3">
        <f>[1]Results!AM1473</f>
        <v>30167.966349999999</v>
      </c>
      <c r="AK218" s="3">
        <f>[1]Results!AN1473</f>
        <v>30235.334279999999</v>
      </c>
      <c r="AL218" s="3">
        <f>[1]Results!AO1473</f>
        <v>30302.698380000002</v>
      </c>
    </row>
    <row r="219" spans="1:38" x14ac:dyDescent="0.3">
      <c r="A219" t="s">
        <v>26</v>
      </c>
      <c r="B219" t="s">
        <v>7</v>
      </c>
      <c r="C219" s="6">
        <f>[1]Results!F1474</f>
        <v>760.65442880000001</v>
      </c>
      <c r="D219" s="3">
        <f>[1]Results!G1474</f>
        <v>751.86677380000003</v>
      </c>
      <c r="E219" s="3">
        <f>[1]Results!H1474</f>
        <v>739.14441850000003</v>
      </c>
      <c r="F219" s="3">
        <f>[1]Results!I1474</f>
        <v>726.65682819999995</v>
      </c>
      <c r="G219" s="3">
        <f>[1]Results!J1474</f>
        <v>716.63451010000006</v>
      </c>
      <c r="H219" s="3">
        <f>[1]Results!K1474</f>
        <v>709.8275261</v>
      </c>
      <c r="I219" s="3">
        <f>[1]Results!L1474</f>
        <v>705.77329280000004</v>
      </c>
      <c r="J219" s="3">
        <f>[1]Results!M1474</f>
        <v>703.77033110000002</v>
      </c>
      <c r="K219" s="3">
        <f>[1]Results!N1474</f>
        <v>702.96255770000005</v>
      </c>
      <c r="L219" s="3">
        <f>[1]Results!O1474</f>
        <v>702.54167359999997</v>
      </c>
      <c r="M219" s="3">
        <f>[1]Results!P1474</f>
        <v>702.2619191</v>
      </c>
      <c r="N219" s="3">
        <f>[1]Results!Q1474</f>
        <v>701.30111739999995</v>
      </c>
      <c r="O219" s="3">
        <f>[1]Results!R1474</f>
        <v>699.38010499999996</v>
      </c>
      <c r="P219" s="3">
        <f>[1]Results!S1474</f>
        <v>696.40474759999995</v>
      </c>
      <c r="Q219" s="3">
        <f>[1]Results!T1474</f>
        <v>692.40494390000003</v>
      </c>
      <c r="R219" s="3">
        <f>[1]Results!U1474</f>
        <v>687.4971329</v>
      </c>
      <c r="S219" s="3">
        <f>[1]Results!V1474</f>
        <v>681.85522490000005</v>
      </c>
      <c r="T219" s="3">
        <f>[1]Results!W1474</f>
        <v>675.68388670000002</v>
      </c>
      <c r="U219" s="3">
        <f>[1]Results!X1474</f>
        <v>669.19286199999999</v>
      </c>
      <c r="V219" s="3">
        <f>[1]Results!Y1474</f>
        <v>662.57432440000002</v>
      </c>
      <c r="W219" s="3">
        <f>[1]Results!Z1474</f>
        <v>655.7269794</v>
      </c>
      <c r="X219" s="3">
        <f>[1]Results!AA1474</f>
        <v>649.04128249999997</v>
      </c>
      <c r="Y219" s="3">
        <f>[1]Results!AB1474</f>
        <v>642.62141359999998</v>
      </c>
      <c r="Z219" s="3">
        <f>[1]Results!AC1474</f>
        <v>636.51366110000004</v>
      </c>
      <c r="AA219" s="3">
        <f>[1]Results!AD1474</f>
        <v>630.72490519999997</v>
      </c>
      <c r="AB219" s="3">
        <f>[1]Results!AE1474</f>
        <v>624.53335779999998</v>
      </c>
      <c r="AC219" s="3">
        <f>[1]Results!AF1474</f>
        <v>618.35058049999998</v>
      </c>
      <c r="AD219" s="3">
        <f>[1]Results!AG1474</f>
        <v>612.23788200000001</v>
      </c>
      <c r="AE219" s="3">
        <f>[1]Results!AH1474</f>
        <v>606.23525329999995</v>
      </c>
      <c r="AF219" s="3">
        <f>[1]Results!AI1474</f>
        <v>600.37338609999995</v>
      </c>
      <c r="AG219" s="3">
        <f>[1]Results!AJ1474</f>
        <v>594.67161209999995</v>
      </c>
      <c r="AH219" s="3">
        <f>[1]Results!AK1474</f>
        <v>589.13425870000003</v>
      </c>
      <c r="AI219" s="3">
        <f>[1]Results!AL1474</f>
        <v>583.7500311</v>
      </c>
      <c r="AJ219" s="3">
        <f>[1]Results!AM1474</f>
        <v>578.49534589999996</v>
      </c>
      <c r="AK219" s="3">
        <f>[1]Results!AN1474</f>
        <v>573.34034459999998</v>
      </c>
      <c r="AL219" s="3">
        <f>[1]Results!AO1474</f>
        <v>568.25536309999995</v>
      </c>
    </row>
    <row r="220" spans="1:38" x14ac:dyDescent="0.3">
      <c r="B220" t="s">
        <v>96</v>
      </c>
      <c r="C220" s="6">
        <f>[1]Results!F1487</f>
        <v>1770.9867389999999</v>
      </c>
      <c r="D220" s="3">
        <f>[1]Results!G1487</f>
        <v>1831.682266</v>
      </c>
      <c r="E220" s="3">
        <f>[1]Results!H1487</f>
        <v>1919.1808470000001</v>
      </c>
      <c r="F220" s="3">
        <f>[1]Results!I1487</f>
        <v>1991.3999799999999</v>
      </c>
      <c r="G220" s="3">
        <f>[1]Results!J1487</f>
        <v>2035.5293140000001</v>
      </c>
      <c r="H220" s="3">
        <f>[1]Results!K1487</f>
        <v>2055.840964</v>
      </c>
      <c r="I220" s="3">
        <f>[1]Results!L1487</f>
        <v>2040.295001</v>
      </c>
      <c r="J220" s="3">
        <f>[1]Results!M1487</f>
        <v>2020.1453429999999</v>
      </c>
      <c r="K220" s="3">
        <f>[1]Results!N1487</f>
        <v>2004.6790779999999</v>
      </c>
      <c r="L220" s="3">
        <f>[1]Results!O1487</f>
        <v>1995.3806729999999</v>
      </c>
      <c r="M220" s="3">
        <f>[1]Results!P1487</f>
        <v>2020.0572050000001</v>
      </c>
      <c r="N220" s="3">
        <f>[1]Results!Q1487</f>
        <v>2017.7113469999999</v>
      </c>
      <c r="O220" s="3">
        <f>[1]Results!R1487</f>
        <v>2011.50531</v>
      </c>
      <c r="P220" s="3">
        <f>[1]Results!S1487</f>
        <v>2007.958161</v>
      </c>
      <c r="Q220" s="3">
        <f>[1]Results!T1487</f>
        <v>2007.7678410000001</v>
      </c>
      <c r="R220" s="3">
        <f>[1]Results!U1487</f>
        <v>2010.200728</v>
      </c>
      <c r="S220" s="3">
        <f>[1]Results!V1487</f>
        <v>2014.5126749999999</v>
      </c>
      <c r="T220" s="3">
        <f>[1]Results!W1487</f>
        <v>2020.23207</v>
      </c>
      <c r="U220" s="3">
        <f>[1]Results!X1487</f>
        <v>2027.0858539999999</v>
      </c>
      <c r="V220" s="3">
        <f>[1]Results!Y1487</f>
        <v>2034.87769</v>
      </c>
      <c r="W220" s="3">
        <f>[1]Results!Z1487</f>
        <v>2025.1400570000001</v>
      </c>
      <c r="X220" s="3">
        <f>[1]Results!AA1487</f>
        <v>2034.8924589999999</v>
      </c>
      <c r="Y220" s="3">
        <f>[1]Results!AB1487</f>
        <v>2049.8081419999999</v>
      </c>
      <c r="Z220" s="3">
        <f>[1]Results!AC1487</f>
        <v>2064.5817539999998</v>
      </c>
      <c r="AA220" s="3">
        <f>[1]Results!AD1487</f>
        <v>2077.8704720000001</v>
      </c>
      <c r="AB220" s="3">
        <f>[1]Results!AE1487</f>
        <v>2038.99604</v>
      </c>
      <c r="AC220" s="3">
        <f>[1]Results!AF1487</f>
        <v>2031.512385</v>
      </c>
      <c r="AD220" s="3">
        <f>[1]Results!AG1487</f>
        <v>2037.229022</v>
      </c>
      <c r="AE220" s="3">
        <f>[1]Results!AH1487</f>
        <v>2047.5496860000001</v>
      </c>
      <c r="AF220" s="3">
        <f>[1]Results!AI1487</f>
        <v>2058.865679</v>
      </c>
      <c r="AG220" s="3">
        <f>[1]Results!AJ1487</f>
        <v>2069.7969320000002</v>
      </c>
      <c r="AH220" s="3">
        <f>[1]Results!AK1487</f>
        <v>2079.8753860000002</v>
      </c>
      <c r="AI220" s="3">
        <f>[1]Results!AL1487</f>
        <v>2088.9978339999998</v>
      </c>
      <c r="AJ220" s="3">
        <f>[1]Results!AM1487</f>
        <v>2097.2274419999999</v>
      </c>
      <c r="AK220" s="3">
        <f>[1]Results!AN1487</f>
        <v>2104.7201690000002</v>
      </c>
      <c r="AL220" s="3">
        <f>[1]Results!AO1487</f>
        <v>2111.6773459999999</v>
      </c>
    </row>
    <row r="221" spans="1:38" x14ac:dyDescent="0.3">
      <c r="B221" t="s">
        <v>11</v>
      </c>
      <c r="C221" s="6">
        <f>[1]Results!F1502</f>
        <v>57.152108140000003</v>
      </c>
      <c r="D221" s="3">
        <f>[1]Results!G1502</f>
        <v>56.985075649999999</v>
      </c>
      <c r="E221" s="3">
        <f>[1]Results!H1502</f>
        <v>56.720925190000003</v>
      </c>
      <c r="F221" s="3">
        <f>[1]Results!I1502</f>
        <v>56.514446149999998</v>
      </c>
      <c r="G221" s="3">
        <f>[1]Results!J1502</f>
        <v>56.469923469999998</v>
      </c>
      <c r="H221" s="3">
        <f>[1]Results!K1502</f>
        <v>56.636463720000002</v>
      </c>
      <c r="I221" s="3">
        <f>[1]Results!L1502</f>
        <v>56.99849674</v>
      </c>
      <c r="J221" s="3">
        <f>[1]Results!M1502</f>
        <v>57.528065599999998</v>
      </c>
      <c r="K221" s="3">
        <f>[1]Results!N1502</f>
        <v>58.176509699999997</v>
      </c>
      <c r="L221" s="3">
        <f>[1]Results!O1502</f>
        <v>58.883463499999998</v>
      </c>
      <c r="M221" s="3">
        <f>[1]Results!P1502</f>
        <v>59.60855789</v>
      </c>
      <c r="N221" s="3">
        <f>[1]Results!Q1502</f>
        <v>60.279840810000003</v>
      </c>
      <c r="O221" s="3">
        <f>[1]Results!R1502</f>
        <v>60.857084380000003</v>
      </c>
      <c r="P221" s="3">
        <f>[1]Results!S1502</f>
        <v>61.315951720000001</v>
      </c>
      <c r="Q221" s="3">
        <f>[1]Results!T1502</f>
        <v>61.63912131</v>
      </c>
      <c r="R221" s="3">
        <f>[1]Results!U1502</f>
        <v>61.817383919999997</v>
      </c>
      <c r="S221" s="3">
        <f>[1]Results!V1502</f>
        <v>61.856394719999997</v>
      </c>
      <c r="T221" s="3">
        <f>[1]Results!W1502</f>
        <v>61.778289960000002</v>
      </c>
      <c r="U221" s="3">
        <f>[1]Results!X1502</f>
        <v>61.618936859999998</v>
      </c>
      <c r="V221" s="3">
        <f>[1]Results!Y1502</f>
        <v>61.421883729999998</v>
      </c>
      <c r="W221" s="3">
        <f>[1]Results!Z1502</f>
        <v>61.214269129999998</v>
      </c>
      <c r="X221" s="3">
        <f>[1]Results!AA1502</f>
        <v>61.043692069999999</v>
      </c>
      <c r="Y221" s="3">
        <f>[1]Results!AB1502</f>
        <v>60.93632436</v>
      </c>
      <c r="Z221" s="3">
        <f>[1]Results!AC1502</f>
        <v>60.905914109999998</v>
      </c>
      <c r="AA221" s="3">
        <f>[1]Results!AD1502</f>
        <v>60.958295560000003</v>
      </c>
      <c r="AB221" s="3">
        <f>[1]Results!AE1502</f>
        <v>61.043406160000004</v>
      </c>
      <c r="AC221" s="3">
        <f>[1]Results!AF1502</f>
        <v>61.182041009999999</v>
      </c>
      <c r="AD221" s="3">
        <f>[1]Results!AG1502</f>
        <v>61.3621993</v>
      </c>
      <c r="AE221" s="3">
        <f>[1]Results!AH1502</f>
        <v>61.564593960000003</v>
      </c>
      <c r="AF221" s="3">
        <f>[1]Results!AI1502</f>
        <v>61.774420450000001</v>
      </c>
      <c r="AG221" s="3">
        <f>[1]Results!AJ1502</f>
        <v>61.983523730000002</v>
      </c>
      <c r="AH221" s="3">
        <f>[1]Results!AK1502</f>
        <v>62.188133929999999</v>
      </c>
      <c r="AI221" s="3">
        <f>[1]Results!AL1502</f>
        <v>62.38563422</v>
      </c>
      <c r="AJ221" s="3">
        <f>[1]Results!AM1502</f>
        <v>62.572384909999997</v>
      </c>
      <c r="AK221" s="3">
        <f>[1]Results!AN1502</f>
        <v>62.74336667</v>
      </c>
      <c r="AL221" s="3">
        <f>[1]Results!AO1502</f>
        <v>62.892315490000001</v>
      </c>
    </row>
    <row r="222" spans="1:38" x14ac:dyDescent="0.3">
      <c r="B222" t="s">
        <v>8</v>
      </c>
      <c r="C222" s="6">
        <f>[1]Results!F1477-[1]Results!F1487</f>
        <v>2596.3826909999998</v>
      </c>
      <c r="D222" s="3">
        <f>[1]Results!G1477-[1]Results!G1487</f>
        <v>2588.0099209999998</v>
      </c>
      <c r="E222" s="3">
        <f>[1]Results!H1477-[1]Results!H1487</f>
        <v>2578.9760529999999</v>
      </c>
      <c r="F222" s="3">
        <f>[1]Results!I1477-[1]Results!I1487</f>
        <v>2572.906559</v>
      </c>
      <c r="G222" s="3">
        <f>[1]Results!J1477-[1]Results!J1487</f>
        <v>2570.1698659999993</v>
      </c>
      <c r="H222" s="3">
        <f>[1]Results!K1477-[1]Results!K1487</f>
        <v>2570.4045569999998</v>
      </c>
      <c r="I222" s="3">
        <f>[1]Results!L1477-[1]Results!L1487</f>
        <v>2571.0050100000003</v>
      </c>
      <c r="J222" s="3">
        <f>[1]Results!M1477-[1]Results!M1487</f>
        <v>2572.5500149999998</v>
      </c>
      <c r="K222" s="3">
        <f>[1]Results!N1477-[1]Results!N1487</f>
        <v>2575.0567460000002</v>
      </c>
      <c r="L222" s="3">
        <f>[1]Results!O1477-[1]Results!O1487</f>
        <v>2578.2140210000007</v>
      </c>
      <c r="M222" s="3">
        <f>[1]Results!P1477-[1]Results!P1487</f>
        <v>2584.5784910000002</v>
      </c>
      <c r="N222" s="3">
        <f>[1]Results!Q1477-[1]Results!Q1487</f>
        <v>2589.376882</v>
      </c>
      <c r="O222" s="3">
        <f>[1]Results!R1477-[1]Results!R1487</f>
        <v>2592.8367080000003</v>
      </c>
      <c r="P222" s="3">
        <f>[1]Results!S1477-[1]Results!S1487</f>
        <v>2595.180484</v>
      </c>
      <c r="Q222" s="3">
        <f>[1]Results!T1477-[1]Results!T1487</f>
        <v>2596.447553</v>
      </c>
      <c r="R222" s="3">
        <f>[1]Results!U1477-[1]Results!U1487</f>
        <v>2596.7318519999999</v>
      </c>
      <c r="S222" s="3">
        <f>[1]Results!V1477-[1]Results!V1487</f>
        <v>2596.2514970000002</v>
      </c>
      <c r="T222" s="3">
        <f>[1]Results!W1477-[1]Results!W1487</f>
        <v>2595.3046979999999</v>
      </c>
      <c r="U222" s="3">
        <f>[1]Results!X1477-[1]Results!X1487</f>
        <v>2594.194133</v>
      </c>
      <c r="V222" s="3">
        <f>[1]Results!Y1477-[1]Results!Y1487</f>
        <v>2593.1679869999998</v>
      </c>
      <c r="W222" s="3">
        <f>[1]Results!Z1477-[1]Results!Z1487</f>
        <v>2590.4231340000001</v>
      </c>
      <c r="X222" s="3">
        <f>[1]Results!AA1477-[1]Results!AA1487</f>
        <v>2588.9964490000002</v>
      </c>
      <c r="Y222" s="3">
        <f>[1]Results!AB1477-[1]Results!AB1487</f>
        <v>2588.6530300000004</v>
      </c>
      <c r="Z222" s="3">
        <f>[1]Results!AC1477-[1]Results!AC1487</f>
        <v>2589.0288209999999</v>
      </c>
      <c r="AA222" s="3">
        <f>[1]Results!AD1477-[1]Results!AD1487</f>
        <v>2589.9307320000003</v>
      </c>
      <c r="AB222" s="3">
        <f>[1]Results!AE1477-[1]Results!AE1487</f>
        <v>2585.6974529999998</v>
      </c>
      <c r="AC222" s="3">
        <f>[1]Results!AF1477-[1]Results!AF1487</f>
        <v>2582.410374</v>
      </c>
      <c r="AD222" s="3">
        <f>[1]Results!AG1477-[1]Results!AG1487</f>
        <v>2580.1704340000001</v>
      </c>
      <c r="AE222" s="3">
        <f>[1]Results!AH1477-[1]Results!AH1487</f>
        <v>2578.6325079999997</v>
      </c>
      <c r="AF222" s="3">
        <f>[1]Results!AI1477-[1]Results!AI1487</f>
        <v>2577.615327</v>
      </c>
      <c r="AG222" s="3">
        <f>[1]Results!AJ1477-[1]Results!AJ1487</f>
        <v>2577.0105509999994</v>
      </c>
      <c r="AH222" s="3">
        <f>[1]Results!AK1477-[1]Results!AK1487</f>
        <v>2576.7091919999998</v>
      </c>
      <c r="AI222" s="3">
        <f>[1]Results!AL1477-[1]Results!AL1487</f>
        <v>2576.5948210000006</v>
      </c>
      <c r="AJ222" s="3">
        <f>[1]Results!AM1477-[1]Results!AM1487</f>
        <v>2576.566405</v>
      </c>
      <c r="AK222" s="3">
        <f>[1]Results!AN1477-[1]Results!AN1487</f>
        <v>2576.558841</v>
      </c>
      <c r="AL222" s="3">
        <f>[1]Results!AO1477-[1]Results!AO1487</f>
        <v>2576.5466940000001</v>
      </c>
    </row>
    <row r="223" spans="1:38" x14ac:dyDescent="0.3">
      <c r="B223" t="s">
        <v>24</v>
      </c>
      <c r="C223" s="6">
        <f>[1]Results!F1497</f>
        <v>43.676752630000003</v>
      </c>
      <c r="D223" s="3">
        <f>[1]Results!G1497</f>
        <v>44.249539149999997</v>
      </c>
      <c r="E223" s="3">
        <f>[1]Results!H1497</f>
        <v>44.93232441</v>
      </c>
      <c r="F223" s="3">
        <f>[1]Results!I1497</f>
        <v>45.571063500000001</v>
      </c>
      <c r="G223" s="3">
        <f>[1]Results!J1497</f>
        <v>46.125722340000003</v>
      </c>
      <c r="H223" s="3">
        <f>[1]Results!K1497</f>
        <v>46.600582789999997</v>
      </c>
      <c r="I223" s="3">
        <f>[1]Results!L1497</f>
        <v>46.990494900000002</v>
      </c>
      <c r="J223" s="3">
        <f>[1]Results!M1497</f>
        <v>47.315732099999998</v>
      </c>
      <c r="K223" s="3">
        <f>[1]Results!N1497</f>
        <v>47.588645380000003</v>
      </c>
      <c r="L223" s="3">
        <f>[1]Results!O1497</f>
        <v>47.814484139999998</v>
      </c>
      <c r="M223" s="3">
        <f>[1]Results!P1497</f>
        <v>48.0222488</v>
      </c>
      <c r="N223" s="3">
        <f>[1]Results!Q1497</f>
        <v>48.183535740000003</v>
      </c>
      <c r="O223" s="3">
        <f>[1]Results!R1497</f>
        <v>48.306576200000002</v>
      </c>
      <c r="P223" s="3">
        <f>[1]Results!S1497</f>
        <v>48.400161779999998</v>
      </c>
      <c r="Q223" s="3">
        <f>[1]Results!T1497</f>
        <v>48.467042530000001</v>
      </c>
      <c r="R223" s="3">
        <f>[1]Results!U1497</f>
        <v>48.505547700000001</v>
      </c>
      <c r="S223" s="3">
        <f>[1]Results!V1497</f>
        <v>48.513194810000002</v>
      </c>
      <c r="T223" s="3">
        <f>[1]Results!W1497</f>
        <v>48.48952087</v>
      </c>
      <c r="U223" s="3">
        <f>[1]Results!X1497</f>
        <v>48.437306130000003</v>
      </c>
      <c r="V223" s="3">
        <f>[1]Results!Y1497</f>
        <v>48.362206190000002</v>
      </c>
      <c r="W223" s="3">
        <f>[1]Results!Z1497</f>
        <v>48.253694109999998</v>
      </c>
      <c r="X223" s="3">
        <f>[1]Results!AA1497</f>
        <v>48.140457300000001</v>
      </c>
      <c r="Y223" s="3">
        <f>[1]Results!AB1497</f>
        <v>48.027826699999999</v>
      </c>
      <c r="Z223" s="3">
        <f>[1]Results!AC1497</f>
        <v>47.917579359999998</v>
      </c>
      <c r="AA223" s="3">
        <f>[1]Results!AD1497</f>
        <v>47.81158611</v>
      </c>
      <c r="AB223" s="3">
        <f>[1]Results!AE1497</f>
        <v>47.660199429999999</v>
      </c>
      <c r="AC223" s="3">
        <f>[1]Results!AF1497</f>
        <v>47.50873867</v>
      </c>
      <c r="AD223" s="3">
        <f>[1]Results!AG1497</f>
        <v>47.360249330000002</v>
      </c>
      <c r="AE223" s="3">
        <f>[1]Results!AH1497</f>
        <v>47.211573700000002</v>
      </c>
      <c r="AF223" s="3">
        <f>[1]Results!AI1497</f>
        <v>47.061770330000002</v>
      </c>
      <c r="AG223" s="3">
        <f>[1]Results!AJ1497</f>
        <v>46.91256516</v>
      </c>
      <c r="AH223" s="3">
        <f>[1]Results!AK1497</f>
        <v>46.766599540000001</v>
      </c>
      <c r="AI223" s="3">
        <f>[1]Results!AL1497</f>
        <v>46.625706889999996</v>
      </c>
      <c r="AJ223" s="3">
        <f>[1]Results!AM1497</f>
        <v>46.4900381</v>
      </c>
      <c r="AK223" s="3">
        <f>[1]Results!AN1497</f>
        <v>46.35815118</v>
      </c>
      <c r="AL223" s="3">
        <f>[1]Results!AO1497</f>
        <v>46.227674409999999</v>
      </c>
    </row>
    <row r="224" spans="1:38" x14ac:dyDescent="0.3">
      <c r="B224" t="s">
        <v>10</v>
      </c>
      <c r="C224" s="6">
        <f>[1]Results!F1494</f>
        <v>21279.16316</v>
      </c>
      <c r="D224" s="3">
        <f>[1]Results!G1494</f>
        <v>21232.72306</v>
      </c>
      <c r="E224" s="3">
        <f>[1]Results!H1494</f>
        <v>21186.529549999999</v>
      </c>
      <c r="F224" s="3">
        <f>[1]Results!I1494</f>
        <v>21188.15352</v>
      </c>
      <c r="G224" s="3">
        <f>[1]Results!J1494</f>
        <v>21236.160169999999</v>
      </c>
      <c r="H224" s="3">
        <f>[1]Results!K1494</f>
        <v>21317.513340000001</v>
      </c>
      <c r="I224" s="3">
        <f>[1]Results!L1494</f>
        <v>21429.525900000001</v>
      </c>
      <c r="J224" s="3">
        <f>[1]Results!M1494</f>
        <v>21547.231189999999</v>
      </c>
      <c r="K224" s="3">
        <f>[1]Results!N1494</f>
        <v>21663.658289999999</v>
      </c>
      <c r="L224" s="3">
        <f>[1]Results!O1494</f>
        <v>21778.567330000002</v>
      </c>
      <c r="M224" s="3">
        <f>[1]Results!P1494</f>
        <v>21877.45045</v>
      </c>
      <c r="N224" s="3">
        <f>[1]Results!Q1494</f>
        <v>22005.22005</v>
      </c>
      <c r="O224" s="3">
        <f>[1]Results!R1494</f>
        <v>22137.42642</v>
      </c>
      <c r="P224" s="3">
        <f>[1]Results!S1494</f>
        <v>22264.5854</v>
      </c>
      <c r="Q224" s="3">
        <f>[1]Results!T1494</f>
        <v>22383.88191</v>
      </c>
      <c r="R224" s="3">
        <f>[1]Results!U1494</f>
        <v>22495.498769999998</v>
      </c>
      <c r="S224" s="3">
        <f>[1]Results!V1494</f>
        <v>22600.8665</v>
      </c>
      <c r="T224" s="3">
        <f>[1]Results!W1494</f>
        <v>22701.721130000002</v>
      </c>
      <c r="U224" s="3">
        <f>[1]Results!X1494</f>
        <v>22799.5861</v>
      </c>
      <c r="V224" s="3">
        <f>[1]Results!Y1494</f>
        <v>22895.554510000002</v>
      </c>
      <c r="W224" s="3">
        <f>[1]Results!Z1494</f>
        <v>22997.699280000001</v>
      </c>
      <c r="X224" s="3">
        <f>[1]Results!AA1494</f>
        <v>23082.53616</v>
      </c>
      <c r="Y224" s="3">
        <f>[1]Results!AB1494</f>
        <v>23164.98414</v>
      </c>
      <c r="Z224" s="3">
        <f>[1]Results!AC1494</f>
        <v>23249.921330000001</v>
      </c>
      <c r="AA224" s="3">
        <f>[1]Results!AD1494</f>
        <v>23338.181509999999</v>
      </c>
      <c r="AB224" s="3">
        <f>[1]Results!AE1494</f>
        <v>23444.85945</v>
      </c>
      <c r="AC224" s="3">
        <f>[1]Results!AF1494</f>
        <v>23521.65194</v>
      </c>
      <c r="AD224" s="3">
        <f>[1]Results!AG1494</f>
        <v>23585.115590000001</v>
      </c>
      <c r="AE224" s="3">
        <f>[1]Results!AH1494</f>
        <v>23643.973880000001</v>
      </c>
      <c r="AF224" s="3">
        <f>[1]Results!AI1494</f>
        <v>23702.54377</v>
      </c>
      <c r="AG224" s="3">
        <f>[1]Results!AJ1494</f>
        <v>23762.544989999999</v>
      </c>
      <c r="AH224" s="3">
        <f>[1]Results!AK1494</f>
        <v>23824.254290000001</v>
      </c>
      <c r="AI224" s="3">
        <f>[1]Results!AL1494</f>
        <v>23887.316159999998</v>
      </c>
      <c r="AJ224" s="3">
        <f>[1]Results!AM1494</f>
        <v>23951.268250000001</v>
      </c>
      <c r="AK224" s="3">
        <f>[1]Results!AN1494</f>
        <v>24015.801909999998</v>
      </c>
      <c r="AL224" s="3">
        <f>[1]Results!AO1494</f>
        <v>24080.81006</v>
      </c>
    </row>
    <row r="225" spans="1:38" x14ac:dyDescent="0.3">
      <c r="B225" t="s">
        <v>23</v>
      </c>
      <c r="C225" s="6">
        <f>[1]Results!F1489</f>
        <v>868.27262640000004</v>
      </c>
      <c r="D225" s="3">
        <f>[1]Results!G1489</f>
        <v>861.8416545</v>
      </c>
      <c r="E225" s="3">
        <f>[1]Results!H1489</f>
        <v>853.60753169999998</v>
      </c>
      <c r="F225" s="3">
        <f>[1]Results!I1489</f>
        <v>846.63249680000001</v>
      </c>
      <c r="G225" s="3">
        <f>[1]Results!J1489</f>
        <v>841.75187029999995</v>
      </c>
      <c r="H225" s="3">
        <f>[1]Results!K1489</f>
        <v>838.86641369999995</v>
      </c>
      <c r="I225" s="3">
        <f>[1]Results!L1489</f>
        <v>837.48523139999998</v>
      </c>
      <c r="J225" s="3">
        <f>[1]Results!M1489</f>
        <v>837.07854540000005</v>
      </c>
      <c r="K225" s="3">
        <f>[1]Results!N1489</f>
        <v>837.32217070000002</v>
      </c>
      <c r="L225" s="3">
        <f>[1]Results!O1489</f>
        <v>838.02550810000002</v>
      </c>
      <c r="M225" s="3">
        <f>[1]Results!P1489</f>
        <v>839.18781130000002</v>
      </c>
      <c r="N225" s="3">
        <f>[1]Results!Q1489</f>
        <v>840.82723699999997</v>
      </c>
      <c r="O225" s="3">
        <f>[1]Results!R1489</f>
        <v>842.57480499999997</v>
      </c>
      <c r="P225" s="3">
        <f>[1]Results!S1489</f>
        <v>844.2037163</v>
      </c>
      <c r="Q225" s="3">
        <f>[1]Results!T1489</f>
        <v>845.60505620000004</v>
      </c>
      <c r="R225" s="3">
        <f>[1]Results!U1489</f>
        <v>846.75662899999998</v>
      </c>
      <c r="S225" s="3">
        <f>[1]Results!V1489</f>
        <v>847.69421490000002</v>
      </c>
      <c r="T225" s="3">
        <f>[1]Results!W1489</f>
        <v>848.48276729999998</v>
      </c>
      <c r="U225" s="3">
        <f>[1]Results!X1489</f>
        <v>849.19156139999996</v>
      </c>
      <c r="V225" s="3">
        <f>[1]Results!Y1489</f>
        <v>849.87794459999998</v>
      </c>
      <c r="W225" s="3">
        <f>[1]Results!Z1489</f>
        <v>850.44740379999996</v>
      </c>
      <c r="X225" s="3">
        <f>[1]Results!AA1489</f>
        <v>850.91776140000002</v>
      </c>
      <c r="Y225" s="3">
        <f>[1]Results!AB1489</f>
        <v>851.46933349999995</v>
      </c>
      <c r="Z225" s="3">
        <f>[1]Results!AC1489</f>
        <v>852.16758349999998</v>
      </c>
      <c r="AA225" s="3">
        <f>[1]Results!AD1489</f>
        <v>853.01618159999998</v>
      </c>
      <c r="AB225" s="3">
        <f>[1]Results!AE1489</f>
        <v>853.54592660000003</v>
      </c>
      <c r="AC225" s="3">
        <f>[1]Results!AF1489</f>
        <v>853.72041830000001</v>
      </c>
      <c r="AD225" s="3">
        <f>[1]Results!AG1489</f>
        <v>853.75840359999995</v>
      </c>
      <c r="AE225" s="3">
        <f>[1]Results!AH1489</f>
        <v>853.80267449999997</v>
      </c>
      <c r="AF225" s="3">
        <f>[1]Results!AI1489</f>
        <v>853.9301438</v>
      </c>
      <c r="AG225" s="3">
        <f>[1]Results!AJ1489</f>
        <v>854.16588309999997</v>
      </c>
      <c r="AH225" s="3">
        <f>[1]Results!AK1489</f>
        <v>854.49925859999996</v>
      </c>
      <c r="AI225" s="3">
        <f>[1]Results!AL1489</f>
        <v>854.90241430000003</v>
      </c>
      <c r="AJ225" s="3">
        <f>[1]Results!AM1489</f>
        <v>855.34648089999996</v>
      </c>
      <c r="AK225" s="3">
        <f>[1]Results!AN1489</f>
        <v>855.81149860000005</v>
      </c>
      <c r="AL225" s="3">
        <f>[1]Results!AO1489</f>
        <v>856.28892689999998</v>
      </c>
    </row>
    <row r="227" spans="1:38" x14ac:dyDescent="0.3">
      <c r="A227" s="12" t="s">
        <v>60</v>
      </c>
      <c r="B227" t="s">
        <v>22</v>
      </c>
      <c r="C227" s="6">
        <f>C209-C218</f>
        <v>0</v>
      </c>
      <c r="D227" s="6">
        <f t="shared" ref="D227:AL227" si="40">D209-D218</f>
        <v>0</v>
      </c>
      <c r="E227" s="6">
        <f t="shared" si="40"/>
        <v>0</v>
      </c>
      <c r="F227" s="6">
        <f t="shared" si="40"/>
        <v>0</v>
      </c>
      <c r="G227" s="6">
        <f t="shared" si="40"/>
        <v>0</v>
      </c>
      <c r="H227" s="6">
        <f t="shared" si="40"/>
        <v>0</v>
      </c>
      <c r="I227" s="6">
        <f t="shared" si="40"/>
        <v>22.228269999999611</v>
      </c>
      <c r="J227" s="6">
        <f t="shared" si="40"/>
        <v>32.48182000000088</v>
      </c>
      <c r="K227" s="6">
        <f t="shared" si="40"/>
        <v>25.781080000000657</v>
      </c>
      <c r="L227" s="6">
        <f t="shared" si="40"/>
        <v>5.7810400000016671</v>
      </c>
      <c r="M227" s="6">
        <f t="shared" si="40"/>
        <v>-20.231129999996483</v>
      </c>
      <c r="N227" s="6">
        <f t="shared" si="40"/>
        <v>-45.336559999999736</v>
      </c>
      <c r="O227" s="6">
        <f t="shared" si="40"/>
        <v>-64.51415999999881</v>
      </c>
      <c r="P227" s="6">
        <f t="shared" si="40"/>
        <v>-75.800320000002102</v>
      </c>
      <c r="Q227" s="6">
        <f t="shared" si="40"/>
        <v>-79.884159999997792</v>
      </c>
      <c r="R227" s="6">
        <f t="shared" si="40"/>
        <v>-78.941910000001371</v>
      </c>
      <c r="S227" s="6">
        <f t="shared" si="40"/>
        <v>-75.375489999998535</v>
      </c>
      <c r="T227" s="6">
        <f t="shared" si="40"/>
        <v>-70.929490000002261</v>
      </c>
      <c r="U227" s="6">
        <f t="shared" si="40"/>
        <v>-66.408350000001519</v>
      </c>
      <c r="V227" s="6">
        <f t="shared" si="40"/>
        <v>-61.884480000000622</v>
      </c>
      <c r="W227" s="6">
        <f t="shared" si="40"/>
        <v>-57.071209999998246</v>
      </c>
      <c r="X227" s="6">
        <f t="shared" si="40"/>
        <v>-51.904109999999491</v>
      </c>
      <c r="Y227" s="6">
        <f t="shared" si="40"/>
        <v>-46.521709999997256</v>
      </c>
      <c r="Z227" s="6">
        <f t="shared" si="40"/>
        <v>-41.319229999997333</v>
      </c>
      <c r="AA227" s="6">
        <f t="shared" si="40"/>
        <v>-36.810839999998279</v>
      </c>
      <c r="AB227" s="6">
        <f t="shared" si="40"/>
        <v>-33.423810000000231</v>
      </c>
      <c r="AC227" s="6">
        <f t="shared" si="40"/>
        <v>-31.424749999998312</v>
      </c>
      <c r="AD227" s="6">
        <f t="shared" si="40"/>
        <v>-30.817049999997835</v>
      </c>
      <c r="AE227" s="6">
        <f t="shared" si="40"/>
        <v>-31.372480000001815</v>
      </c>
      <c r="AF227" s="6">
        <f t="shared" si="40"/>
        <v>-32.744889999998122</v>
      </c>
      <c r="AG227" s="6">
        <f t="shared" si="40"/>
        <v>-34.586250000000291</v>
      </c>
      <c r="AH227" s="6">
        <f t="shared" si="40"/>
        <v>-36.62217999999848</v>
      </c>
      <c r="AI227" s="6">
        <f t="shared" si="40"/>
        <v>-38.674279999999271</v>
      </c>
      <c r="AJ227" s="6">
        <f t="shared" si="40"/>
        <v>-40.644459999999526</v>
      </c>
      <c r="AK227" s="6">
        <f t="shared" si="40"/>
        <v>-42.482189999998809</v>
      </c>
      <c r="AL227" s="6">
        <f t="shared" si="40"/>
        <v>-44.153350000000501</v>
      </c>
    </row>
    <row r="228" spans="1:38" x14ac:dyDescent="0.3">
      <c r="A228" t="s">
        <v>61</v>
      </c>
      <c r="B228" t="s">
        <v>7</v>
      </c>
      <c r="C228" s="6">
        <f t="shared" ref="C228:AL228" si="41">C210-C219</f>
        <v>0</v>
      </c>
      <c r="D228" s="6">
        <f t="shared" si="41"/>
        <v>0</v>
      </c>
      <c r="E228" s="6">
        <f t="shared" si="41"/>
        <v>0</v>
      </c>
      <c r="F228" s="6">
        <f t="shared" si="41"/>
        <v>0</v>
      </c>
      <c r="G228" s="6">
        <f t="shared" si="41"/>
        <v>0</v>
      </c>
      <c r="H228" s="6">
        <f t="shared" si="41"/>
        <v>0</v>
      </c>
      <c r="I228" s="6">
        <f t="shared" si="41"/>
        <v>0.17801399999996192</v>
      </c>
      <c r="J228" s="6">
        <f t="shared" si="41"/>
        <v>0.5615076000000272</v>
      </c>
      <c r="K228" s="6">
        <f t="shared" si="41"/>
        <v>1.0647405999999364</v>
      </c>
      <c r="L228" s="6">
        <f t="shared" si="41"/>
        <v>1.530553800000007</v>
      </c>
      <c r="M228" s="6">
        <f t="shared" si="41"/>
        <v>1.811883699999953</v>
      </c>
      <c r="N228" s="6">
        <f t="shared" si="41"/>
        <v>1.8464527000000999</v>
      </c>
      <c r="O228" s="6">
        <f t="shared" si="41"/>
        <v>1.6459372000000485</v>
      </c>
      <c r="P228" s="6">
        <f t="shared" si="41"/>
        <v>1.2813646000000745</v>
      </c>
      <c r="Q228" s="6">
        <f t="shared" si="41"/>
        <v>0.84408750000000055</v>
      </c>
      <c r="R228" s="6">
        <f t="shared" si="41"/>
        <v>0.41113389999998162</v>
      </c>
      <c r="S228" s="6">
        <f t="shared" si="41"/>
        <v>2.8301399999918431E-2</v>
      </c>
      <c r="T228" s="6">
        <f t="shared" si="41"/>
        <v>-0.2887534000000187</v>
      </c>
      <c r="U228" s="6">
        <f t="shared" si="41"/>
        <v>-0.54269699999997556</v>
      </c>
      <c r="V228" s="6">
        <f t="shared" si="41"/>
        <v>-0.74113569999997253</v>
      </c>
      <c r="W228" s="6">
        <f t="shared" si="41"/>
        <v>-0.88819260000002487</v>
      </c>
      <c r="X228" s="6">
        <f t="shared" si="41"/>
        <v>-0.98126329999990958</v>
      </c>
      <c r="Y228" s="6">
        <f t="shared" si="41"/>
        <v>-1.016666799999939</v>
      </c>
      <c r="Z228" s="6">
        <f t="shared" si="41"/>
        <v>-0.99265820000005078</v>
      </c>
      <c r="AA228" s="6">
        <f t="shared" si="41"/>
        <v>-0.9127142999999478</v>
      </c>
      <c r="AB228" s="6">
        <f t="shared" si="41"/>
        <v>-0.78550559999996494</v>
      </c>
      <c r="AC228" s="6">
        <f t="shared" si="41"/>
        <v>-0.62717799999995805</v>
      </c>
      <c r="AD228" s="6">
        <f t="shared" si="41"/>
        <v>-0.45620930000006865</v>
      </c>
      <c r="AE228" s="6">
        <f t="shared" si="41"/>
        <v>-0.2899113999999372</v>
      </c>
      <c r="AF228" s="6">
        <f t="shared" si="41"/>
        <v>-0.1416557999999668</v>
      </c>
      <c r="AG228" s="6">
        <f t="shared" si="41"/>
        <v>-1.9865199999912875E-2</v>
      </c>
      <c r="AH228" s="6">
        <f t="shared" si="41"/>
        <v>7.1583400000008623E-2</v>
      </c>
      <c r="AI228" s="6">
        <f t="shared" si="41"/>
        <v>0.13225850000003447</v>
      </c>
      <c r="AJ228" s="6">
        <f t="shared" si="41"/>
        <v>0.16398690000005445</v>
      </c>
      <c r="AK228" s="6">
        <f t="shared" si="41"/>
        <v>0.16996819999997115</v>
      </c>
      <c r="AL228" s="6">
        <f t="shared" si="41"/>
        <v>0.15425980000009076</v>
      </c>
    </row>
    <row r="229" spans="1:38" x14ac:dyDescent="0.3">
      <c r="B229" t="s">
        <v>96</v>
      </c>
      <c r="C229" s="6">
        <f t="shared" ref="C229:AL229" si="42">C211-C220</f>
        <v>0</v>
      </c>
      <c r="D229" s="6">
        <f t="shared" si="42"/>
        <v>0</v>
      </c>
      <c r="E229" s="6">
        <f t="shared" si="42"/>
        <v>0</v>
      </c>
      <c r="F229" s="6">
        <f t="shared" si="42"/>
        <v>0</v>
      </c>
      <c r="G229" s="6">
        <f t="shared" si="42"/>
        <v>0</v>
      </c>
      <c r="H229" s="6">
        <f t="shared" si="42"/>
        <v>0</v>
      </c>
      <c r="I229" s="6">
        <f t="shared" si="42"/>
        <v>1.1921159999999418</v>
      </c>
      <c r="J229" s="6">
        <f t="shared" si="42"/>
        <v>1.0573130000000219</v>
      </c>
      <c r="K229" s="6">
        <f t="shared" si="42"/>
        <v>-1.1023539999998775</v>
      </c>
      <c r="L229" s="6">
        <f t="shared" si="42"/>
        <v>-4.5580899999999929</v>
      </c>
      <c r="M229" s="6">
        <f t="shared" si="42"/>
        <v>-7.9265530000000126</v>
      </c>
      <c r="N229" s="6">
        <f t="shared" si="42"/>
        <v>-10.206918999999971</v>
      </c>
      <c r="O229" s="6">
        <f t="shared" si="42"/>
        <v>-10.767156999999997</v>
      </c>
      <c r="P229" s="6">
        <f t="shared" si="42"/>
        <v>-9.6358290000000579</v>
      </c>
      <c r="Q229" s="6">
        <f t="shared" si="42"/>
        <v>-7.3271570000001702</v>
      </c>
      <c r="R229" s="6">
        <f t="shared" si="42"/>
        <v>-4.5422430000000986</v>
      </c>
      <c r="S229" s="6">
        <f t="shared" si="42"/>
        <v>-1.8925629999998819</v>
      </c>
      <c r="T229" s="6">
        <f t="shared" si="42"/>
        <v>0.26362399999993613</v>
      </c>
      <c r="U229" s="6">
        <f t="shared" si="42"/>
        <v>1.8385990000001584</v>
      </c>
      <c r="V229" s="6">
        <f t="shared" si="42"/>
        <v>2.9286970000000565</v>
      </c>
      <c r="W229" s="6">
        <f t="shared" si="42"/>
        <v>3.6988559999999779</v>
      </c>
      <c r="X229" s="6">
        <f t="shared" si="42"/>
        <v>4.2726340000001528</v>
      </c>
      <c r="Y229" s="6">
        <f t="shared" si="42"/>
        <v>4.6972420000001875</v>
      </c>
      <c r="Z229" s="6">
        <f t="shared" si="42"/>
        <v>4.9626250000001164</v>
      </c>
      <c r="AA229" s="6">
        <f t="shared" si="42"/>
        <v>5.0266569999998865</v>
      </c>
      <c r="AB229" s="6">
        <f t="shared" si="42"/>
        <v>4.8416879999999765</v>
      </c>
      <c r="AC229" s="6">
        <f t="shared" si="42"/>
        <v>4.4376170000000457</v>
      </c>
      <c r="AD229" s="6">
        <f t="shared" si="42"/>
        <v>3.855600000000095</v>
      </c>
      <c r="AE229" s="6">
        <f t="shared" si="42"/>
        <v>3.1781749999997828</v>
      </c>
      <c r="AF229" s="6">
        <f t="shared" si="42"/>
        <v>2.4990590000002157</v>
      </c>
      <c r="AG229" s="6">
        <f t="shared" si="42"/>
        <v>1.8953019999999015</v>
      </c>
      <c r="AH229" s="6">
        <f t="shared" si="42"/>
        <v>1.4122640000000501</v>
      </c>
      <c r="AI229" s="6">
        <f t="shared" si="42"/>
        <v>1.0627739999999903</v>
      </c>
      <c r="AJ229" s="6">
        <f t="shared" si="42"/>
        <v>0.83540500000026441</v>
      </c>
      <c r="AK229" s="6">
        <f t="shared" si="42"/>
        <v>0.70625099999961094</v>
      </c>
      <c r="AL229" s="6">
        <f t="shared" si="42"/>
        <v>0.64949299999989307</v>
      </c>
    </row>
    <row r="230" spans="1:38" x14ac:dyDescent="0.3">
      <c r="B230" t="s">
        <v>11</v>
      </c>
      <c r="C230" s="6">
        <f t="shared" ref="C230:AL230" si="43">C212-C221</f>
        <v>0</v>
      </c>
      <c r="D230" s="6">
        <f t="shared" si="43"/>
        <v>0</v>
      </c>
      <c r="E230" s="6">
        <f t="shared" si="43"/>
        <v>0</v>
      </c>
      <c r="F230" s="6">
        <f t="shared" si="43"/>
        <v>0</v>
      </c>
      <c r="G230" s="6">
        <f t="shared" si="43"/>
        <v>0</v>
      </c>
      <c r="H230" s="6">
        <f t="shared" si="43"/>
        <v>0</v>
      </c>
      <c r="I230" s="6">
        <f t="shared" si="43"/>
        <v>3.8935634899999982</v>
      </c>
      <c r="J230" s="6">
        <f t="shared" si="43"/>
        <v>5.6500178100000014</v>
      </c>
      <c r="K230" s="6">
        <f t="shared" si="43"/>
        <v>5.8525428300000044</v>
      </c>
      <c r="L230" s="6">
        <f t="shared" si="43"/>
        <v>5.047400549999999</v>
      </c>
      <c r="M230" s="6">
        <f t="shared" si="43"/>
        <v>3.6716641100000018</v>
      </c>
      <c r="N230" s="6">
        <f t="shared" si="43"/>
        <v>2.0563646099999957</v>
      </c>
      <c r="O230" s="6">
        <f t="shared" si="43"/>
        <v>0.45340680999999705</v>
      </c>
      <c r="P230" s="6">
        <f t="shared" si="43"/>
        <v>-0.95286595000000318</v>
      </c>
      <c r="Q230" s="6">
        <f t="shared" si="43"/>
        <v>-2.0413140599999977</v>
      </c>
      <c r="R230" s="6">
        <f t="shared" si="43"/>
        <v>-2.760339689999995</v>
      </c>
      <c r="S230" s="6">
        <f t="shared" si="43"/>
        <v>-3.1081923499999959</v>
      </c>
      <c r="T230" s="6">
        <f t="shared" si="43"/>
        <v>-3.1210889500000008</v>
      </c>
      <c r="U230" s="6">
        <f t="shared" si="43"/>
        <v>-2.8618034499999965</v>
      </c>
      <c r="V230" s="6">
        <f t="shared" si="43"/>
        <v>-2.407294439999994</v>
      </c>
      <c r="W230" s="6">
        <f t="shared" si="43"/>
        <v>-1.8359781499999954</v>
      </c>
      <c r="X230" s="6">
        <f t="shared" si="43"/>
        <v>-1.2165121800000023</v>
      </c>
      <c r="Y230" s="6">
        <f t="shared" si="43"/>
        <v>-0.60719618000000253</v>
      </c>
      <c r="Z230" s="6">
        <f t="shared" si="43"/>
        <v>-5.4468849999999236E-2</v>
      </c>
      <c r="AA230" s="6">
        <f t="shared" si="43"/>
        <v>0.40756116999999392</v>
      </c>
      <c r="AB230" s="6">
        <f t="shared" si="43"/>
        <v>0.755116969999996</v>
      </c>
      <c r="AC230" s="6">
        <f t="shared" si="43"/>
        <v>0.9787107000000006</v>
      </c>
      <c r="AD230" s="6">
        <f t="shared" si="43"/>
        <v>1.0781039000000021</v>
      </c>
      <c r="AE230" s="6">
        <f t="shared" si="43"/>
        <v>1.062405339999998</v>
      </c>
      <c r="AF230" s="6">
        <f t="shared" si="43"/>
        <v>0.94937724999999773</v>
      </c>
      <c r="AG230" s="6">
        <f t="shared" si="43"/>
        <v>0.7630393600000005</v>
      </c>
      <c r="AH230" s="6">
        <f t="shared" si="43"/>
        <v>0.53104816999999827</v>
      </c>
      <c r="AI230" s="6">
        <f t="shared" si="43"/>
        <v>0.28189875000000342</v>
      </c>
      <c r="AJ230" s="6">
        <f t="shared" si="43"/>
        <v>4.0705120000005479E-2</v>
      </c>
      <c r="AK230" s="6">
        <f t="shared" si="43"/>
        <v>-0.17249080999999933</v>
      </c>
      <c r="AL230" s="6">
        <f t="shared" si="43"/>
        <v>-0.34263313000000295</v>
      </c>
    </row>
    <row r="231" spans="1:38" x14ac:dyDescent="0.3">
      <c r="B231" t="s">
        <v>8</v>
      </c>
      <c r="C231" s="6">
        <f t="shared" ref="C231:AL231" si="44">C213-C222</f>
        <v>0</v>
      </c>
      <c r="D231" s="6">
        <f t="shared" si="44"/>
        <v>0</v>
      </c>
      <c r="E231" s="6">
        <f t="shared" si="44"/>
        <v>0</v>
      </c>
      <c r="F231" s="6">
        <f t="shared" si="44"/>
        <v>0</v>
      </c>
      <c r="G231" s="6">
        <f t="shared" si="44"/>
        <v>0</v>
      </c>
      <c r="H231" s="6">
        <f t="shared" si="44"/>
        <v>0</v>
      </c>
      <c r="I231" s="6">
        <f t="shared" si="44"/>
        <v>0.90305699999998978</v>
      </c>
      <c r="J231" s="6">
        <f t="shared" si="44"/>
        <v>1.045542000000296</v>
      </c>
      <c r="K231" s="6">
        <f t="shared" si="44"/>
        <v>-0.24026100000037331</v>
      </c>
      <c r="L231" s="6">
        <f t="shared" si="44"/>
        <v>-2.8242530000006809</v>
      </c>
      <c r="M231" s="6">
        <f t="shared" si="44"/>
        <v>-6.0831120000002556</v>
      </c>
      <c r="N231" s="6">
        <f t="shared" si="44"/>
        <v>-9.2979170000003251</v>
      </c>
      <c r="O231" s="6">
        <f t="shared" si="44"/>
        <v>-11.886091000000761</v>
      </c>
      <c r="P231" s="6">
        <f t="shared" si="44"/>
        <v>-13.555203999999776</v>
      </c>
      <c r="Q231" s="6">
        <f t="shared" si="44"/>
        <v>-14.305653000000348</v>
      </c>
      <c r="R231" s="6">
        <f t="shared" si="44"/>
        <v>-14.331545000000006</v>
      </c>
      <c r="S231" s="6">
        <f t="shared" si="44"/>
        <v>-13.887919000000238</v>
      </c>
      <c r="T231" s="6">
        <f t="shared" si="44"/>
        <v>-13.186469000000216</v>
      </c>
      <c r="U231" s="6">
        <f t="shared" si="44"/>
        <v>-12.350753999999597</v>
      </c>
      <c r="V231" s="6">
        <f t="shared" si="44"/>
        <v>-11.426054999999451</v>
      </c>
      <c r="W231" s="6">
        <f t="shared" si="44"/>
        <v>-10.407642000000124</v>
      </c>
      <c r="X231" s="6">
        <f t="shared" si="44"/>
        <v>-9.3197100000002138</v>
      </c>
      <c r="Y231" s="6">
        <f t="shared" si="44"/>
        <v>-8.1933000000008178</v>
      </c>
      <c r="Z231" s="6">
        <f t="shared" si="44"/>
        <v>-7.0859159999999974</v>
      </c>
      <c r="AA231" s="6">
        <f t="shared" si="44"/>
        <v>-6.0696460000003754</v>
      </c>
      <c r="AB231" s="6">
        <f t="shared" si="44"/>
        <v>-5.2013769999998658</v>
      </c>
      <c r="AC231" s="6">
        <f t="shared" si="44"/>
        <v>-4.5390199999997094</v>
      </c>
      <c r="AD231" s="6">
        <f t="shared" si="44"/>
        <v>-4.091080000000602</v>
      </c>
      <c r="AE231" s="6">
        <f t="shared" si="44"/>
        <v>-3.8354379999996127</v>
      </c>
      <c r="AF231" s="6">
        <f t="shared" si="44"/>
        <v>-3.7311940000004142</v>
      </c>
      <c r="AG231" s="6">
        <f t="shared" si="44"/>
        <v>-3.7314919999998892</v>
      </c>
      <c r="AH231" s="6">
        <f t="shared" si="44"/>
        <v>-3.7932189999996808</v>
      </c>
      <c r="AI231" s="6">
        <f t="shared" si="44"/>
        <v>-3.8816040000001522</v>
      </c>
      <c r="AJ231" s="6">
        <f t="shared" si="44"/>
        <v>-3.9708340000001954</v>
      </c>
      <c r="AK231" s="6">
        <f t="shared" si="44"/>
        <v>-4.0421390000001338</v>
      </c>
      <c r="AL231" s="6">
        <f t="shared" si="44"/>
        <v>-4.0811100000000806</v>
      </c>
    </row>
    <row r="232" spans="1:38" x14ac:dyDescent="0.3">
      <c r="B232" t="s">
        <v>24</v>
      </c>
      <c r="C232" s="6">
        <f t="shared" ref="C232:AL232" si="45">C214-C223</f>
        <v>0</v>
      </c>
      <c r="D232" s="6">
        <f t="shared" si="45"/>
        <v>0</v>
      </c>
      <c r="E232" s="6">
        <f t="shared" si="45"/>
        <v>0</v>
      </c>
      <c r="F232" s="6">
        <f t="shared" si="45"/>
        <v>0</v>
      </c>
      <c r="G232" s="6">
        <f t="shared" si="45"/>
        <v>0</v>
      </c>
      <c r="H232" s="6">
        <f t="shared" si="45"/>
        <v>0</v>
      </c>
      <c r="I232" s="6">
        <f t="shared" si="45"/>
        <v>0.30161615000000097</v>
      </c>
      <c r="J232" s="6">
        <f t="shared" si="45"/>
        <v>0.50680609999999859</v>
      </c>
      <c r="K232" s="6">
        <f t="shared" si="45"/>
        <v>0.61474756999999869</v>
      </c>
      <c r="L232" s="6">
        <f t="shared" si="45"/>
        <v>0.64946573000000285</v>
      </c>
      <c r="M232" s="6">
        <f t="shared" si="45"/>
        <v>0.62538520999999747</v>
      </c>
      <c r="N232" s="6">
        <f t="shared" si="45"/>
        <v>0.55357012999999711</v>
      </c>
      <c r="O232" s="6">
        <f t="shared" si="45"/>
        <v>0.44945297999999667</v>
      </c>
      <c r="P232" s="6">
        <f t="shared" si="45"/>
        <v>0.33332764000000026</v>
      </c>
      <c r="Q232" s="6">
        <f t="shared" si="45"/>
        <v>0.22571108999999723</v>
      </c>
      <c r="R232" s="6">
        <f t="shared" si="45"/>
        <v>0.14143133999999691</v>
      </c>
      <c r="S232" s="6">
        <f t="shared" si="45"/>
        <v>8.7887909999999181E-2</v>
      </c>
      <c r="T232" s="6">
        <f t="shared" si="45"/>
        <v>6.5386209999999778E-2</v>
      </c>
      <c r="U232" s="6">
        <f t="shared" si="45"/>
        <v>6.91524699999988E-2</v>
      </c>
      <c r="V232" s="6">
        <f t="shared" si="45"/>
        <v>9.2102279999998871E-2</v>
      </c>
      <c r="W232" s="6">
        <f t="shared" si="45"/>
        <v>0.12697488999999962</v>
      </c>
      <c r="X232" s="6">
        <f t="shared" si="45"/>
        <v>0.16941156000000035</v>
      </c>
      <c r="Y232" s="6">
        <f t="shared" si="45"/>
        <v>0.21603739000000388</v>
      </c>
      <c r="Z232" s="6">
        <f t="shared" si="45"/>
        <v>0.26463196000000266</v>
      </c>
      <c r="AA232" s="6">
        <f t="shared" si="45"/>
        <v>0.31357510000000133</v>
      </c>
      <c r="AB232" s="6">
        <f t="shared" si="45"/>
        <v>0.36068412000000194</v>
      </c>
      <c r="AC232" s="6">
        <f t="shared" si="45"/>
        <v>0.40500723000000249</v>
      </c>
      <c r="AD232" s="6">
        <f t="shared" si="45"/>
        <v>0.44488407000000052</v>
      </c>
      <c r="AE232" s="6">
        <f t="shared" si="45"/>
        <v>0.47897490999999803</v>
      </c>
      <c r="AF232" s="6">
        <f t="shared" si="45"/>
        <v>0.50678625999999838</v>
      </c>
      <c r="AG232" s="6">
        <f t="shared" si="45"/>
        <v>0.52877531000000033</v>
      </c>
      <c r="AH232" s="6">
        <f t="shared" si="45"/>
        <v>0.54619874000000124</v>
      </c>
      <c r="AI232" s="6">
        <f t="shared" si="45"/>
        <v>0.56080492000000248</v>
      </c>
      <c r="AJ232" s="6">
        <f t="shared" si="45"/>
        <v>0.57436067999999807</v>
      </c>
      <c r="AK232" s="6">
        <f t="shared" si="45"/>
        <v>0.58838662000000141</v>
      </c>
      <c r="AL232" s="6">
        <f t="shared" si="45"/>
        <v>0.6040981599999995</v>
      </c>
    </row>
    <row r="233" spans="1:38" x14ac:dyDescent="0.3">
      <c r="B233" t="s">
        <v>10</v>
      </c>
      <c r="C233" s="6">
        <f t="shared" ref="C233:AL233" si="46">C215-C224</f>
        <v>0</v>
      </c>
      <c r="D233" s="6">
        <f t="shared" si="46"/>
        <v>0</v>
      </c>
      <c r="E233" s="6">
        <f t="shared" si="46"/>
        <v>0</v>
      </c>
      <c r="F233" s="6">
        <f t="shared" si="46"/>
        <v>0</v>
      </c>
      <c r="G233" s="6">
        <f t="shared" si="46"/>
        <v>0</v>
      </c>
      <c r="H233" s="6">
        <f t="shared" si="46"/>
        <v>0</v>
      </c>
      <c r="I233" s="6">
        <f t="shared" si="46"/>
        <v>15.427700000000186</v>
      </c>
      <c r="J233" s="6">
        <f t="shared" si="46"/>
        <v>23.211590000002616</v>
      </c>
      <c r="K233" s="6">
        <f t="shared" si="46"/>
        <v>19.454860000001645</v>
      </c>
      <c r="L233" s="6">
        <f t="shared" si="46"/>
        <v>6.5077499999970314</v>
      </c>
      <c r="M233" s="6">
        <f t="shared" si="46"/>
        <v>-10.831170000001293</v>
      </c>
      <c r="N233" s="6">
        <f t="shared" si="46"/>
        <v>-27.854550000000017</v>
      </c>
      <c r="O233" s="6">
        <f t="shared" si="46"/>
        <v>-41.207080000000133</v>
      </c>
      <c r="P233" s="6">
        <f t="shared" si="46"/>
        <v>-49.554939999998169</v>
      </c>
      <c r="Q233" s="6">
        <f t="shared" si="46"/>
        <v>-53.311290000001463</v>
      </c>
      <c r="R233" s="6">
        <f t="shared" si="46"/>
        <v>-53.848799999999756</v>
      </c>
      <c r="S233" s="6">
        <f t="shared" si="46"/>
        <v>-52.685870000001159</v>
      </c>
      <c r="T233" s="6">
        <f t="shared" si="46"/>
        <v>-50.915070000002743</v>
      </c>
      <c r="U233" s="6">
        <f t="shared" si="46"/>
        <v>-49.021919999999227</v>
      </c>
      <c r="V233" s="6">
        <f t="shared" si="46"/>
        <v>-47.023450000000594</v>
      </c>
      <c r="W233" s="6">
        <f t="shared" si="46"/>
        <v>-44.71219000000201</v>
      </c>
      <c r="X233" s="6">
        <f t="shared" si="46"/>
        <v>-42.04797999999937</v>
      </c>
      <c r="Y233" s="6">
        <f t="shared" si="46"/>
        <v>-39.11877000000095</v>
      </c>
      <c r="Z233" s="6">
        <f t="shared" si="46"/>
        <v>-36.189710000002378</v>
      </c>
      <c r="AA233" s="6">
        <f t="shared" si="46"/>
        <v>-33.602359999997134</v>
      </c>
      <c r="AB233" s="6">
        <f t="shared" si="46"/>
        <v>-31.629059999999299</v>
      </c>
      <c r="AC233" s="6">
        <f t="shared" si="46"/>
        <v>-30.468629999999393</v>
      </c>
      <c r="AD233" s="6">
        <f t="shared" si="46"/>
        <v>-30.13445000000138</v>
      </c>
      <c r="AE233" s="6">
        <f t="shared" si="46"/>
        <v>-30.499690000000555</v>
      </c>
      <c r="AF233" s="6">
        <f t="shared" si="46"/>
        <v>-31.368129999998928</v>
      </c>
      <c r="AG233" s="6">
        <f t="shared" si="46"/>
        <v>-32.544549999998708</v>
      </c>
      <c r="AH233" s="6">
        <f t="shared" si="46"/>
        <v>-33.879550000001473</v>
      </c>
      <c r="AI233" s="6">
        <f t="shared" si="46"/>
        <v>-35.281069999997271</v>
      </c>
      <c r="AJ233" s="6">
        <f t="shared" si="46"/>
        <v>-36.700410000001284</v>
      </c>
      <c r="AK233" s="6">
        <f t="shared" si="46"/>
        <v>-38.110949999998411</v>
      </c>
      <c r="AL233" s="6">
        <f t="shared" si="46"/>
        <v>-39.490590000001248</v>
      </c>
    </row>
    <row r="234" spans="1:38" x14ac:dyDescent="0.3">
      <c r="B234" t="s">
        <v>23</v>
      </c>
      <c r="C234" s="6">
        <f t="shared" ref="C234:AL234" si="47">C216-C225</f>
        <v>0</v>
      </c>
      <c r="D234" s="6">
        <f t="shared" si="47"/>
        <v>0</v>
      </c>
      <c r="E234" s="6">
        <f t="shared" si="47"/>
        <v>0</v>
      </c>
      <c r="F234" s="6">
        <f t="shared" si="47"/>
        <v>0</v>
      </c>
      <c r="G234" s="6">
        <f t="shared" si="47"/>
        <v>0</v>
      </c>
      <c r="H234" s="6">
        <f t="shared" si="47"/>
        <v>0</v>
      </c>
      <c r="I234" s="6">
        <f t="shared" si="47"/>
        <v>0.33220860000005814</v>
      </c>
      <c r="J234" s="6">
        <f t="shared" si="47"/>
        <v>0.44904189999999744</v>
      </c>
      <c r="K234" s="6">
        <f t="shared" si="47"/>
        <v>0.13680829999998423</v>
      </c>
      <c r="L234" s="6">
        <f t="shared" si="47"/>
        <v>-0.57178199999998469</v>
      </c>
      <c r="M234" s="6">
        <f t="shared" si="47"/>
        <v>-1.499221700000021</v>
      </c>
      <c r="N234" s="6">
        <f t="shared" si="47"/>
        <v>-2.4335604999999987</v>
      </c>
      <c r="O234" s="6">
        <f t="shared" si="47"/>
        <v>-3.2026253000000224</v>
      </c>
      <c r="P234" s="6">
        <f t="shared" si="47"/>
        <v>-3.7161797999999635</v>
      </c>
      <c r="Q234" s="6">
        <f t="shared" si="47"/>
        <v>-3.9685541000000057</v>
      </c>
      <c r="R234" s="6">
        <f t="shared" si="47"/>
        <v>-4.0115436999999474</v>
      </c>
      <c r="S234" s="6">
        <f t="shared" si="47"/>
        <v>-3.9171367000000146</v>
      </c>
      <c r="T234" s="6">
        <f t="shared" si="47"/>
        <v>-3.7471110000000181</v>
      </c>
      <c r="U234" s="6">
        <f t="shared" si="47"/>
        <v>-3.5389255999999705</v>
      </c>
      <c r="V234" s="6">
        <f t="shared" si="47"/>
        <v>-3.307350999999926</v>
      </c>
      <c r="W234" s="6">
        <f t="shared" si="47"/>
        <v>-3.0530349999999089</v>
      </c>
      <c r="X234" s="6">
        <f t="shared" si="47"/>
        <v>-2.7806888000000072</v>
      </c>
      <c r="Y234" s="6">
        <f t="shared" si="47"/>
        <v>-2.4990495999999212</v>
      </c>
      <c r="Z234" s="6">
        <f t="shared" si="47"/>
        <v>-2.2237275999999611</v>
      </c>
      <c r="AA234" s="6">
        <f t="shared" si="47"/>
        <v>-1.9739137999999912</v>
      </c>
      <c r="AB234" s="6">
        <f t="shared" si="47"/>
        <v>-1.7653495000000703</v>
      </c>
      <c r="AC234" s="6">
        <f t="shared" si="47"/>
        <v>-1.6112645000000612</v>
      </c>
      <c r="AD234" s="6">
        <f t="shared" si="47"/>
        <v>-1.5138948000000028</v>
      </c>
      <c r="AE234" s="6">
        <f t="shared" si="47"/>
        <v>-1.4669872999999143</v>
      </c>
      <c r="AF234" s="6">
        <f t="shared" si="47"/>
        <v>-1.4591265000000249</v>
      </c>
      <c r="AG234" s="6">
        <f t="shared" si="47"/>
        <v>-1.4774684000000207</v>
      </c>
      <c r="AH234" s="6">
        <f t="shared" si="47"/>
        <v>-1.5105082000000039</v>
      </c>
      <c r="AI234" s="6">
        <f t="shared" si="47"/>
        <v>-1.5493390999999974</v>
      </c>
      <c r="AJ234" s="6">
        <f t="shared" si="47"/>
        <v>-1.5876772999999957</v>
      </c>
      <c r="AK234" s="6">
        <f t="shared" si="47"/>
        <v>-1.6212196000000176</v>
      </c>
      <c r="AL234" s="6">
        <f t="shared" si="47"/>
        <v>-1.6468624000000318</v>
      </c>
    </row>
    <row r="236" spans="1:3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</row>
    <row r="237" spans="1:38" x14ac:dyDescent="0.3">
      <c r="A237" t="s">
        <v>61</v>
      </c>
      <c r="B237" t="s">
        <v>22</v>
      </c>
      <c r="C237" s="6">
        <f>R227</f>
        <v>-78.941910000001371</v>
      </c>
      <c r="D237" s="6">
        <f>AB227</f>
        <v>-33.423810000000231</v>
      </c>
      <c r="E237" s="6">
        <f>AL227</f>
        <v>-44.153350000000501</v>
      </c>
    </row>
    <row r="238" spans="1:38" x14ac:dyDescent="0.3">
      <c r="B238" t="s">
        <v>7</v>
      </c>
      <c r="C238" s="6">
        <f t="shared" ref="C238:C244" si="48">R228</f>
        <v>0.41113389999998162</v>
      </c>
      <c r="D238" s="6">
        <f t="shared" ref="D238:D244" si="49">AB228</f>
        <v>-0.78550559999996494</v>
      </c>
      <c r="E238" s="6">
        <f t="shared" ref="E238:E244" si="50">AL228</f>
        <v>0.15425980000009076</v>
      </c>
    </row>
    <row r="239" spans="1:38" x14ac:dyDescent="0.3">
      <c r="B239" t="s">
        <v>96</v>
      </c>
      <c r="C239" s="6">
        <f t="shared" si="48"/>
        <v>-4.5422430000000986</v>
      </c>
      <c r="D239" s="6">
        <f t="shared" si="49"/>
        <v>4.8416879999999765</v>
      </c>
      <c r="E239" s="6">
        <f t="shared" si="50"/>
        <v>0.64949299999989307</v>
      </c>
    </row>
    <row r="240" spans="1:38" x14ac:dyDescent="0.3">
      <c r="B240" t="s">
        <v>11</v>
      </c>
      <c r="C240" s="6">
        <f t="shared" si="48"/>
        <v>-2.760339689999995</v>
      </c>
      <c r="D240" s="6">
        <f t="shared" si="49"/>
        <v>0.755116969999996</v>
      </c>
      <c r="E240" s="6">
        <f t="shared" si="50"/>
        <v>-0.34263313000000295</v>
      </c>
    </row>
    <row r="241" spans="1:38" x14ac:dyDescent="0.3">
      <c r="B241" t="s">
        <v>8</v>
      </c>
      <c r="C241" s="6">
        <f t="shared" si="48"/>
        <v>-14.331545000000006</v>
      </c>
      <c r="D241" s="6">
        <f t="shared" si="49"/>
        <v>-5.2013769999998658</v>
      </c>
      <c r="E241" s="6">
        <f t="shared" si="50"/>
        <v>-4.0811100000000806</v>
      </c>
    </row>
    <row r="242" spans="1:38" x14ac:dyDescent="0.3">
      <c r="B242" t="s">
        <v>24</v>
      </c>
      <c r="C242" s="6">
        <f t="shared" si="48"/>
        <v>0.14143133999999691</v>
      </c>
      <c r="D242" s="6">
        <f t="shared" si="49"/>
        <v>0.36068412000000194</v>
      </c>
      <c r="E242" s="6">
        <f t="shared" si="50"/>
        <v>0.6040981599999995</v>
      </c>
    </row>
    <row r="243" spans="1:38" x14ac:dyDescent="0.3">
      <c r="B243" t="s">
        <v>10</v>
      </c>
      <c r="C243" s="6">
        <f t="shared" si="48"/>
        <v>-53.848799999999756</v>
      </c>
      <c r="D243" s="6">
        <f t="shared" si="49"/>
        <v>-31.629059999999299</v>
      </c>
      <c r="E243" s="6">
        <f t="shared" si="50"/>
        <v>-39.490590000001248</v>
      </c>
    </row>
    <row r="244" spans="1:38" x14ac:dyDescent="0.3">
      <c r="B244" t="s">
        <v>23</v>
      </c>
      <c r="C244" s="6">
        <f t="shared" si="48"/>
        <v>-4.0115436999999474</v>
      </c>
      <c r="D244" s="6">
        <f t="shared" si="49"/>
        <v>-1.7653495000000703</v>
      </c>
      <c r="E244" s="6">
        <f t="shared" si="50"/>
        <v>-1.6468624000000318</v>
      </c>
    </row>
    <row r="246" spans="1:38" x14ac:dyDescent="0.3">
      <c r="A246" s="12" t="s">
        <v>31</v>
      </c>
      <c r="B246" t="s">
        <v>21</v>
      </c>
      <c r="C246" s="6">
        <f t="shared" ref="C246:AL246" si="51">C247+C248+C250+C249</f>
        <v>76.647508768999998</v>
      </c>
      <c r="D246" s="6">
        <f t="shared" si="51"/>
        <v>77.187125662</v>
      </c>
      <c r="E246" s="6">
        <f t="shared" si="51"/>
        <v>77.914607666999999</v>
      </c>
      <c r="F246" s="6">
        <f t="shared" si="51"/>
        <v>78.881330837999997</v>
      </c>
      <c r="G246" s="6">
        <f t="shared" si="51"/>
        <v>80.120409167000005</v>
      </c>
      <c r="H246" s="6">
        <f t="shared" si="51"/>
        <v>81.658791679000004</v>
      </c>
      <c r="I246" s="6">
        <f t="shared" si="51"/>
        <v>83.497694426999999</v>
      </c>
      <c r="J246" s="6">
        <f t="shared" si="51"/>
        <v>85.340986632000011</v>
      </c>
      <c r="K246" s="6">
        <f t="shared" si="51"/>
        <v>87.094047292999988</v>
      </c>
      <c r="L246" s="6">
        <f t="shared" si="51"/>
        <v>88.656806144000001</v>
      </c>
      <c r="M246" s="6">
        <f t="shared" si="51"/>
        <v>90.100179294</v>
      </c>
      <c r="N246" s="6">
        <f t="shared" si="51"/>
        <v>91.247708835999987</v>
      </c>
      <c r="O246" s="6">
        <f t="shared" si="51"/>
        <v>92.307821547999993</v>
      </c>
      <c r="P246" s="6">
        <f t="shared" si="51"/>
        <v>93.398824141000006</v>
      </c>
      <c r="Q246" s="6">
        <f t="shared" si="51"/>
        <v>94.587192932000008</v>
      </c>
      <c r="R246" s="6">
        <f t="shared" si="51"/>
        <v>95.901973951999992</v>
      </c>
      <c r="S246" s="6">
        <f t="shared" si="51"/>
        <v>97.344609593000001</v>
      </c>
      <c r="T246" s="6">
        <f t="shared" si="51"/>
        <v>98.901144697999996</v>
      </c>
      <c r="U246" s="6">
        <f t="shared" si="51"/>
        <v>100.55348286500001</v>
      </c>
      <c r="V246" s="6">
        <f t="shared" si="51"/>
        <v>102.286461757</v>
      </c>
      <c r="W246" s="6">
        <f t="shared" si="51"/>
        <v>103.99512038</v>
      </c>
      <c r="X246" s="6">
        <f t="shared" si="51"/>
        <v>105.84726319000001</v>
      </c>
      <c r="Y246" s="6">
        <f t="shared" si="51"/>
        <v>107.758359625</v>
      </c>
      <c r="Z246" s="6">
        <f t="shared" si="51"/>
        <v>109.70290652</v>
      </c>
      <c r="AA246" s="6">
        <f t="shared" si="51"/>
        <v>111.67568617699999</v>
      </c>
      <c r="AB246" s="6">
        <f t="shared" si="51"/>
        <v>113.366282947</v>
      </c>
      <c r="AC246" s="6">
        <f t="shared" si="51"/>
        <v>115.21510130000001</v>
      </c>
      <c r="AD246" s="6">
        <f t="shared" si="51"/>
        <v>117.043741344</v>
      </c>
      <c r="AE246" s="6">
        <f t="shared" si="51"/>
        <v>118.799392934</v>
      </c>
      <c r="AF246" s="6">
        <f t="shared" si="51"/>
        <v>120.49117844200001</v>
      </c>
      <c r="AG246" s="6">
        <f t="shared" si="51"/>
        <v>122.149285959</v>
      </c>
      <c r="AH246" s="6">
        <f t="shared" si="51"/>
        <v>123.805674299</v>
      </c>
      <c r="AI246" s="6">
        <f t="shared" si="51"/>
        <v>125.48392238700001</v>
      </c>
      <c r="AJ246" s="6">
        <f t="shared" si="51"/>
        <v>127.195868778</v>
      </c>
      <c r="AK246" s="6">
        <f t="shared" si="51"/>
        <v>128.94363025299998</v>
      </c>
      <c r="AL246" s="6">
        <f t="shared" si="51"/>
        <v>130.72438578700002</v>
      </c>
    </row>
    <row r="247" spans="1:38" x14ac:dyDescent="0.3">
      <c r="A247" t="s">
        <v>27</v>
      </c>
      <c r="B247" t="s">
        <v>7</v>
      </c>
      <c r="C247" s="6">
        <f>[1]Results!F378</f>
        <v>4.903545265</v>
      </c>
      <c r="D247" s="6">
        <f>[1]Results!G378</f>
        <v>4.8356304459999997</v>
      </c>
      <c r="E247" s="6">
        <f>[1]Results!H378</f>
        <v>4.7655166830000004</v>
      </c>
      <c r="F247" s="6">
        <f>[1]Results!I378</f>
        <v>4.7227296900000004</v>
      </c>
      <c r="G247" s="6">
        <f>[1]Results!J378</f>
        <v>4.7167106070000004</v>
      </c>
      <c r="H247" s="6">
        <f>[1]Results!K378</f>
        <v>4.7469087679999999</v>
      </c>
      <c r="I247" s="6">
        <f>[1]Results!L378</f>
        <v>4.8068128410000002</v>
      </c>
      <c r="J247" s="6">
        <f>[1]Results!M378</f>
        <v>4.8891052000000004</v>
      </c>
      <c r="K247" s="6">
        <f>[1]Results!N378</f>
        <v>4.9794592480000004</v>
      </c>
      <c r="L247" s="6">
        <f>[1]Results!O378</f>
        <v>5.0627729129999999</v>
      </c>
      <c r="M247" s="6">
        <f>[1]Results!P378</f>
        <v>5.1319064540000001</v>
      </c>
      <c r="N247" s="6">
        <f>[1]Results!Q378</f>
        <v>5.1804916130000001</v>
      </c>
      <c r="O247" s="6">
        <f>[1]Results!R378</f>
        <v>5.2138129199999996</v>
      </c>
      <c r="P247" s="6">
        <f>[1]Results!S378</f>
        <v>5.2378387540000002</v>
      </c>
      <c r="Q247" s="6">
        <f>[1]Results!T378</f>
        <v>5.2573683019999997</v>
      </c>
      <c r="R247" s="6">
        <f>[1]Results!U378</f>
        <v>5.2751640120000003</v>
      </c>
      <c r="S247" s="6">
        <f>[1]Results!V378</f>
        <v>5.2922008729999996</v>
      </c>
      <c r="T247" s="6">
        <f>[1]Results!W378</f>
        <v>5.3084984879999997</v>
      </c>
      <c r="U247" s="6">
        <f>[1]Results!X378</f>
        <v>5.3239700149999996</v>
      </c>
      <c r="V247" s="6">
        <f>[1]Results!Y378</f>
        <v>5.3389235570000002</v>
      </c>
      <c r="W247" s="6">
        <f>[1]Results!Z378</f>
        <v>5.3515604100000003</v>
      </c>
      <c r="X247" s="6">
        <f>[1]Results!AA378</f>
        <v>5.3663742599999997</v>
      </c>
      <c r="Y247" s="6">
        <f>[1]Results!AB378</f>
        <v>5.3828760149999999</v>
      </c>
      <c r="Z247" s="6">
        <f>[1]Results!AC378</f>
        <v>5.4015759299999999</v>
      </c>
      <c r="AA247" s="6">
        <f>[1]Results!AD378</f>
        <v>5.4228943569999997</v>
      </c>
      <c r="AB247" s="6">
        <f>[1]Results!AE378</f>
        <v>5.4389447669999997</v>
      </c>
      <c r="AC247" s="6">
        <f>[1]Results!AF378</f>
        <v>5.4565917500000003</v>
      </c>
      <c r="AD247" s="6">
        <f>[1]Results!AG378</f>
        <v>5.4724909740000003</v>
      </c>
      <c r="AE247" s="6">
        <f>[1]Results!AH378</f>
        <v>5.485582784</v>
      </c>
      <c r="AF247" s="6">
        <f>[1]Results!AI378</f>
        <v>5.4963657619999999</v>
      </c>
      <c r="AG247" s="6">
        <f>[1]Results!AJ378</f>
        <v>5.5061492589999999</v>
      </c>
      <c r="AH247" s="6">
        <f>[1]Results!AK378</f>
        <v>5.5162728489999999</v>
      </c>
      <c r="AI247" s="6">
        <f>[1]Results!AL378</f>
        <v>5.5275679569999996</v>
      </c>
      <c r="AJ247" s="6">
        <f>[1]Results!AM378</f>
        <v>5.5401937380000001</v>
      </c>
      <c r="AK247" s="6">
        <f>[1]Results!AN378</f>
        <v>5.553792123</v>
      </c>
      <c r="AL247" s="6">
        <f>[1]Results!AO378</f>
        <v>5.5678029870000003</v>
      </c>
    </row>
    <row r="248" spans="1:38" x14ac:dyDescent="0.3">
      <c r="B248" t="s">
        <v>8</v>
      </c>
      <c r="C248" s="6">
        <f>[1]Results!F390</f>
        <v>33.672824820000002</v>
      </c>
      <c r="D248" s="6">
        <f>[1]Results!G390</f>
        <v>34.409004109999998</v>
      </c>
      <c r="E248" s="6">
        <f>[1]Results!H390</f>
        <v>35.240422219999999</v>
      </c>
      <c r="F248" s="6">
        <f>[1]Results!I390</f>
        <v>36.019655710000002</v>
      </c>
      <c r="G248" s="6">
        <f>[1]Results!J390</f>
        <v>36.758291980000003</v>
      </c>
      <c r="H248" s="6">
        <f>[1]Results!K390</f>
        <v>37.498645860000003</v>
      </c>
      <c r="I248" s="6">
        <f>[1]Results!L390</f>
        <v>38.208713320000001</v>
      </c>
      <c r="J248" s="6">
        <f>[1]Results!M390</f>
        <v>38.865094939999999</v>
      </c>
      <c r="K248" s="6">
        <f>[1]Results!N390</f>
        <v>39.46568654</v>
      </c>
      <c r="L248" s="6">
        <f>[1]Results!O390</f>
        <v>40.005834040000003</v>
      </c>
      <c r="M248" s="6">
        <f>[1]Results!P390</f>
        <v>40.661348969999999</v>
      </c>
      <c r="N248" s="6">
        <f>[1]Results!Q390</f>
        <v>41.086348719999997</v>
      </c>
      <c r="O248" s="6">
        <f>[1]Results!R390</f>
        <v>41.515638590000002</v>
      </c>
      <c r="P248" s="6">
        <f>[1]Results!S390</f>
        <v>41.985236110000002</v>
      </c>
      <c r="Q248" s="6">
        <f>[1]Results!T390</f>
        <v>42.495763420000003</v>
      </c>
      <c r="R248" s="6">
        <f>[1]Results!U390</f>
        <v>43.044133430000002</v>
      </c>
      <c r="S248" s="6">
        <f>[1]Results!V390</f>
        <v>43.62782232</v>
      </c>
      <c r="T248" s="6">
        <f>[1]Results!W390</f>
        <v>44.245230249999999</v>
      </c>
      <c r="U248" s="6">
        <f>[1]Results!X390</f>
        <v>44.89537953</v>
      </c>
      <c r="V248" s="6">
        <f>[1]Results!Y390</f>
        <v>45.577257609999997</v>
      </c>
      <c r="W248" s="6">
        <f>[1]Results!Z390</f>
        <v>46.168383570000003</v>
      </c>
      <c r="X248" s="6">
        <f>[1]Results!AA390</f>
        <v>46.92997381</v>
      </c>
      <c r="Y248" s="6">
        <f>[1]Results!AB390</f>
        <v>47.71637157</v>
      </c>
      <c r="Z248" s="6">
        <f>[1]Results!AC390</f>
        <v>48.50511049</v>
      </c>
      <c r="AA248" s="6">
        <f>[1]Results!AD390</f>
        <v>49.296244289999997</v>
      </c>
      <c r="AB248" s="6">
        <f>[1]Results!AE390</f>
        <v>49.729549820000003</v>
      </c>
      <c r="AC248" s="6">
        <f>[1]Results!AF390</f>
        <v>50.444542290000001</v>
      </c>
      <c r="AD248" s="6">
        <f>[1]Results!AG390</f>
        <v>51.188542429999998</v>
      </c>
      <c r="AE248" s="6">
        <f>[1]Results!AH390</f>
        <v>51.914997419999999</v>
      </c>
      <c r="AF248" s="6">
        <f>[1]Results!AI390</f>
        <v>52.626036280000001</v>
      </c>
      <c r="AG248" s="6">
        <f>[1]Results!AJ390</f>
        <v>53.330430749999998</v>
      </c>
      <c r="AH248" s="6">
        <f>[1]Results!AK390</f>
        <v>54.035288110000003</v>
      </c>
      <c r="AI248" s="6">
        <f>[1]Results!AL390</f>
        <v>54.745132009999999</v>
      </c>
      <c r="AJ248" s="6">
        <f>[1]Results!AM390</f>
        <v>55.462509179999998</v>
      </c>
      <c r="AK248" s="6">
        <f>[1]Results!AN390</f>
        <v>56.188900029999999</v>
      </c>
      <c r="AL248" s="6">
        <f>[1]Results!AO390</f>
        <v>56.92542916</v>
      </c>
    </row>
    <row r="249" spans="1:38" x14ac:dyDescent="0.3">
      <c r="B249" t="s">
        <v>10</v>
      </c>
      <c r="C249" s="6">
        <f>[1]Results!F402</f>
        <v>29.514292040000001</v>
      </c>
      <c r="D249" s="6">
        <f>[1]Results!G402</f>
        <v>29.367662729999999</v>
      </c>
      <c r="E249" s="6">
        <f>[1]Results!H402</f>
        <v>29.295993030000002</v>
      </c>
      <c r="F249" s="6">
        <f>[1]Results!I402</f>
        <v>29.45860463</v>
      </c>
      <c r="G249" s="6">
        <f>[1]Results!J402</f>
        <v>29.87498356</v>
      </c>
      <c r="H249" s="6">
        <f>[1]Results!K402</f>
        <v>30.536647859999999</v>
      </c>
      <c r="I249" s="6">
        <f>[1]Results!L402</f>
        <v>31.48489962</v>
      </c>
      <c r="J249" s="6">
        <f>[1]Results!M402</f>
        <v>32.47003668</v>
      </c>
      <c r="K249" s="6">
        <f>[1]Results!N402</f>
        <v>33.415118219999997</v>
      </c>
      <c r="L249" s="6">
        <f>[1]Results!O402</f>
        <v>34.237951520000003</v>
      </c>
      <c r="M249" s="6">
        <f>[1]Results!P402</f>
        <v>34.834559540000001</v>
      </c>
      <c r="N249" s="6">
        <f>[1]Results!Q402</f>
        <v>35.38025004</v>
      </c>
      <c r="O249" s="6">
        <f>[1]Results!R402</f>
        <v>35.845911979999997</v>
      </c>
      <c r="P249" s="6">
        <f>[1]Results!S402</f>
        <v>36.308330570000003</v>
      </c>
      <c r="Q249" s="6">
        <f>[1]Results!T402</f>
        <v>36.829102470000002</v>
      </c>
      <c r="R249" s="6">
        <f>[1]Results!U402</f>
        <v>37.438143859999997</v>
      </c>
      <c r="S249" s="6">
        <f>[1]Results!V402</f>
        <v>38.138665080000003</v>
      </c>
      <c r="T249" s="6">
        <f>[1]Results!W402</f>
        <v>38.918092420000001</v>
      </c>
      <c r="U249" s="6">
        <f>[1]Results!X402</f>
        <v>39.758918489999999</v>
      </c>
      <c r="V249" s="6">
        <f>[1]Results!Y402</f>
        <v>40.646168400000001</v>
      </c>
      <c r="W249" s="6">
        <f>[1]Results!Z402</f>
        <v>41.60232508</v>
      </c>
      <c r="X249" s="6">
        <f>[1]Results!AA402</f>
        <v>42.526484570000001</v>
      </c>
      <c r="Y249" s="6">
        <f>[1]Results!AB402</f>
        <v>43.478239090000002</v>
      </c>
      <c r="Z249" s="6">
        <f>[1]Results!AC402</f>
        <v>44.454510890000002</v>
      </c>
      <c r="AA249" s="6">
        <f>[1]Results!AD402</f>
        <v>45.450418999999997</v>
      </c>
      <c r="AB249" s="6">
        <f>[1]Results!AE402</f>
        <v>46.536277509999998</v>
      </c>
      <c r="AC249" s="6">
        <f>[1]Results!AF402</f>
        <v>47.499099370000003</v>
      </c>
      <c r="AD249" s="6">
        <f>[1]Results!AG402</f>
        <v>48.413303020000001</v>
      </c>
      <c r="AE249" s="6">
        <f>[1]Results!AH402</f>
        <v>49.272768370000001</v>
      </c>
      <c r="AF249" s="6">
        <f>[1]Results!AI402</f>
        <v>50.083553569999999</v>
      </c>
      <c r="AG249" s="6">
        <f>[1]Results!AJ402</f>
        <v>50.865608270000003</v>
      </c>
      <c r="AH249" s="6">
        <f>[1]Results!AK402</f>
        <v>51.642506699999998</v>
      </c>
      <c r="AI249" s="6">
        <f>[1]Results!AL402</f>
        <v>52.432622000000002</v>
      </c>
      <c r="AJ249" s="6">
        <f>[1]Results!AM402</f>
        <v>53.24518973</v>
      </c>
      <c r="AK249" s="6">
        <f>[1]Results!AN402</f>
        <v>54.081188539999999</v>
      </c>
      <c r="AL249" s="6">
        <f>[1]Results!AO402</f>
        <v>54.937104779999999</v>
      </c>
    </row>
    <row r="250" spans="1:38" x14ac:dyDescent="0.3">
      <c r="B250" t="s">
        <v>23</v>
      </c>
      <c r="C250" s="6">
        <f>[1]Results!F366</f>
        <v>8.5568466440000002</v>
      </c>
      <c r="D250" s="6">
        <f>[1]Results!G366</f>
        <v>8.5748283759999993</v>
      </c>
      <c r="E250" s="6">
        <f>[1]Results!H366</f>
        <v>8.6126757339999997</v>
      </c>
      <c r="F250" s="6">
        <f>[1]Results!I366</f>
        <v>8.6803408080000004</v>
      </c>
      <c r="G250" s="6">
        <f>[1]Results!J366</f>
        <v>8.7704230200000008</v>
      </c>
      <c r="H250" s="6">
        <f>[1]Results!K366</f>
        <v>8.8765891910000008</v>
      </c>
      <c r="I250" s="6">
        <f>[1]Results!L366</f>
        <v>8.9972686460000002</v>
      </c>
      <c r="J250" s="6">
        <f>[1]Results!M366</f>
        <v>9.1167498120000001</v>
      </c>
      <c r="K250" s="6">
        <f>[1]Results!N366</f>
        <v>9.2337832849999995</v>
      </c>
      <c r="L250" s="6">
        <f>[1]Results!O366</f>
        <v>9.350247671</v>
      </c>
      <c r="M250" s="6">
        <f>[1]Results!P366</f>
        <v>9.4723643299999996</v>
      </c>
      <c r="N250" s="6">
        <f>[1]Results!Q366</f>
        <v>9.600618463</v>
      </c>
      <c r="O250" s="6">
        <f>[1]Results!R366</f>
        <v>9.7324580580000006</v>
      </c>
      <c r="P250" s="6">
        <f>[1]Results!S366</f>
        <v>9.8674187070000006</v>
      </c>
      <c r="Q250" s="6">
        <f>[1]Results!T366</f>
        <v>10.004958739999999</v>
      </c>
      <c r="R250" s="6">
        <f>[1]Results!U366</f>
        <v>10.14453265</v>
      </c>
      <c r="S250" s="6">
        <f>[1]Results!V366</f>
        <v>10.28592132</v>
      </c>
      <c r="T250" s="6">
        <f>[1]Results!W366</f>
        <v>10.42932354</v>
      </c>
      <c r="U250" s="6">
        <f>[1]Results!X366</f>
        <v>10.57521483</v>
      </c>
      <c r="V250" s="6">
        <f>[1]Results!Y366</f>
        <v>10.72411219</v>
      </c>
      <c r="W250" s="6">
        <f>[1]Results!Z366</f>
        <v>10.872851320000001</v>
      </c>
      <c r="X250" s="6">
        <f>[1]Results!AA366</f>
        <v>11.02443055</v>
      </c>
      <c r="Y250" s="6">
        <f>[1]Results!AB366</f>
        <v>11.180872949999999</v>
      </c>
      <c r="Z250" s="6">
        <f>[1]Results!AC366</f>
        <v>11.341709209999999</v>
      </c>
      <c r="AA250" s="6">
        <f>[1]Results!AD366</f>
        <v>11.50612853</v>
      </c>
      <c r="AB250" s="6">
        <f>[1]Results!AE366</f>
        <v>11.661510850000001</v>
      </c>
      <c r="AC250" s="6">
        <f>[1]Results!AF366</f>
        <v>11.81486789</v>
      </c>
      <c r="AD250" s="6">
        <f>[1]Results!AG366</f>
        <v>11.969404920000001</v>
      </c>
      <c r="AE250" s="6">
        <f>[1]Results!AH366</f>
        <v>12.12604436</v>
      </c>
      <c r="AF250" s="6">
        <f>[1]Results!AI366</f>
        <v>12.28522283</v>
      </c>
      <c r="AG250" s="6">
        <f>[1]Results!AJ366</f>
        <v>12.447097680000001</v>
      </c>
      <c r="AH250" s="6">
        <f>[1]Results!AK366</f>
        <v>12.61160664</v>
      </c>
      <c r="AI250" s="6">
        <f>[1]Results!AL366</f>
        <v>12.77860042</v>
      </c>
      <c r="AJ250" s="6">
        <f>[1]Results!AM366</f>
        <v>12.947976130000001</v>
      </c>
      <c r="AK250" s="6">
        <f>[1]Results!AN366</f>
        <v>13.119749560000001</v>
      </c>
      <c r="AL250" s="6">
        <f>[1]Results!AO366</f>
        <v>13.29404886</v>
      </c>
    </row>
    <row r="251" spans="1:38" x14ac:dyDescent="0.3">
      <c r="B251" t="s">
        <v>32</v>
      </c>
      <c r="C251" s="6">
        <f>[1]Results!F353</f>
        <v>73.965462770000002</v>
      </c>
      <c r="D251" s="6">
        <f>[1]Results!G353</f>
        <v>73.842886010000001</v>
      </c>
      <c r="E251" s="6">
        <f>[1]Results!H353</f>
        <v>73.502699530000001</v>
      </c>
      <c r="F251" s="6">
        <f>[1]Results!I353</f>
        <v>73.215225439999998</v>
      </c>
      <c r="G251" s="6">
        <f>[1]Results!J353</f>
        <v>73.043234389999995</v>
      </c>
      <c r="H251" s="6">
        <f>[1]Results!K353</f>
        <v>72.978462660000005</v>
      </c>
      <c r="I251" s="6">
        <f>[1]Results!L353</f>
        <v>72.979956329999993</v>
      </c>
      <c r="J251" s="6">
        <f>[1]Results!M353</f>
        <v>72.921001189999998</v>
      </c>
      <c r="K251" s="6">
        <f>[1]Results!N353</f>
        <v>72.848592510000003</v>
      </c>
      <c r="L251" s="6">
        <f>[1]Results!O353</f>
        <v>72.79370591</v>
      </c>
      <c r="M251" s="6">
        <f>[1]Results!P353</f>
        <v>72.802271450000006</v>
      </c>
      <c r="N251" s="6">
        <f>[1]Results!Q353</f>
        <v>72.832879640000002</v>
      </c>
      <c r="O251" s="6">
        <f>[1]Results!R353</f>
        <v>72.897249599999995</v>
      </c>
      <c r="P251" s="6">
        <f>[1]Results!S353</f>
        <v>73.003927160000003</v>
      </c>
      <c r="Q251" s="6">
        <f>[1]Results!T353</f>
        <v>73.153097310000007</v>
      </c>
      <c r="R251" s="6">
        <f>[1]Results!U353</f>
        <v>73.328076820000007</v>
      </c>
      <c r="S251" s="6">
        <f>[1]Results!V353</f>
        <v>73.520693910000006</v>
      </c>
      <c r="T251" s="6">
        <f>[1]Results!W353</f>
        <v>73.725949610000001</v>
      </c>
      <c r="U251" s="6">
        <f>[1]Results!X353</f>
        <v>73.939560400000005</v>
      </c>
      <c r="V251" s="6">
        <f>[1]Results!Y353</f>
        <v>74.157122860000001</v>
      </c>
      <c r="W251" s="6">
        <f>[1]Results!Z353</f>
        <v>74.356391549999998</v>
      </c>
      <c r="X251" s="6">
        <f>[1]Results!AA353</f>
        <v>74.558309499999993</v>
      </c>
      <c r="Y251" s="6">
        <f>[1]Results!AB353</f>
        <v>74.756042539999996</v>
      </c>
      <c r="Z251" s="6">
        <f>[1]Results!AC353</f>
        <v>74.945356160000003</v>
      </c>
      <c r="AA251" s="6">
        <f>[1]Results!AD353</f>
        <v>75.123715219999994</v>
      </c>
      <c r="AB251" s="6">
        <f>[1]Results!AE353</f>
        <v>75.240295560000007</v>
      </c>
      <c r="AC251" s="6">
        <f>[1]Results!AF353</f>
        <v>75.3424689</v>
      </c>
      <c r="AD251" s="6">
        <f>[1]Results!AG353</f>
        <v>75.431682140000007</v>
      </c>
      <c r="AE251" s="6">
        <f>[1]Results!AH353</f>
        <v>75.509461770000001</v>
      </c>
      <c r="AF251" s="6">
        <f>[1]Results!AI353</f>
        <v>75.576921179999999</v>
      </c>
      <c r="AG251" s="6">
        <f>[1]Results!AJ353</f>
        <v>75.634285050000003</v>
      </c>
      <c r="AH251" s="6">
        <f>[1]Results!AK353</f>
        <v>75.681915020000005</v>
      </c>
      <c r="AI251" s="6">
        <f>[1]Results!AL353</f>
        <v>75.72098733</v>
      </c>
      <c r="AJ251" s="6">
        <f>[1]Results!AM353</f>
        <v>75.751467390000002</v>
      </c>
      <c r="AK251" s="6">
        <f>[1]Results!AN353</f>
        <v>75.773446079999999</v>
      </c>
      <c r="AL251" s="6">
        <f>[1]Results!AO353</f>
        <v>75.786954890000004</v>
      </c>
    </row>
    <row r="252" spans="1:38" x14ac:dyDescent="0.3">
      <c r="B252" t="s">
        <v>33</v>
      </c>
      <c r="C252" s="6">
        <f>[1]Results!F354</f>
        <v>39.923462319999999</v>
      </c>
      <c r="D252" s="6">
        <f>[1]Results!G354</f>
        <v>40.207223579999997</v>
      </c>
      <c r="E252" s="6">
        <f>[1]Results!H354</f>
        <v>40.065707719999999</v>
      </c>
      <c r="F252" s="6">
        <f>[1]Results!I354</f>
        <v>39.8528862</v>
      </c>
      <c r="G252" s="6">
        <f>[1]Results!J354</f>
        <v>39.681257899999999</v>
      </c>
      <c r="H252" s="6">
        <f>[1]Results!K354</f>
        <v>39.57015328</v>
      </c>
      <c r="I252" s="6">
        <f>[1]Results!L354</f>
        <v>39.495056460000001</v>
      </c>
      <c r="J252" s="6">
        <f>[1]Results!M354</f>
        <v>39.33697652</v>
      </c>
      <c r="K252" s="6">
        <f>[1]Results!N354</f>
        <v>39.143174799999997</v>
      </c>
      <c r="L252" s="6">
        <f>[1]Results!O354</f>
        <v>38.940186799999999</v>
      </c>
      <c r="M252" s="6">
        <f>[1]Results!P354</f>
        <v>38.765715569999998</v>
      </c>
      <c r="N252" s="6">
        <f>[1]Results!Q354</f>
        <v>38.588215329999997</v>
      </c>
      <c r="O252" s="6">
        <f>[1]Results!R354</f>
        <v>38.42470264</v>
      </c>
      <c r="P252" s="6">
        <f>[1]Results!S354</f>
        <v>38.28969524</v>
      </c>
      <c r="Q252" s="6">
        <f>[1]Results!T354</f>
        <v>38.188420439999994</v>
      </c>
      <c r="R252" s="6">
        <f>[1]Results!U354</f>
        <v>38.107789619999998</v>
      </c>
      <c r="S252" s="6">
        <f>[1]Results!V354</f>
        <v>38.04205494</v>
      </c>
      <c r="T252" s="6">
        <f>[1]Results!W354</f>
        <v>37.988064549999997</v>
      </c>
      <c r="U252" s="6">
        <f>[1]Results!X354</f>
        <v>37.943327490000001</v>
      </c>
      <c r="V252" s="6">
        <f>[1]Results!Y354</f>
        <v>37.905410060000001</v>
      </c>
      <c r="W252" s="6">
        <f>[1]Results!Z354</f>
        <v>37.859131359999999</v>
      </c>
      <c r="X252" s="6">
        <f>[1]Results!AA354</f>
        <v>37.821508289999997</v>
      </c>
      <c r="Y252" s="6">
        <f>[1]Results!AB354</f>
        <v>37.78687592</v>
      </c>
      <c r="Z252" s="6">
        <f>[1]Results!AC354</f>
        <v>37.75206678</v>
      </c>
      <c r="AA252" s="6">
        <f>[1]Results!AD354</f>
        <v>37.715329060000002</v>
      </c>
      <c r="AB252" s="6">
        <f>[1]Results!AE354</f>
        <v>37.641006570000002</v>
      </c>
      <c r="AC252" s="6">
        <f>[1]Results!AF354</f>
        <v>37.564542209999999</v>
      </c>
      <c r="AD252" s="6">
        <f>[1]Results!AG354</f>
        <v>37.485087440000001</v>
      </c>
      <c r="AE252" s="6">
        <f>[1]Results!AH354</f>
        <v>37.403055200000004</v>
      </c>
      <c r="AF252" s="6">
        <f>[1]Results!AI354</f>
        <v>37.319555860000001</v>
      </c>
      <c r="AG252" s="6">
        <f>[1]Results!AJ354</f>
        <v>37.235357590000007</v>
      </c>
      <c r="AH252" s="6">
        <f>[1]Results!AK354</f>
        <v>37.151396939999998</v>
      </c>
      <c r="AI252" s="6">
        <f>[1]Results!AL354</f>
        <v>37.0691621</v>
      </c>
      <c r="AJ252" s="6">
        <f>[1]Results!AM354</f>
        <v>36.988631859999998</v>
      </c>
      <c r="AK252" s="6">
        <f>[1]Results!AN354</f>
        <v>36.909762310000005</v>
      </c>
      <c r="AL252" s="6">
        <f>[1]Results!AO354</f>
        <v>36.832517070000002</v>
      </c>
    </row>
    <row r="253" spans="1:38" x14ac:dyDescent="0.3">
      <c r="B253" t="s">
        <v>34</v>
      </c>
      <c r="C253" s="6">
        <f>[1]Results!F362</f>
        <v>34.042000460000004</v>
      </c>
      <c r="D253" s="6">
        <f>[1]Results!G362</f>
        <v>33.635662420000003</v>
      </c>
      <c r="E253" s="6">
        <f>[1]Results!H362</f>
        <v>33.436991810000002</v>
      </c>
      <c r="F253" s="6">
        <f>[1]Results!I362</f>
        <v>33.362339239999997</v>
      </c>
      <c r="G253" s="6">
        <f>[1]Results!J362</f>
        <v>33.361976499999997</v>
      </c>
      <c r="H253" s="6">
        <f>[1]Results!K362</f>
        <v>33.408309389999999</v>
      </c>
      <c r="I253" s="6">
        <f>[1]Results!L362</f>
        <v>33.48489987</v>
      </c>
      <c r="J253" s="6">
        <f>[1]Results!M362</f>
        <v>33.584024659999997</v>
      </c>
      <c r="K253" s="6">
        <f>[1]Results!N362</f>
        <v>33.705417709999999</v>
      </c>
      <c r="L253" s="6">
        <f>[1]Results!O362</f>
        <v>33.8535191</v>
      </c>
      <c r="M253" s="6">
        <f>[1]Results!P362</f>
        <v>34.036555880000002</v>
      </c>
      <c r="N253" s="6">
        <f>[1]Results!Q362</f>
        <v>34.244664310000005</v>
      </c>
      <c r="O253" s="6">
        <f>[1]Results!R362</f>
        <v>34.472546960000003</v>
      </c>
      <c r="P253" s="6">
        <f>[1]Results!S362</f>
        <v>34.714231920000003</v>
      </c>
      <c r="Q253" s="6">
        <f>[1]Results!T362</f>
        <v>34.964676880000006</v>
      </c>
      <c r="R253" s="6">
        <f>[1]Results!U362</f>
        <v>35.220287200000001</v>
      </c>
      <c r="S253" s="6">
        <f>[1]Results!V362</f>
        <v>35.478638969999999</v>
      </c>
      <c r="T253" s="6">
        <f>[1]Results!W362</f>
        <v>35.737885060000004</v>
      </c>
      <c r="U253" s="6">
        <f>[1]Results!X362</f>
        <v>35.996232909999996</v>
      </c>
      <c r="V253" s="6">
        <f>[1]Results!Y362</f>
        <v>36.2517128</v>
      </c>
      <c r="W253" s="6">
        <f>[1]Results!Z362</f>
        <v>36.497260189999999</v>
      </c>
      <c r="X253" s="6">
        <f>[1]Results!AA362</f>
        <v>36.736801200000002</v>
      </c>
      <c r="Y253" s="6">
        <f>[1]Results!AB362</f>
        <v>36.969166619999996</v>
      </c>
      <c r="Z253" s="6">
        <f>[1]Results!AC362</f>
        <v>37.193289380000003</v>
      </c>
      <c r="AA253" s="6">
        <f>[1]Results!AD362</f>
        <v>37.40838617</v>
      </c>
      <c r="AB253" s="6">
        <f>[1]Results!AE362</f>
        <v>37.599288990000005</v>
      </c>
      <c r="AC253" s="6">
        <f>[1]Results!AF362</f>
        <v>37.777926690000001</v>
      </c>
      <c r="AD253" s="6">
        <f>[1]Results!AG362</f>
        <v>37.946594700000006</v>
      </c>
      <c r="AE253" s="6">
        <f>[1]Results!AH362</f>
        <v>38.106406569999997</v>
      </c>
      <c r="AF253" s="6">
        <f>[1]Results!AI362</f>
        <v>38.257365319999998</v>
      </c>
      <c r="AG253" s="6">
        <f>[1]Results!AJ362</f>
        <v>38.398927460000003</v>
      </c>
      <c r="AH253" s="6">
        <f>[1]Results!AK362</f>
        <v>38.53051808</v>
      </c>
      <c r="AI253" s="6">
        <f>[1]Results!AL362</f>
        <v>38.65182523</v>
      </c>
      <c r="AJ253" s="6">
        <f>[1]Results!AM362</f>
        <v>38.762835530000004</v>
      </c>
      <c r="AK253" s="6">
        <f>[1]Results!AN362</f>
        <v>38.863683770000002</v>
      </c>
      <c r="AL253" s="6">
        <f>[1]Results!AO362</f>
        <v>38.954437820000003</v>
      </c>
    </row>
    <row r="255" spans="1:38" x14ac:dyDescent="0.3">
      <c r="A255" s="12" t="s">
        <v>31</v>
      </c>
      <c r="B255" t="s">
        <v>21</v>
      </c>
      <c r="C255" s="6">
        <f t="shared" ref="C255:AL255" si="52">C256+C257+C259+C258</f>
        <v>76.647508768999998</v>
      </c>
      <c r="D255" s="6">
        <f t="shared" si="52"/>
        <v>77.187125662</v>
      </c>
      <c r="E255" s="6">
        <f t="shared" si="52"/>
        <v>77.914607666999999</v>
      </c>
      <c r="F255" s="6">
        <f t="shared" si="52"/>
        <v>78.881330837999997</v>
      </c>
      <c r="G255" s="6">
        <f t="shared" si="52"/>
        <v>80.120409167000005</v>
      </c>
      <c r="H255" s="6">
        <f t="shared" si="52"/>
        <v>81.658791679000004</v>
      </c>
      <c r="I255" s="6">
        <f t="shared" si="52"/>
        <v>83.378790097999996</v>
      </c>
      <c r="J255" s="6">
        <f t="shared" si="52"/>
        <v>85.325711401999996</v>
      </c>
      <c r="K255" s="6">
        <f t="shared" si="52"/>
        <v>87.417252257000001</v>
      </c>
      <c r="L255" s="6">
        <f t="shared" si="52"/>
        <v>89.560408833999986</v>
      </c>
      <c r="M255" s="6">
        <f t="shared" si="52"/>
        <v>91.803131711000006</v>
      </c>
      <c r="N255" s="6">
        <f t="shared" si="52"/>
        <v>93.887670326999995</v>
      </c>
      <c r="O255" s="6">
        <f t="shared" si="52"/>
        <v>95.915758420000003</v>
      </c>
      <c r="P255" s="6">
        <f t="shared" si="52"/>
        <v>97.893961938000018</v>
      </c>
      <c r="Q255" s="6">
        <f t="shared" si="52"/>
        <v>99.796502949000001</v>
      </c>
      <c r="R255" s="6">
        <f t="shared" si="52"/>
        <v>101.59680582</v>
      </c>
      <c r="S255" s="6">
        <f t="shared" si="52"/>
        <v>103.28178832899999</v>
      </c>
      <c r="T255" s="6">
        <f t="shared" si="52"/>
        <v>104.858228063</v>
      </c>
      <c r="U255" s="6">
        <f t="shared" si="52"/>
        <v>106.351545331</v>
      </c>
      <c r="V255" s="6">
        <f t="shared" si="52"/>
        <v>107.798783133</v>
      </c>
      <c r="W255" s="6">
        <f t="shared" si="52"/>
        <v>109.14622633799999</v>
      </c>
      <c r="X255" s="6">
        <f t="shared" si="52"/>
        <v>110.59726630900001</v>
      </c>
      <c r="Y255" s="6">
        <f t="shared" si="52"/>
        <v>112.105086664</v>
      </c>
      <c r="Z255" s="6">
        <f t="shared" si="52"/>
        <v>113.67076376599999</v>
      </c>
      <c r="AA255" s="6">
        <f t="shared" si="52"/>
        <v>115.31049634</v>
      </c>
      <c r="AB255" s="6">
        <f t="shared" si="52"/>
        <v>116.730802719</v>
      </c>
      <c r="AC255" s="6">
        <f t="shared" si="52"/>
        <v>118.379949826</v>
      </c>
      <c r="AD255" s="6">
        <f t="shared" si="52"/>
        <v>120.089516358</v>
      </c>
      <c r="AE255" s="6">
        <f t="shared" si="52"/>
        <v>121.80590016799999</v>
      </c>
      <c r="AF255" s="6">
        <f t="shared" si="52"/>
        <v>123.529480433</v>
      </c>
      <c r="AG255" s="6">
        <f t="shared" si="52"/>
        <v>125.27501173</v>
      </c>
      <c r="AH255" s="6">
        <f t="shared" si="52"/>
        <v>127.05482805600001</v>
      </c>
      <c r="AI255" s="6">
        <f t="shared" si="52"/>
        <v>128.871655917</v>
      </c>
      <c r="AJ255" s="6">
        <f t="shared" si="52"/>
        <v>130.71789946000001</v>
      </c>
      <c r="AK255" s="6">
        <f t="shared" si="52"/>
        <v>132.57955264</v>
      </c>
      <c r="AL255" s="6">
        <f t="shared" si="52"/>
        <v>134.44214153000001</v>
      </c>
    </row>
    <row r="256" spans="1:38" x14ac:dyDescent="0.3">
      <c r="A256" t="s">
        <v>26</v>
      </c>
      <c r="B256" t="s">
        <v>7</v>
      </c>
      <c r="C256" s="6">
        <f>[1]Results!F439</f>
        <v>4.903545265</v>
      </c>
      <c r="D256" s="6">
        <f>[1]Results!G439</f>
        <v>4.8356304459999997</v>
      </c>
      <c r="E256" s="6">
        <f>[1]Results!H439</f>
        <v>4.7655166830000004</v>
      </c>
      <c r="F256" s="6">
        <f>[1]Results!I439</f>
        <v>4.7227296900000004</v>
      </c>
      <c r="G256" s="6">
        <f>[1]Results!J439</f>
        <v>4.7167106070000004</v>
      </c>
      <c r="H256" s="6">
        <f>[1]Results!K439</f>
        <v>4.7469087679999999</v>
      </c>
      <c r="I256" s="6">
        <f>[1]Results!L439</f>
        <v>4.8040063709999998</v>
      </c>
      <c r="J256" s="6">
        <f>[1]Results!M439</f>
        <v>4.8803475509999998</v>
      </c>
      <c r="K256" s="6">
        <f>[1]Results!N439</f>
        <v>4.9659944749999996</v>
      </c>
      <c r="L256" s="6">
        <f>[1]Results!O439</f>
        <v>5.0521304689999997</v>
      </c>
      <c r="M256" s="6">
        <f>[1]Results!P439</f>
        <v>5.1360283090000003</v>
      </c>
      <c r="N256" s="6">
        <f>[1]Results!Q439</f>
        <v>5.2104390780000003</v>
      </c>
      <c r="O256" s="6">
        <f>[1]Results!R439</f>
        <v>5.2768265669999996</v>
      </c>
      <c r="P256" s="6">
        <f>[1]Results!S439</f>
        <v>5.3353238620000001</v>
      </c>
      <c r="Q256" s="6">
        <f>[1]Results!T439</f>
        <v>5.3850714389999998</v>
      </c>
      <c r="R256" s="6">
        <f>[1]Results!U439</f>
        <v>5.42502423</v>
      </c>
      <c r="S256" s="6">
        <f>[1]Results!V439</f>
        <v>5.4548186090000002</v>
      </c>
      <c r="T256" s="6">
        <f>[1]Results!W439</f>
        <v>5.4752566629999997</v>
      </c>
      <c r="U256" s="6">
        <f>[1]Results!X439</f>
        <v>5.4882490810000002</v>
      </c>
      <c r="V256" s="6">
        <f>[1]Results!Y439</f>
        <v>5.4963532229999998</v>
      </c>
      <c r="W256" s="6">
        <f>[1]Results!Z439</f>
        <v>5.4996047079999997</v>
      </c>
      <c r="X256" s="6">
        <f>[1]Results!AA439</f>
        <v>5.5036801989999997</v>
      </c>
      <c r="Y256" s="6">
        <f>[1]Results!AB439</f>
        <v>5.5088460340000003</v>
      </c>
      <c r="Z256" s="6">
        <f>[1]Results!AC439</f>
        <v>5.5161216360000003</v>
      </c>
      <c r="AA256" s="6">
        <f>[1]Results!AD439</f>
        <v>5.5263788500000004</v>
      </c>
      <c r="AB256" s="6">
        <f>[1]Results!AE439</f>
        <v>5.5320795089999999</v>
      </c>
      <c r="AC256" s="6">
        <f>[1]Results!AF439</f>
        <v>5.5407754660000004</v>
      </c>
      <c r="AD256" s="6">
        <f>[1]Results!AG439</f>
        <v>5.5496313879999999</v>
      </c>
      <c r="AE256" s="6">
        <f>[1]Results!AH439</f>
        <v>5.557905678</v>
      </c>
      <c r="AF256" s="6">
        <f>[1]Results!AI439</f>
        <v>5.5661046929999998</v>
      </c>
      <c r="AG256" s="6">
        <f>[1]Results!AJ439</f>
        <v>5.5752456800000001</v>
      </c>
      <c r="AH256" s="6">
        <f>[1]Results!AK439</f>
        <v>5.5861717860000004</v>
      </c>
      <c r="AI256" s="6">
        <f>[1]Results!AL439</f>
        <v>5.5991388070000001</v>
      </c>
      <c r="AJ256" s="6">
        <f>[1]Results!AM439</f>
        <v>5.6137581499999998</v>
      </c>
      <c r="AK256" s="6">
        <f>[1]Results!AN439</f>
        <v>5.6292225599999997</v>
      </c>
      <c r="AL256" s="6">
        <f>[1]Results!AO439</f>
        <v>5.6446542700000002</v>
      </c>
    </row>
    <row r="257" spans="1:38" x14ac:dyDescent="0.3">
      <c r="B257" t="s">
        <v>8</v>
      </c>
      <c r="C257" s="6">
        <f>[1]Results!F451</f>
        <v>33.672824820000002</v>
      </c>
      <c r="D257" s="6">
        <f>[1]Results!G451</f>
        <v>34.409004109999998</v>
      </c>
      <c r="E257" s="6">
        <f>[1]Results!H451</f>
        <v>35.240422219999999</v>
      </c>
      <c r="F257" s="6">
        <f>[1]Results!I451</f>
        <v>36.019655710000002</v>
      </c>
      <c r="G257" s="6">
        <f>[1]Results!J451</f>
        <v>36.758291980000003</v>
      </c>
      <c r="H257" s="6">
        <f>[1]Results!K451</f>
        <v>37.498645860000003</v>
      </c>
      <c r="I257" s="6">
        <f>[1]Results!L451</f>
        <v>38.150142690000003</v>
      </c>
      <c r="J257" s="6">
        <f>[1]Results!M451</f>
        <v>38.859355469999997</v>
      </c>
      <c r="K257" s="6">
        <f>[1]Results!N451</f>
        <v>39.610540540000002</v>
      </c>
      <c r="L257" s="6">
        <f>[1]Results!O451</f>
        <v>40.374893989999997</v>
      </c>
      <c r="M257" s="6">
        <f>[1]Results!P451</f>
        <v>41.298835230000002</v>
      </c>
      <c r="N257" s="6">
        <f>[1]Results!Q451</f>
        <v>41.999772200000002</v>
      </c>
      <c r="O257" s="6">
        <f>[1]Results!R451</f>
        <v>42.682028539999997</v>
      </c>
      <c r="P257" s="6">
        <f>[1]Results!S451</f>
        <v>43.358427380000002</v>
      </c>
      <c r="Q257" s="6">
        <f>[1]Results!T451</f>
        <v>44.016233669999998</v>
      </c>
      <c r="R257" s="6">
        <f>[1]Results!U451</f>
        <v>44.648856899999998</v>
      </c>
      <c r="S257" s="6">
        <f>[1]Results!V451</f>
        <v>45.257757400000003</v>
      </c>
      <c r="T257" s="6">
        <f>[1]Results!W451</f>
        <v>45.850008359999997</v>
      </c>
      <c r="U257" s="6">
        <f>[1]Results!X451</f>
        <v>46.43552906</v>
      </c>
      <c r="V257" s="6">
        <f>[1]Results!Y451</f>
        <v>47.02465471</v>
      </c>
      <c r="W257" s="6">
        <f>[1]Results!Z451</f>
        <v>47.50374892</v>
      </c>
      <c r="X257" s="6">
        <f>[1]Results!AA451</f>
        <v>48.147837330000002</v>
      </c>
      <c r="Y257" s="6">
        <f>[1]Results!AB451</f>
        <v>48.818193919999999</v>
      </c>
      <c r="Z257" s="6">
        <f>[1]Results!AC451</f>
        <v>49.500161589999998</v>
      </c>
      <c r="AA257" s="6">
        <f>[1]Results!AD451</f>
        <v>50.200594109999997</v>
      </c>
      <c r="AB257" s="6">
        <f>[1]Results!AE451</f>
        <v>50.560681870000003</v>
      </c>
      <c r="AC257" s="6">
        <f>[1]Results!AF451</f>
        <v>51.228902470000001</v>
      </c>
      <c r="AD257" s="6">
        <f>[1]Results!AG451</f>
        <v>51.950612120000002</v>
      </c>
      <c r="AE257" s="6">
        <f>[1]Results!AH451</f>
        <v>52.676882970000001</v>
      </c>
      <c r="AF257" s="6">
        <f>[1]Results!AI451</f>
        <v>53.405859599999999</v>
      </c>
      <c r="AG257" s="6">
        <f>[1]Results!AJ451</f>
        <v>54.141063680000002</v>
      </c>
      <c r="AH257" s="6">
        <f>[1]Results!AK451</f>
        <v>54.883803749999998</v>
      </c>
      <c r="AI257" s="6">
        <f>[1]Results!AL451</f>
        <v>55.632944649999999</v>
      </c>
      <c r="AJ257" s="6">
        <f>[1]Results!AM451</f>
        <v>56.386074999999998</v>
      </c>
      <c r="AK257" s="6">
        <f>[1]Results!AN451</f>
        <v>57.140744529999999</v>
      </c>
      <c r="AL257" s="6">
        <f>[1]Results!AO451</f>
        <v>57.89533136</v>
      </c>
    </row>
    <row r="258" spans="1:38" x14ac:dyDescent="0.3">
      <c r="B258" t="s">
        <v>10</v>
      </c>
      <c r="C258" s="6">
        <f>[1]Results!F463</f>
        <v>29.514292040000001</v>
      </c>
      <c r="D258" s="6">
        <f>[1]Results!G463</f>
        <v>29.367662729999999</v>
      </c>
      <c r="E258" s="6">
        <f>[1]Results!H463</f>
        <v>29.295993030000002</v>
      </c>
      <c r="F258" s="6">
        <f>[1]Results!I463</f>
        <v>29.45860463</v>
      </c>
      <c r="G258" s="6">
        <f>[1]Results!J463</f>
        <v>29.87498356</v>
      </c>
      <c r="H258" s="6">
        <f>[1]Results!K463</f>
        <v>30.536647859999999</v>
      </c>
      <c r="I258" s="6">
        <f>[1]Results!L463</f>
        <v>31.43238654</v>
      </c>
      <c r="J258" s="6">
        <f>[1]Results!M463</f>
        <v>32.471641419999997</v>
      </c>
      <c r="K258" s="6">
        <f>[1]Results!N463</f>
        <v>33.598687470000002</v>
      </c>
      <c r="L258" s="6">
        <f>[1]Results!O463</f>
        <v>34.75875954</v>
      </c>
      <c r="M258" s="6">
        <f>[1]Results!P463</f>
        <v>35.853351099999998</v>
      </c>
      <c r="N258" s="6">
        <f>[1]Results!Q463</f>
        <v>37.017231129999999</v>
      </c>
      <c r="O258" s="6">
        <f>[1]Results!R463</f>
        <v>38.151068979999998</v>
      </c>
      <c r="P258" s="6">
        <f>[1]Results!S463</f>
        <v>39.249812990000002</v>
      </c>
      <c r="Q258" s="6">
        <f>[1]Results!T463</f>
        <v>40.301614890000003</v>
      </c>
      <c r="R258" s="6">
        <f>[1]Results!U463</f>
        <v>41.28728486</v>
      </c>
      <c r="S258" s="6">
        <f>[1]Results!V463</f>
        <v>42.191967099999999</v>
      </c>
      <c r="T258" s="6">
        <f>[1]Results!W463</f>
        <v>43.01368119</v>
      </c>
      <c r="U258" s="6">
        <f>[1]Results!X463</f>
        <v>43.765150349999999</v>
      </c>
      <c r="V258" s="6">
        <f>[1]Results!Y463</f>
        <v>44.469817679999998</v>
      </c>
      <c r="W258" s="6">
        <f>[1]Results!Z463</f>
        <v>45.190630200000001</v>
      </c>
      <c r="X258" s="6">
        <f>[1]Results!AA463</f>
        <v>45.847004499999997</v>
      </c>
      <c r="Y258" s="6">
        <f>[1]Results!AB463</f>
        <v>46.528186159999997</v>
      </c>
      <c r="Z258" s="6">
        <f>[1]Results!AC463</f>
        <v>47.2488964</v>
      </c>
      <c r="AA258" s="6">
        <f>[1]Results!AD463</f>
        <v>48.017943430000003</v>
      </c>
      <c r="AB258" s="6">
        <f>[1]Results!AE463</f>
        <v>48.920481479999999</v>
      </c>
      <c r="AC258" s="6">
        <f>[1]Results!AF463</f>
        <v>49.741451640000001</v>
      </c>
      <c r="AD258" s="6">
        <f>[1]Results!AG463</f>
        <v>50.56666225</v>
      </c>
      <c r="AE258" s="6">
        <f>[1]Results!AH463</f>
        <v>51.391398170000002</v>
      </c>
      <c r="AF258" s="6">
        <f>[1]Results!AI463</f>
        <v>52.217213780000002</v>
      </c>
      <c r="AG258" s="6">
        <f>[1]Results!AJ463</f>
        <v>53.05448561</v>
      </c>
      <c r="AH258" s="6">
        <f>[1]Results!AK463</f>
        <v>53.913778219999998</v>
      </c>
      <c r="AI258" s="6">
        <f>[1]Results!AL463</f>
        <v>54.799135640000003</v>
      </c>
      <c r="AJ258" s="6">
        <f>[1]Results!AM463</f>
        <v>55.706106130000002</v>
      </c>
      <c r="AK258" s="6">
        <f>[1]Results!AN463</f>
        <v>56.624113729999998</v>
      </c>
      <c r="AL258" s="6">
        <f>[1]Results!AO463</f>
        <v>57.541190749999998</v>
      </c>
    </row>
    <row r="259" spans="1:38" x14ac:dyDescent="0.3">
      <c r="B259" t="s">
        <v>23</v>
      </c>
      <c r="C259" s="6">
        <f>[1]Results!F427</f>
        <v>8.5568466440000002</v>
      </c>
      <c r="D259" s="6">
        <f>[1]Results!G427</f>
        <v>8.5748283759999993</v>
      </c>
      <c r="E259" s="6">
        <f>[1]Results!H427</f>
        <v>8.6126757339999997</v>
      </c>
      <c r="F259" s="6">
        <f>[1]Results!I427</f>
        <v>8.6803408080000004</v>
      </c>
      <c r="G259" s="6">
        <f>[1]Results!J427</f>
        <v>8.7704230200000008</v>
      </c>
      <c r="H259" s="6">
        <f>[1]Results!K427</f>
        <v>8.8765891910000008</v>
      </c>
      <c r="I259" s="6">
        <f>[1]Results!L427</f>
        <v>8.9922544969999993</v>
      </c>
      <c r="J259" s="6">
        <f>[1]Results!M427</f>
        <v>9.114366961</v>
      </c>
      <c r="K259" s="6">
        <f>[1]Results!N427</f>
        <v>9.2420297720000004</v>
      </c>
      <c r="L259" s="6">
        <f>[1]Results!O427</f>
        <v>9.3746248350000005</v>
      </c>
      <c r="M259" s="6">
        <f>[1]Results!P427</f>
        <v>9.5149170719999994</v>
      </c>
      <c r="N259" s="6">
        <f>[1]Results!Q427</f>
        <v>9.6602279190000004</v>
      </c>
      <c r="O259" s="6">
        <f>[1]Results!R427</f>
        <v>9.805834333</v>
      </c>
      <c r="P259" s="6">
        <f>[1]Results!S427</f>
        <v>9.9503977060000004</v>
      </c>
      <c r="Q259" s="6">
        <f>[1]Results!T427</f>
        <v>10.09358295</v>
      </c>
      <c r="R259" s="6">
        <f>[1]Results!U427</f>
        <v>10.23563983</v>
      </c>
      <c r="S259" s="6">
        <f>[1]Results!V427</f>
        <v>10.377245220000001</v>
      </c>
      <c r="T259" s="6">
        <f>[1]Results!W427</f>
        <v>10.51928185</v>
      </c>
      <c r="U259" s="6">
        <f>[1]Results!X427</f>
        <v>10.66261684</v>
      </c>
      <c r="V259" s="6">
        <f>[1]Results!Y427</f>
        <v>10.80795752</v>
      </c>
      <c r="W259" s="6">
        <f>[1]Results!Z427</f>
        <v>10.95224251</v>
      </c>
      <c r="X259" s="6">
        <f>[1]Results!AA427</f>
        <v>11.09874428</v>
      </c>
      <c r="Y259" s="6">
        <f>[1]Results!AB427</f>
        <v>11.249860549999999</v>
      </c>
      <c r="Z259" s="6">
        <f>[1]Results!AC427</f>
        <v>11.40558414</v>
      </c>
      <c r="AA259" s="6">
        <f>[1]Results!AD427</f>
        <v>11.56557995</v>
      </c>
      <c r="AB259" s="6">
        <f>[1]Results!AE427</f>
        <v>11.71755986</v>
      </c>
      <c r="AC259" s="6">
        <f>[1]Results!AF427</f>
        <v>11.868820250000001</v>
      </c>
      <c r="AD259" s="6">
        <f>[1]Results!AG427</f>
        <v>12.0226106</v>
      </c>
      <c r="AE259" s="6">
        <f>[1]Results!AH427</f>
        <v>12.17971335</v>
      </c>
      <c r="AF259" s="6">
        <f>[1]Results!AI427</f>
        <v>12.340302360000001</v>
      </c>
      <c r="AG259" s="6">
        <f>[1]Results!AJ427</f>
        <v>12.50421676</v>
      </c>
      <c r="AH259" s="6">
        <f>[1]Results!AK427</f>
        <v>12.671074300000001</v>
      </c>
      <c r="AI259" s="6">
        <f>[1]Results!AL427</f>
        <v>12.840436820000001</v>
      </c>
      <c r="AJ259" s="6">
        <f>[1]Results!AM427</f>
        <v>13.011960180000001</v>
      </c>
      <c r="AK259" s="6">
        <f>[1]Results!AN427</f>
        <v>13.18547182</v>
      </c>
      <c r="AL259" s="6">
        <f>[1]Results!AO427</f>
        <v>13.36096515</v>
      </c>
    </row>
    <row r="260" spans="1:38" x14ac:dyDescent="0.3">
      <c r="B260" t="s">
        <v>32</v>
      </c>
      <c r="C260" s="6">
        <f>[1]Results!F414</f>
        <v>73.965462770000002</v>
      </c>
      <c r="D260" s="6">
        <f>[1]Results!G414</f>
        <v>73.842886010000001</v>
      </c>
      <c r="E260" s="6">
        <f>[1]Results!H414</f>
        <v>73.502699530000001</v>
      </c>
      <c r="F260" s="6">
        <f>[1]Results!I414</f>
        <v>73.215225439999998</v>
      </c>
      <c r="G260" s="6">
        <f>[1]Results!J414</f>
        <v>73.043234389999995</v>
      </c>
      <c r="H260" s="6">
        <f>[1]Results!K414</f>
        <v>72.978462660000005</v>
      </c>
      <c r="I260" s="6">
        <f>[1]Results!L414</f>
        <v>72.97959659</v>
      </c>
      <c r="J260" s="6">
        <f>[1]Results!M414</f>
        <v>73.030739389999994</v>
      </c>
      <c r="K260" s="6">
        <f>[1]Results!N414</f>
        <v>73.118003740000006</v>
      </c>
      <c r="L260" s="6">
        <f>[1]Results!O414</f>
        <v>73.23106817</v>
      </c>
      <c r="M260" s="6">
        <f>[1]Results!P414</f>
        <v>73.388269410000007</v>
      </c>
      <c r="N260" s="6">
        <f>[1]Results!Q414</f>
        <v>73.546329880000002</v>
      </c>
      <c r="O260" s="6">
        <f>[1]Results!R414</f>
        <v>73.706119869999995</v>
      </c>
      <c r="P260" s="6">
        <f>[1]Results!S414</f>
        <v>73.866523200000003</v>
      </c>
      <c r="Q260" s="6">
        <f>[1]Results!T414</f>
        <v>74.023489209999994</v>
      </c>
      <c r="R260" s="6">
        <f>[1]Results!U414</f>
        <v>74.173373490000003</v>
      </c>
      <c r="S260" s="6">
        <f>[1]Results!V414</f>
        <v>74.317068070000005</v>
      </c>
      <c r="T260" s="6">
        <f>[1]Results!W414</f>
        <v>74.45725444</v>
      </c>
      <c r="U260" s="6">
        <f>[1]Results!X414</f>
        <v>74.596733299999997</v>
      </c>
      <c r="V260" s="6">
        <f>[1]Results!Y414</f>
        <v>74.737458430000004</v>
      </c>
      <c r="W260" s="6">
        <f>[1]Results!Z414</f>
        <v>74.86089672</v>
      </c>
      <c r="X260" s="6">
        <f>[1]Results!AA414</f>
        <v>74.987434379999996</v>
      </c>
      <c r="Y260" s="6">
        <f>[1]Results!AB414</f>
        <v>75.110579950000002</v>
      </c>
      <c r="Z260" s="6">
        <f>[1]Results!AC414</f>
        <v>75.226491109999998</v>
      </c>
      <c r="AA260" s="6">
        <f>[1]Results!AD414</f>
        <v>75.332501100000002</v>
      </c>
      <c r="AB260" s="6">
        <f>[1]Results!AE414</f>
        <v>75.377156580000005</v>
      </c>
      <c r="AC260" s="6">
        <f>[1]Results!AF414</f>
        <v>75.406493740000002</v>
      </c>
      <c r="AD260" s="6">
        <f>[1]Results!AG414</f>
        <v>75.419843850000007</v>
      </c>
      <c r="AE260" s="6">
        <f>[1]Results!AH414</f>
        <v>75.416596490000003</v>
      </c>
      <c r="AF260" s="6">
        <f>[1]Results!AI414</f>
        <v>75.39601845</v>
      </c>
      <c r="AG260" s="6">
        <f>[1]Results!AJ414</f>
        <v>75.357363460000002</v>
      </c>
      <c r="AH260" s="6">
        <f>[1]Results!AK414</f>
        <v>75.300088090000003</v>
      </c>
      <c r="AI260" s="6">
        <f>[1]Results!AL414</f>
        <v>75.224009319999993</v>
      </c>
      <c r="AJ260" s="6">
        <f>[1]Results!AM414</f>
        <v>75.129339970000004</v>
      </c>
      <c r="AK260" s="6">
        <f>[1]Results!AN414</f>
        <v>75.016612359999996</v>
      </c>
      <c r="AL260" s="6">
        <f>[1]Results!AO414</f>
        <v>74.884868990000001</v>
      </c>
    </row>
    <row r="261" spans="1:38" x14ac:dyDescent="0.3">
      <c r="B261" t="s">
        <v>33</v>
      </c>
      <c r="C261" s="6">
        <f>[1]Results!F415</f>
        <v>39.923462319999999</v>
      </c>
      <c r="D261" s="6">
        <f>[1]Results!G415</f>
        <v>40.207223579999997</v>
      </c>
      <c r="E261" s="6">
        <f>[1]Results!H415</f>
        <v>40.065707719999999</v>
      </c>
      <c r="F261" s="6">
        <f>[1]Results!I415</f>
        <v>39.8528862</v>
      </c>
      <c r="G261" s="6">
        <f>[1]Results!J415</f>
        <v>39.681257899999999</v>
      </c>
      <c r="H261" s="6">
        <f>[1]Results!K415</f>
        <v>39.57015328</v>
      </c>
      <c r="I261" s="6">
        <f>[1]Results!L415</f>
        <v>39.496649779999998</v>
      </c>
      <c r="J261" s="6">
        <f>[1]Results!M415</f>
        <v>39.450443060000005</v>
      </c>
      <c r="K261" s="6">
        <f>[1]Results!N415</f>
        <v>39.420327619999995</v>
      </c>
      <c r="L261" s="6">
        <f>[1]Results!O415</f>
        <v>39.397873189999999</v>
      </c>
      <c r="M261" s="6">
        <f>[1]Results!P415</f>
        <v>39.397652049999998</v>
      </c>
      <c r="N261" s="6">
        <f>[1]Results!Q415</f>
        <v>39.387187310000002</v>
      </c>
      <c r="O261" s="6">
        <f>[1]Results!R415</f>
        <v>39.370754869999999</v>
      </c>
      <c r="P261" s="6">
        <f>[1]Results!S415</f>
        <v>39.350060040000002</v>
      </c>
      <c r="Q261" s="6">
        <f>[1]Results!T415</f>
        <v>39.322830609999997</v>
      </c>
      <c r="R261" s="6">
        <f>[1]Results!U415</f>
        <v>39.286654520000006</v>
      </c>
      <c r="S261" s="6">
        <f>[1]Results!V415</f>
        <v>39.243733280000001</v>
      </c>
      <c r="T261" s="6">
        <f>[1]Results!W415</f>
        <v>39.198501840000006</v>
      </c>
      <c r="U261" s="6">
        <f>[1]Results!X415</f>
        <v>39.155977540000002</v>
      </c>
      <c r="V261" s="6">
        <f>[1]Results!Y415</f>
        <v>39.120561930000001</v>
      </c>
      <c r="W261" s="6">
        <f>[1]Results!Z415</f>
        <v>39.080810299999996</v>
      </c>
      <c r="X261" s="6">
        <f>[1]Results!AA415</f>
        <v>39.053651280000004</v>
      </c>
      <c r="Y261" s="6">
        <f>[1]Results!AB415</f>
        <v>39.033862689999999</v>
      </c>
      <c r="Z261" s="6">
        <f>[1]Results!AC415</f>
        <v>39.01896593</v>
      </c>
      <c r="AA261" s="6">
        <f>[1]Results!AD415</f>
        <v>39.007598789999996</v>
      </c>
      <c r="AB261" s="6">
        <f>[1]Results!AE415</f>
        <v>38.963060820000003</v>
      </c>
      <c r="AC261" s="6">
        <f>[1]Results!AF415</f>
        <v>38.921397640000002</v>
      </c>
      <c r="AD261" s="6">
        <f>[1]Results!AG415</f>
        <v>38.880650320000001</v>
      </c>
      <c r="AE261" s="6">
        <f>[1]Results!AH415</f>
        <v>38.839855659999998</v>
      </c>
      <c r="AF261" s="6">
        <f>[1]Results!AI415</f>
        <v>38.798673409999999</v>
      </c>
      <c r="AG261" s="6">
        <f>[1]Results!AJ415</f>
        <v>38.756960450000001</v>
      </c>
      <c r="AH261" s="6">
        <f>[1]Results!AK415</f>
        <v>38.71455735</v>
      </c>
      <c r="AI261" s="6">
        <f>[1]Results!AL415</f>
        <v>38.671243020000006</v>
      </c>
      <c r="AJ261" s="6">
        <f>[1]Results!AM415</f>
        <v>38.6267943</v>
      </c>
      <c r="AK261" s="6">
        <f>[1]Results!AN415</f>
        <v>38.581079930000001</v>
      </c>
      <c r="AL261" s="6">
        <f>[1]Results!AO415</f>
        <v>38.532457880000003</v>
      </c>
    </row>
    <row r="262" spans="1:38" x14ac:dyDescent="0.3">
      <c r="B262" t="s">
        <v>34</v>
      </c>
      <c r="C262" s="6">
        <f>[1]Results!F423</f>
        <v>34.042000460000004</v>
      </c>
      <c r="D262" s="6">
        <f>[1]Results!G423</f>
        <v>33.635662420000003</v>
      </c>
      <c r="E262" s="6">
        <f>[1]Results!H423</f>
        <v>33.436991810000002</v>
      </c>
      <c r="F262" s="6">
        <f>[1]Results!I423</f>
        <v>33.362339239999997</v>
      </c>
      <c r="G262" s="6">
        <f>[1]Results!J423</f>
        <v>33.361976499999997</v>
      </c>
      <c r="H262" s="6">
        <f>[1]Results!K423</f>
        <v>33.408309389999999</v>
      </c>
      <c r="I262" s="6">
        <f>[1]Results!L423</f>
        <v>33.482946800000001</v>
      </c>
      <c r="J262" s="6">
        <f>[1]Results!M423</f>
        <v>33.580296329999996</v>
      </c>
      <c r="K262" s="6">
        <f>[1]Results!N423</f>
        <v>33.697676119999997</v>
      </c>
      <c r="L262" s="6">
        <f>[1]Results!O423</f>
        <v>33.833194979999995</v>
      </c>
      <c r="M262" s="6">
        <f>[1]Results!P423</f>
        <v>33.990617360000002</v>
      </c>
      <c r="N262" s="6">
        <f>[1]Results!Q423</f>
        <v>34.15914257</v>
      </c>
      <c r="O262" s="6">
        <f>[1]Results!R423</f>
        <v>34.335365000000003</v>
      </c>
      <c r="P262" s="6">
        <f>[1]Results!S423</f>
        <v>34.516463170000002</v>
      </c>
      <c r="Q262" s="6">
        <f>[1]Results!T423</f>
        <v>34.700658590000003</v>
      </c>
      <c r="R262" s="6">
        <f>[1]Results!U423</f>
        <v>34.886718969999997</v>
      </c>
      <c r="S262" s="6">
        <f>[1]Results!V423</f>
        <v>35.073334789999997</v>
      </c>
      <c r="T262" s="6">
        <f>[1]Results!W423</f>
        <v>35.25875259</v>
      </c>
      <c r="U262" s="6">
        <f>[1]Results!X423</f>
        <v>35.440755759999995</v>
      </c>
      <c r="V262" s="6">
        <f>[1]Results!Y423</f>
        <v>35.616896490000002</v>
      </c>
      <c r="W262" s="6">
        <f>[1]Results!Z423</f>
        <v>35.780086429999997</v>
      </c>
      <c r="X262" s="6">
        <f>[1]Results!AA423</f>
        <v>35.933783099999999</v>
      </c>
      <c r="Y262" s="6">
        <f>[1]Results!AB423</f>
        <v>36.076717270000003</v>
      </c>
      <c r="Z262" s="6">
        <f>[1]Results!AC423</f>
        <v>36.207525189999998</v>
      </c>
      <c r="AA262" s="6">
        <f>[1]Results!AD423</f>
        <v>36.324902310000006</v>
      </c>
      <c r="AB262" s="6">
        <f>[1]Results!AE423</f>
        <v>36.414095759999995</v>
      </c>
      <c r="AC262" s="6">
        <f>[1]Results!AF423</f>
        <v>36.4850961</v>
      </c>
      <c r="AD262" s="6">
        <f>[1]Results!AG423</f>
        <v>36.539193529999999</v>
      </c>
      <c r="AE262" s="6">
        <f>[1]Results!AH423</f>
        <v>36.576740829999999</v>
      </c>
      <c r="AF262" s="6">
        <f>[1]Results!AI423</f>
        <v>36.59734504</v>
      </c>
      <c r="AG262" s="6">
        <f>[1]Results!AJ423</f>
        <v>36.600403010000001</v>
      </c>
      <c r="AH262" s="6">
        <f>[1]Results!AK423</f>
        <v>36.585530740000003</v>
      </c>
      <c r="AI262" s="6">
        <f>[1]Results!AL423</f>
        <v>36.552766290000001</v>
      </c>
      <c r="AJ262" s="6">
        <f>[1]Results!AM423</f>
        <v>36.502545670000003</v>
      </c>
      <c r="AK262" s="6">
        <f>[1]Results!AN423</f>
        <v>36.435532439999996</v>
      </c>
      <c r="AL262" s="6">
        <f>[1]Results!AO423</f>
        <v>36.352411109999998</v>
      </c>
    </row>
    <row r="264" spans="1:3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</row>
    <row r="265" spans="1:38" x14ac:dyDescent="0.3">
      <c r="A265" t="s">
        <v>27</v>
      </c>
      <c r="B265" t="s">
        <v>80</v>
      </c>
      <c r="C265" s="9">
        <f t="shared" ref="C265:AL265" si="53">(C246/C141)/(C255/C129)-1</f>
        <v>0</v>
      </c>
      <c r="D265" s="9">
        <f t="shared" si="53"/>
        <v>0</v>
      </c>
      <c r="E265" s="9">
        <f t="shared" si="53"/>
        <v>0</v>
      </c>
      <c r="F265" s="9">
        <f t="shared" si="53"/>
        <v>0</v>
      </c>
      <c r="G265" s="9">
        <f t="shared" si="53"/>
        <v>0</v>
      </c>
      <c r="H265" s="9">
        <f t="shared" si="53"/>
        <v>0</v>
      </c>
      <c r="I265" s="9">
        <f t="shared" si="53"/>
        <v>1.5358553665500985E-4</v>
      </c>
      <c r="J265" s="9">
        <f t="shared" si="53"/>
        <v>-4.8902410934914542E-4</v>
      </c>
      <c r="K265" s="9">
        <f t="shared" si="53"/>
        <v>-2.8044607197572624E-3</v>
      </c>
      <c r="L265" s="9">
        <f t="shared" si="53"/>
        <v>-7.3685761447964682E-3</v>
      </c>
      <c r="M265" s="9">
        <f t="shared" si="53"/>
        <v>-1.43103027492546E-2</v>
      </c>
      <c r="N265" s="9">
        <f t="shared" si="53"/>
        <v>-2.2924613887145173E-2</v>
      </c>
      <c r="O265" s="9">
        <f t="shared" si="53"/>
        <v>-3.2099157005228141E-2</v>
      </c>
      <c r="P265" s="9">
        <f t="shared" si="53"/>
        <v>-4.0567790072251086E-2</v>
      </c>
      <c r="Q265" s="9">
        <f t="shared" si="53"/>
        <v>-4.7282801617202774E-2</v>
      </c>
      <c r="R265" s="9">
        <f t="shared" si="53"/>
        <v>-5.1641898116149387E-2</v>
      </c>
      <c r="S265" s="9">
        <f t="shared" si="53"/>
        <v>-5.3534313687611301E-2</v>
      </c>
      <c r="T265" s="9">
        <f t="shared" si="53"/>
        <v>-5.3243496969614945E-2</v>
      </c>
      <c r="U265" s="9">
        <f t="shared" si="53"/>
        <v>-5.1278458833701968E-2</v>
      </c>
      <c r="V265" s="9">
        <f t="shared" si="53"/>
        <v>-4.8203817823384676E-2</v>
      </c>
      <c r="W265" s="9">
        <f t="shared" si="53"/>
        <v>-4.4576704314622684E-2</v>
      </c>
      <c r="X265" s="9">
        <f t="shared" si="53"/>
        <v>-4.0638241389743479E-2</v>
      </c>
      <c r="Y265" s="9">
        <f t="shared" si="53"/>
        <v>-3.6743526046431607E-2</v>
      </c>
      <c r="Z265" s="9">
        <f t="shared" si="53"/>
        <v>-3.3097972865843928E-2</v>
      </c>
      <c r="AA265" s="9">
        <f t="shared" si="53"/>
        <v>-2.9850345171384407E-2</v>
      </c>
      <c r="AB265" s="9">
        <f t="shared" si="53"/>
        <v>-2.7192703249937056E-2</v>
      </c>
      <c r="AC265" s="9">
        <f t="shared" si="53"/>
        <v>-2.5059034723441176E-2</v>
      </c>
      <c r="AD265" s="9">
        <f t="shared" si="53"/>
        <v>-2.3579601893515378E-2</v>
      </c>
      <c r="AE265" s="9">
        <f t="shared" si="53"/>
        <v>-2.2761194085094916E-2</v>
      </c>
      <c r="AF265" s="9">
        <f t="shared" si="53"/>
        <v>-2.2530829830630705E-2</v>
      </c>
      <c r="AG265" s="9">
        <f t="shared" si="53"/>
        <v>-2.2755823468191494E-2</v>
      </c>
      <c r="AH265" s="9">
        <f t="shared" si="53"/>
        <v>-2.326991639183229E-2</v>
      </c>
      <c r="AI265" s="9">
        <f t="shared" si="53"/>
        <v>-2.3902113570826611E-2</v>
      </c>
      <c r="AJ265" s="9">
        <f t="shared" si="53"/>
        <v>-2.4500200147785756E-2</v>
      </c>
      <c r="AK265" s="9">
        <f t="shared" si="53"/>
        <v>-2.494603408384255E-2</v>
      </c>
      <c r="AL265" s="9">
        <f t="shared" si="53"/>
        <v>-2.5162327523077122E-2</v>
      </c>
    </row>
    <row r="266" spans="1:38" x14ac:dyDescent="0.3">
      <c r="B266" t="s">
        <v>7</v>
      </c>
      <c r="C266" s="9">
        <f t="shared" ref="C266:AL266" si="54">(C247/C142)/(C256/C130)-1</f>
        <v>0</v>
      </c>
      <c r="D266" s="9">
        <f t="shared" si="54"/>
        <v>0</v>
      </c>
      <c r="E266" s="9">
        <f t="shared" si="54"/>
        <v>0</v>
      </c>
      <c r="F266" s="9">
        <f t="shared" si="54"/>
        <v>0</v>
      </c>
      <c r="G266" s="9">
        <f t="shared" si="54"/>
        <v>0</v>
      </c>
      <c r="H266" s="9">
        <f t="shared" si="54"/>
        <v>0</v>
      </c>
      <c r="I266" s="9">
        <f t="shared" si="54"/>
        <v>-1.8779982609684609E-5</v>
      </c>
      <c r="J266" s="9">
        <f t="shared" si="54"/>
        <v>9.8916239030599762E-4</v>
      </c>
      <c r="K266" s="9">
        <f t="shared" si="54"/>
        <v>1.9379128241703292E-3</v>
      </c>
      <c r="L266" s="9">
        <f t="shared" si="54"/>
        <v>1.5205602968466625E-3</v>
      </c>
      <c r="M266" s="9">
        <f t="shared" si="54"/>
        <v>-1.1365887565517596E-3</v>
      </c>
      <c r="N266" s="9">
        <f t="shared" si="54"/>
        <v>-5.8511270833166984E-3</v>
      </c>
      <c r="O266" s="9">
        <f t="shared" si="54"/>
        <v>-1.1879496749193419E-2</v>
      </c>
      <c r="P266" s="9">
        <f t="shared" si="54"/>
        <v>-1.8117063107939257E-2</v>
      </c>
      <c r="Q266" s="9">
        <f t="shared" si="54"/>
        <v>-2.3514039591877256E-2</v>
      </c>
      <c r="R266" s="9">
        <f t="shared" si="54"/>
        <v>-2.7385102195488731E-2</v>
      </c>
      <c r="S266" s="9">
        <f t="shared" si="54"/>
        <v>-2.9511506978273205E-2</v>
      </c>
      <c r="T266" s="9">
        <f t="shared" si="54"/>
        <v>-3.0062135147334579E-2</v>
      </c>
      <c r="U266" s="9">
        <f t="shared" si="54"/>
        <v>-2.9420775758693396E-2</v>
      </c>
      <c r="V266" s="9">
        <f t="shared" si="54"/>
        <v>-2.8010663931295698E-2</v>
      </c>
      <c r="W266" s="9">
        <f t="shared" si="54"/>
        <v>-2.6187993663707165E-2</v>
      </c>
      <c r="X266" s="9">
        <f t="shared" si="54"/>
        <v>-2.4153773165436099E-2</v>
      </c>
      <c r="Y266" s="9">
        <f t="shared" si="54"/>
        <v>-2.205065841431697E-2</v>
      </c>
      <c r="Z266" s="9">
        <f t="shared" si="54"/>
        <v>-1.9965410760770519E-2</v>
      </c>
      <c r="AA266" s="9">
        <f t="shared" si="54"/>
        <v>-1.7970001294870919E-2</v>
      </c>
      <c r="AB266" s="9">
        <f t="shared" si="54"/>
        <v>-1.6142082518729395E-2</v>
      </c>
      <c r="AC266" s="9">
        <f t="shared" si="54"/>
        <v>-1.456970755162923E-2</v>
      </c>
      <c r="AD266" s="9">
        <f t="shared" si="54"/>
        <v>-1.3346736082421429E-2</v>
      </c>
      <c r="AE266" s="9">
        <f t="shared" si="54"/>
        <v>-1.2526833520577596E-2</v>
      </c>
      <c r="AF266" s="9">
        <f t="shared" si="54"/>
        <v>-1.210571425301965E-2</v>
      </c>
      <c r="AG266" s="9">
        <f t="shared" si="54"/>
        <v>-1.202446260241441E-2</v>
      </c>
      <c r="AH266" s="9">
        <f t="shared" si="54"/>
        <v>-1.2187926719279485E-2</v>
      </c>
      <c r="AI266" s="9">
        <f t="shared" si="54"/>
        <v>-1.2488538591728271E-2</v>
      </c>
      <c r="AJ266" s="9">
        <f t="shared" si="54"/>
        <v>-1.2826383989916867E-2</v>
      </c>
      <c r="AK266" s="9">
        <f t="shared" si="54"/>
        <v>-1.312242737912328E-2</v>
      </c>
      <c r="AL266" s="9">
        <f t="shared" si="54"/>
        <v>-1.3324074080538817E-2</v>
      </c>
    </row>
    <row r="267" spans="1:38" x14ac:dyDescent="0.3">
      <c r="B267" t="s">
        <v>8</v>
      </c>
      <c r="C267" s="9">
        <f t="shared" ref="C267:AL267" si="55">(C248/C145)/(C257/C133)-1</f>
        <v>0</v>
      </c>
      <c r="D267" s="9">
        <f t="shared" si="55"/>
        <v>0</v>
      </c>
      <c r="E267" s="9">
        <f t="shared" si="55"/>
        <v>0</v>
      </c>
      <c r="F267" s="9">
        <f t="shared" si="55"/>
        <v>0</v>
      </c>
      <c r="G267" s="9">
        <f t="shared" si="55"/>
        <v>0</v>
      </c>
      <c r="H267" s="9">
        <f t="shared" si="55"/>
        <v>0</v>
      </c>
      <c r="I267" s="9">
        <f t="shared" si="55"/>
        <v>1.0232904305134127E-3</v>
      </c>
      <c r="J267" s="9">
        <f t="shared" si="55"/>
        <v>8.4395293576733366E-5</v>
      </c>
      <c r="K267" s="9">
        <f t="shared" si="55"/>
        <v>-2.5078466382781883E-3</v>
      </c>
      <c r="L267" s="9">
        <f t="shared" si="55"/>
        <v>-6.419561661980433E-3</v>
      </c>
      <c r="M267" s="9">
        <f t="shared" si="55"/>
        <v>-1.1215298992920508E-2</v>
      </c>
      <c r="N267" s="9">
        <f t="shared" si="55"/>
        <v>-1.6370366989807539E-2</v>
      </c>
      <c r="O267" s="9">
        <f t="shared" si="55"/>
        <v>-2.1256413247766948E-2</v>
      </c>
      <c r="P267" s="9">
        <f t="shared" si="55"/>
        <v>-2.534006475313566E-2</v>
      </c>
      <c r="Q267" s="9">
        <f t="shared" si="55"/>
        <v>-2.8266263582921725E-2</v>
      </c>
      <c r="R267" s="9">
        <f t="shared" si="55"/>
        <v>-2.9894145257431171E-2</v>
      </c>
      <c r="S267" s="9">
        <f t="shared" si="55"/>
        <v>-3.0274693969463584E-2</v>
      </c>
      <c r="T267" s="9">
        <f t="shared" si="55"/>
        <v>-2.9597657881547113E-2</v>
      </c>
      <c r="U267" s="9">
        <f t="shared" si="55"/>
        <v>-2.812568873202681E-2</v>
      </c>
      <c r="V267" s="9">
        <f t="shared" si="55"/>
        <v>-2.6134565036109891E-2</v>
      </c>
      <c r="W267" s="9">
        <f t="shared" si="55"/>
        <v>-2.3906351928385305E-2</v>
      </c>
      <c r="X267" s="9">
        <f t="shared" si="55"/>
        <v>-2.1558744942748009E-2</v>
      </c>
      <c r="Y267" s="9">
        <f t="shared" si="55"/>
        <v>-1.9304815318187174E-2</v>
      </c>
      <c r="Z267" s="9">
        <f t="shared" si="55"/>
        <v>-1.7273676148051531E-2</v>
      </c>
      <c r="AA267" s="9">
        <f t="shared" si="55"/>
        <v>-1.5556974869279205E-2</v>
      </c>
      <c r="AB267" s="9">
        <f t="shared" si="55"/>
        <v>-1.426263496997926E-2</v>
      </c>
      <c r="AC267" s="9">
        <f t="shared" si="55"/>
        <v>-1.3324995403840023E-2</v>
      </c>
      <c r="AD267" s="9">
        <f t="shared" si="55"/>
        <v>-1.2791986804497335E-2</v>
      </c>
      <c r="AE267" s="9">
        <f t="shared" si="55"/>
        <v>-1.2634438526685443E-2</v>
      </c>
      <c r="AF267" s="9">
        <f t="shared" si="55"/>
        <v>-1.2782881105926069E-2</v>
      </c>
      <c r="AG267" s="9">
        <f t="shared" si="55"/>
        <v>-1.3144612450618265E-2</v>
      </c>
      <c r="AH267" s="9">
        <f t="shared" si="55"/>
        <v>-1.3618313709678365E-2</v>
      </c>
      <c r="AI267" s="9">
        <f t="shared" si="55"/>
        <v>-1.4107428654969389E-2</v>
      </c>
      <c r="AJ267" s="9">
        <f t="shared" si="55"/>
        <v>-1.4530636530972973E-2</v>
      </c>
      <c r="AK267" s="9">
        <f t="shared" si="55"/>
        <v>-1.4827588538090963E-2</v>
      </c>
      <c r="AL267" s="9">
        <f t="shared" si="55"/>
        <v>-1.4960884524415352E-2</v>
      </c>
    </row>
    <row r="268" spans="1:38" x14ac:dyDescent="0.3">
      <c r="B268" t="s">
        <v>10</v>
      </c>
      <c r="C268" s="9">
        <f t="shared" ref="C268:AL268" si="56">(C249/C147)/(C258/C135)-1</f>
        <v>0</v>
      </c>
      <c r="D268" s="9">
        <f t="shared" si="56"/>
        <v>0</v>
      </c>
      <c r="E268" s="9">
        <f t="shared" si="56"/>
        <v>0</v>
      </c>
      <c r="F268" s="9">
        <f t="shared" si="56"/>
        <v>0</v>
      </c>
      <c r="G268" s="9">
        <f t="shared" si="56"/>
        <v>0</v>
      </c>
      <c r="H268" s="9">
        <f t="shared" si="56"/>
        <v>0</v>
      </c>
      <c r="I268" s="9">
        <f t="shared" si="56"/>
        <v>2.9213942014405525E-4</v>
      </c>
      <c r="J268" s="9">
        <f t="shared" si="56"/>
        <v>-8.5137152323244703E-4</v>
      </c>
      <c r="K268" s="9">
        <f t="shared" si="56"/>
        <v>-4.7815128693993181E-3</v>
      </c>
      <c r="L268" s="9">
        <f t="shared" si="56"/>
        <v>-1.265341372688078E-2</v>
      </c>
      <c r="M268" s="9">
        <f t="shared" si="56"/>
        <v>-2.4851625255913112E-2</v>
      </c>
      <c r="N268" s="9">
        <f t="shared" si="56"/>
        <v>-4.0075215003282816E-2</v>
      </c>
      <c r="O268" s="9">
        <f t="shared" si="56"/>
        <v>-5.6332823492009521E-2</v>
      </c>
      <c r="P268" s="9">
        <f t="shared" si="56"/>
        <v>-7.1340215909771576E-2</v>
      </c>
      <c r="Q268" s="9">
        <f t="shared" si="56"/>
        <v>-8.321436782311642E-2</v>
      </c>
      <c r="R268" s="9">
        <f t="shared" si="56"/>
        <v>-9.0896855687816913E-2</v>
      </c>
      <c r="S268" s="9">
        <f t="shared" si="56"/>
        <v>-9.4214778196678228E-2</v>
      </c>
      <c r="T268" s="9">
        <f t="shared" si="56"/>
        <v>-9.3690038553408406E-2</v>
      </c>
      <c r="U268" s="9">
        <f t="shared" si="56"/>
        <v>-9.0232719595885302E-2</v>
      </c>
      <c r="V268" s="9">
        <f t="shared" si="56"/>
        <v>-8.4842217346834503E-2</v>
      </c>
      <c r="W268" s="9">
        <f t="shared" si="56"/>
        <v>-7.8418245867186265E-2</v>
      </c>
      <c r="X268" s="9">
        <f t="shared" si="56"/>
        <v>-7.1576235287773238E-2</v>
      </c>
      <c r="Y268" s="9">
        <f t="shared" si="56"/>
        <v>-6.4810385945485716E-2</v>
      </c>
      <c r="Z268" s="9">
        <f t="shared" si="56"/>
        <v>-5.8460613197372391E-2</v>
      </c>
      <c r="AA268" s="9">
        <f t="shared" si="56"/>
        <v>-5.2777862167431411E-2</v>
      </c>
      <c r="AB268" s="9">
        <f t="shared" si="56"/>
        <v>-4.7962929164525936E-2</v>
      </c>
      <c r="AC268" s="9">
        <f t="shared" si="56"/>
        <v>-4.4158214856701572E-2</v>
      </c>
      <c r="AD268" s="9">
        <f t="shared" si="56"/>
        <v>-4.148054835925552E-2</v>
      </c>
      <c r="AE268" s="9">
        <f t="shared" si="56"/>
        <v>-3.9935467187573348E-2</v>
      </c>
      <c r="AF268" s="9">
        <f t="shared" si="56"/>
        <v>-3.9404592056112797E-2</v>
      </c>
      <c r="AG268" s="9">
        <f t="shared" si="56"/>
        <v>-3.9665148979436071E-2</v>
      </c>
      <c r="AH268" s="9">
        <f t="shared" si="56"/>
        <v>-4.0434119862013618E-2</v>
      </c>
      <c r="AI268" s="9">
        <f t="shared" si="56"/>
        <v>-4.1419400555369745E-2</v>
      </c>
      <c r="AJ268" s="9">
        <f t="shared" si="56"/>
        <v>-4.2362130396479181E-2</v>
      </c>
      <c r="AK268" s="9">
        <f t="shared" si="56"/>
        <v>-4.3062929459855126E-2</v>
      </c>
      <c r="AL268" s="9">
        <f t="shared" si="56"/>
        <v>-4.3392374336086226E-2</v>
      </c>
    </row>
    <row r="269" spans="1:38" x14ac:dyDescent="0.3">
      <c r="B269" t="s">
        <v>23</v>
      </c>
      <c r="C269" s="9">
        <f t="shared" ref="C269:AL269" si="57">(C250/C148)/(C259/C136)-1</f>
        <v>0</v>
      </c>
      <c r="D269" s="9">
        <f t="shared" si="57"/>
        <v>0</v>
      </c>
      <c r="E269" s="9">
        <f t="shared" si="57"/>
        <v>0</v>
      </c>
      <c r="F269" s="9">
        <f t="shared" si="57"/>
        <v>0</v>
      </c>
      <c r="G269" s="9">
        <f t="shared" si="57"/>
        <v>0</v>
      </c>
      <c r="H269" s="9">
        <f t="shared" si="57"/>
        <v>0</v>
      </c>
      <c r="I269" s="9">
        <f t="shared" si="57"/>
        <v>4.8311462871541977E-5</v>
      </c>
      <c r="J269" s="9">
        <f t="shared" si="57"/>
        <v>1.7181426889201212E-4</v>
      </c>
      <c r="K269" s="9">
        <f t="shared" si="57"/>
        <v>1.4803282028830189E-4</v>
      </c>
      <c r="L269" s="9">
        <f t="shared" si="57"/>
        <v>-1.3431218369563958E-4</v>
      </c>
      <c r="M269" s="9">
        <f t="shared" si="57"/>
        <v>-7.1191750858612401E-4</v>
      </c>
      <c r="N269" s="9">
        <f t="shared" si="57"/>
        <v>-1.5077964830025881E-3</v>
      </c>
      <c r="O269" s="9">
        <f t="shared" si="57"/>
        <v>-2.4056806416402621E-3</v>
      </c>
      <c r="P269" s="9">
        <f t="shared" si="57"/>
        <v>-3.270348478727203E-3</v>
      </c>
      <c r="Q269" s="9">
        <f t="shared" si="57"/>
        <v>-3.9880749434616503E-3</v>
      </c>
      <c r="R269" s="9">
        <f t="shared" si="57"/>
        <v>-4.4925333544105772E-3</v>
      </c>
      <c r="S269" s="9">
        <f t="shared" si="57"/>
        <v>-4.7702718225481888E-3</v>
      </c>
      <c r="T269" s="9">
        <f t="shared" si="57"/>
        <v>-4.8487063624711446E-3</v>
      </c>
      <c r="U269" s="9">
        <f t="shared" si="57"/>
        <v>-4.7755785252637795E-3</v>
      </c>
      <c r="V269" s="9">
        <f t="shared" si="57"/>
        <v>-4.5998432885733243E-3</v>
      </c>
      <c r="W269" s="9">
        <f t="shared" si="57"/>
        <v>-4.3628868349704364E-3</v>
      </c>
      <c r="X269" s="9">
        <f t="shared" si="57"/>
        <v>-4.0843948575475242E-3</v>
      </c>
      <c r="Y269" s="9">
        <f t="shared" si="57"/>
        <v>-3.7870545703438951E-3</v>
      </c>
      <c r="Z269" s="9">
        <f t="shared" si="57"/>
        <v>-3.4879757358181607E-3</v>
      </c>
      <c r="AA269" s="9">
        <f t="shared" si="57"/>
        <v>-3.204698546713125E-3</v>
      </c>
      <c r="AB269" s="9">
        <f t="shared" si="57"/>
        <v>-2.9568450754677844E-3</v>
      </c>
      <c r="AC269" s="9">
        <f t="shared" si="57"/>
        <v>-2.7579183542431052E-3</v>
      </c>
      <c r="AD269" s="9">
        <f t="shared" si="57"/>
        <v>-2.6239517168591409E-3</v>
      </c>
      <c r="AE269" s="9">
        <f t="shared" si="57"/>
        <v>-2.5604796323880352E-3</v>
      </c>
      <c r="AF269" s="9">
        <f t="shared" si="57"/>
        <v>-2.5625909381565837E-3</v>
      </c>
      <c r="AG269" s="9">
        <f t="shared" si="57"/>
        <v>-2.6164864419601086E-3</v>
      </c>
      <c r="AH269" s="9">
        <f t="shared" si="57"/>
        <v>-2.7030447638527466E-3</v>
      </c>
      <c r="AI269" s="9">
        <f t="shared" si="57"/>
        <v>-2.8018722905537308E-3</v>
      </c>
      <c r="AJ269" s="9">
        <f t="shared" si="57"/>
        <v>-2.8946146266471962E-3</v>
      </c>
      <c r="AK269" s="9">
        <f t="shared" si="57"/>
        <v>-2.9670871731946047E-3</v>
      </c>
      <c r="AL269" s="9">
        <f t="shared" si="57"/>
        <v>-3.0102266540240619E-3</v>
      </c>
    </row>
    <row r="270" spans="1:38" x14ac:dyDescent="0.3">
      <c r="B270" t="s">
        <v>32</v>
      </c>
      <c r="C270" s="9">
        <f t="shared" ref="C270:AL270" si="58">(C251/C59)/(C260/C58)-1</f>
        <v>0</v>
      </c>
      <c r="D270" s="9">
        <f t="shared" si="58"/>
        <v>0</v>
      </c>
      <c r="E270" s="9">
        <f t="shared" si="58"/>
        <v>0</v>
      </c>
      <c r="F270" s="9">
        <f t="shared" si="58"/>
        <v>0</v>
      </c>
      <c r="G270" s="9">
        <f t="shared" si="58"/>
        <v>0</v>
      </c>
      <c r="H270" s="9">
        <f t="shared" si="58"/>
        <v>0</v>
      </c>
      <c r="I270" s="9">
        <f t="shared" si="58"/>
        <v>-9.1818957703382331E-5</v>
      </c>
      <c r="J270" s="9">
        <f t="shared" si="58"/>
        <v>-6.2695906441623261E-4</v>
      </c>
      <c r="K270" s="9">
        <f t="shared" si="58"/>
        <v>-1.3378023119177129E-3</v>
      </c>
      <c r="L270" s="9">
        <f t="shared" si="58"/>
        <v>-2.4486310547893186E-3</v>
      </c>
      <c r="M270" s="9">
        <f t="shared" si="58"/>
        <v>-4.1444931551304354E-3</v>
      </c>
      <c r="N270" s="9">
        <f t="shared" si="58"/>
        <v>-6.4087129336445336E-3</v>
      </c>
      <c r="O270" s="9">
        <f t="shared" si="58"/>
        <v>-8.8853111172927379E-3</v>
      </c>
      <c r="P270" s="9">
        <f t="shared" si="58"/>
        <v>-1.1030389027701482E-2</v>
      </c>
      <c r="Q270" s="9">
        <f t="shared" si="58"/>
        <v>-1.2399113203678813E-2</v>
      </c>
      <c r="R270" s="9">
        <f t="shared" si="58"/>
        <v>-1.2930147583131713E-2</v>
      </c>
      <c r="S270" s="9">
        <f t="shared" si="58"/>
        <v>-1.2688032263995064E-2</v>
      </c>
      <c r="T270" s="9">
        <f t="shared" si="58"/>
        <v>-1.185559885723253E-2</v>
      </c>
      <c r="U270" s="9">
        <f t="shared" si="58"/>
        <v>-1.0666372967795712E-2</v>
      </c>
      <c r="V270" s="9">
        <f t="shared" si="58"/>
        <v>-9.3320293358305495E-3</v>
      </c>
      <c r="W270" s="9">
        <f t="shared" si="58"/>
        <v>-7.9893964695284536E-3</v>
      </c>
      <c r="X270" s="9">
        <f t="shared" si="58"/>
        <v>-6.6298072194678204E-3</v>
      </c>
      <c r="Y270" s="9">
        <f t="shared" si="58"/>
        <v>-5.2654494610833158E-3</v>
      </c>
      <c r="Z270" s="9">
        <f t="shared" si="58"/>
        <v>-3.888879190903638E-3</v>
      </c>
      <c r="AA270" s="9">
        <f t="shared" si="58"/>
        <v>-2.4976131834122395E-3</v>
      </c>
      <c r="AB270" s="9">
        <f t="shared" si="58"/>
        <v>-1.10223538314147E-3</v>
      </c>
      <c r="AC270" s="9">
        <f t="shared" si="58"/>
        <v>2.8522967820454603E-4</v>
      </c>
      <c r="AD270" s="9">
        <f t="shared" si="58"/>
        <v>1.6479480979996186E-3</v>
      </c>
      <c r="AE270" s="9">
        <f t="shared" si="58"/>
        <v>2.9854972516369926E-3</v>
      </c>
      <c r="AF270" s="9">
        <f t="shared" si="58"/>
        <v>4.3131054085041587E-3</v>
      </c>
      <c r="AG270" s="9">
        <f t="shared" si="58"/>
        <v>5.6538995621380206E-3</v>
      </c>
      <c r="AH270" s="9">
        <f t="shared" si="58"/>
        <v>7.0429782587788647E-3</v>
      </c>
      <c r="AI270" s="9">
        <f t="shared" si="58"/>
        <v>8.5258890066399751E-3</v>
      </c>
      <c r="AJ270" s="9">
        <f t="shared" si="58"/>
        <v>1.0124938663794492E-2</v>
      </c>
      <c r="AK270" s="9">
        <f t="shared" si="58"/>
        <v>1.1854195478719021E-2</v>
      </c>
      <c r="AL270" s="9">
        <f t="shared" si="58"/>
        <v>1.3740534565873874E-2</v>
      </c>
    </row>
    <row r="271" spans="1:38" x14ac:dyDescent="0.3">
      <c r="B271" t="s">
        <v>33</v>
      </c>
      <c r="C271" s="9">
        <f t="shared" ref="C271:AL271" si="59">(C252/C59)/(C261/C58)-1</f>
        <v>0</v>
      </c>
      <c r="D271" s="9">
        <f t="shared" si="59"/>
        <v>0</v>
      </c>
      <c r="E271" s="9">
        <f t="shared" si="59"/>
        <v>0</v>
      </c>
      <c r="F271" s="9">
        <f t="shared" si="59"/>
        <v>0</v>
      </c>
      <c r="G271" s="9">
        <f t="shared" si="59"/>
        <v>0</v>
      </c>
      <c r="H271" s="9">
        <f t="shared" si="59"/>
        <v>0</v>
      </c>
      <c r="I271" s="9">
        <f t="shared" si="59"/>
        <v>-1.3708453758809469E-4</v>
      </c>
      <c r="J271" s="9">
        <f t="shared" si="59"/>
        <v>-2.0017124815023823E-3</v>
      </c>
      <c r="K271" s="9">
        <f t="shared" si="59"/>
        <v>-4.6917835211321979E-3</v>
      </c>
      <c r="L271" s="9">
        <f t="shared" si="59"/>
        <v>-8.1133143586399337E-3</v>
      </c>
      <c r="M271" s="9">
        <f t="shared" si="59"/>
        <v>-1.2230730090862396E-2</v>
      </c>
      <c r="N271" s="9">
        <f t="shared" si="59"/>
        <v>-1.7028279797998258E-2</v>
      </c>
      <c r="O271" s="9">
        <f t="shared" si="59"/>
        <v>-2.1967937059506282E-2</v>
      </c>
      <c r="P271" s="9">
        <f t="shared" si="59"/>
        <v>-2.630959164272495E-2</v>
      </c>
      <c r="Q271" s="9">
        <f t="shared" si="59"/>
        <v>-2.9478350834384992E-2</v>
      </c>
      <c r="R271" s="9">
        <f t="shared" si="59"/>
        <v>-3.1511795556976474E-2</v>
      </c>
      <c r="S271" s="9">
        <f t="shared" si="59"/>
        <v>-3.2553350853234297E-2</v>
      </c>
      <c r="T271" s="9">
        <f t="shared" si="59"/>
        <v>-3.2870221555891477E-2</v>
      </c>
      <c r="U271" s="9">
        <f t="shared" si="59"/>
        <v>-3.2784918688386289E-2</v>
      </c>
      <c r="V271" s="9">
        <f t="shared" si="59"/>
        <v>-3.2591965557155489E-2</v>
      </c>
      <c r="W271" s="9">
        <f t="shared" si="59"/>
        <v>-3.2479626000939232E-2</v>
      </c>
      <c r="X271" s="9">
        <f t="shared" si="59"/>
        <v>-3.2433625828265478E-2</v>
      </c>
      <c r="Y271" s="9">
        <f t="shared" si="59"/>
        <v>-3.2476609834812598E-2</v>
      </c>
      <c r="Z271" s="9">
        <f t="shared" si="59"/>
        <v>-3.261612794164559E-2</v>
      </c>
      <c r="AA271" s="9">
        <f t="shared" si="59"/>
        <v>-3.2863093327797799E-2</v>
      </c>
      <c r="AB271" s="9">
        <f t="shared" si="59"/>
        <v>-3.324047157875476E-2</v>
      </c>
      <c r="AC271" s="9">
        <f t="shared" si="59"/>
        <v>-3.3765746549435538E-2</v>
      </c>
      <c r="AD271" s="9">
        <f t="shared" si="59"/>
        <v>-3.4456265921101403E-2</v>
      </c>
      <c r="AE271" s="9">
        <f t="shared" si="59"/>
        <v>-3.530577504134913E-2</v>
      </c>
      <c r="AF271" s="9">
        <f t="shared" si="59"/>
        <v>-3.6286514892418187E-2</v>
      </c>
      <c r="AG271" s="9">
        <f t="shared" si="59"/>
        <v>-3.7365659312824984E-2</v>
      </c>
      <c r="AH271" s="9">
        <f t="shared" si="59"/>
        <v>-3.8493493248327959E-2</v>
      </c>
      <c r="AI271" s="9">
        <f t="shared" si="59"/>
        <v>-3.9600561605422357E-2</v>
      </c>
      <c r="AJ271" s="9">
        <f t="shared" si="59"/>
        <v>-4.0658531067806924E-2</v>
      </c>
      <c r="AK271" s="9">
        <f t="shared" si="59"/>
        <v>-4.1647644539688389E-2</v>
      </c>
      <c r="AL271" s="9">
        <f t="shared" si="59"/>
        <v>-4.2516903944039952E-2</v>
      </c>
    </row>
    <row r="272" spans="1:38" x14ac:dyDescent="0.3">
      <c r="B272" t="s">
        <v>34</v>
      </c>
      <c r="C272" s="9">
        <f t="shared" ref="C272:AL272" si="60">(C253/C59)/(C262/C58)-1</f>
        <v>0</v>
      </c>
      <c r="D272" s="9">
        <f t="shared" si="60"/>
        <v>0</v>
      </c>
      <c r="E272" s="9">
        <f t="shared" si="60"/>
        <v>0</v>
      </c>
      <c r="F272" s="9">
        <f t="shared" si="60"/>
        <v>0</v>
      </c>
      <c r="G272" s="9">
        <f t="shared" si="60"/>
        <v>0</v>
      </c>
      <c r="H272" s="9">
        <f t="shared" si="60"/>
        <v>0</v>
      </c>
      <c r="I272" s="9">
        <f t="shared" si="60"/>
        <v>-3.8423156982103635E-5</v>
      </c>
      <c r="J272" s="9">
        <f t="shared" si="60"/>
        <v>9.881136812364133E-4</v>
      </c>
      <c r="K272" s="9">
        <f t="shared" si="60"/>
        <v>2.5857631478412024E-3</v>
      </c>
      <c r="L272" s="9">
        <f t="shared" si="60"/>
        <v>4.1477446219126968E-3</v>
      </c>
      <c r="M272" s="9">
        <f t="shared" si="60"/>
        <v>5.228056505080847E-3</v>
      </c>
      <c r="N272" s="9">
        <f t="shared" si="60"/>
        <v>5.8361748992461493E-3</v>
      </c>
      <c r="O272" s="9">
        <f t="shared" si="60"/>
        <v>6.1159232958782894E-3</v>
      </c>
      <c r="P272" s="9">
        <f t="shared" si="60"/>
        <v>6.3884736006505349E-3</v>
      </c>
      <c r="Q272" s="9">
        <f t="shared" si="60"/>
        <v>6.9551012538890955E-3</v>
      </c>
      <c r="R272" s="9">
        <f t="shared" si="60"/>
        <v>7.9950298458044688E-3</v>
      </c>
      <c r="S272" s="9">
        <f t="shared" si="60"/>
        <v>9.5393740806277716E-3</v>
      </c>
      <c r="T272" s="9">
        <f t="shared" si="60"/>
        <v>1.1507160057708576E-2</v>
      </c>
      <c r="U272" s="9">
        <f t="shared" si="60"/>
        <v>1.3770839526142886E-2</v>
      </c>
      <c r="V272" s="9">
        <f t="shared" si="60"/>
        <v>1.621600755155983E-2</v>
      </c>
      <c r="W272" s="9">
        <f t="shared" si="60"/>
        <v>1.8760063917407033E-2</v>
      </c>
      <c r="X272" s="9">
        <f t="shared" si="60"/>
        <v>2.1414368392241645E-2</v>
      </c>
      <c r="Y272" s="9">
        <f t="shared" si="60"/>
        <v>2.4176161863116219E-2</v>
      </c>
      <c r="Z272" s="9">
        <f t="shared" si="60"/>
        <v>2.7068981762716549E-2</v>
      </c>
      <c r="AA272" s="9">
        <f t="shared" si="60"/>
        <v>3.0110443582498814E-2</v>
      </c>
      <c r="AB272" s="9">
        <f t="shared" si="60"/>
        <v>3.3285658244378569E-2</v>
      </c>
      <c r="AC272" s="9">
        <f t="shared" si="60"/>
        <v>3.6609968474388355E-2</v>
      </c>
      <c r="AD272" s="9">
        <f t="shared" si="60"/>
        <v>4.0065745119233664E-2</v>
      </c>
      <c r="AE272" s="9">
        <f t="shared" si="60"/>
        <v>4.3645967680361553E-2</v>
      </c>
      <c r="AF272" s="9">
        <f t="shared" si="60"/>
        <v>4.735479072485238E-2</v>
      </c>
      <c r="AG272" s="9">
        <f t="shared" si="60"/>
        <v>5.1208243360971517E-2</v>
      </c>
      <c r="AH272" s="9">
        <f t="shared" si="60"/>
        <v>5.5229359651110421E-2</v>
      </c>
      <c r="AI272" s="9">
        <f t="shared" si="60"/>
        <v>5.9441588864450612E-2</v>
      </c>
      <c r="AJ272" s="9">
        <f t="shared" si="60"/>
        <v>6.3863728744262938E-2</v>
      </c>
      <c r="AK272" s="9">
        <f t="shared" si="60"/>
        <v>6.850655151146956E-2</v>
      </c>
      <c r="AL272" s="9">
        <f t="shared" si="60"/>
        <v>7.3371720328505141E-2</v>
      </c>
    </row>
    <row r="274" spans="1:38" x14ac:dyDescent="0.3">
      <c r="A274" s="12" t="s">
        <v>17</v>
      </c>
      <c r="B274" t="s">
        <v>80</v>
      </c>
      <c r="C274" s="6">
        <f>[1]Results!F1600</f>
        <v>474303.56479999999</v>
      </c>
      <c r="D274" s="6">
        <f>[1]Results!G1600</f>
        <v>480425.25510000001</v>
      </c>
      <c r="E274" s="6">
        <f>[1]Results!H1600</f>
        <v>487426.28820000001</v>
      </c>
      <c r="F274" s="6">
        <f>[1]Results!I1600</f>
        <v>495497.03039999999</v>
      </c>
      <c r="G274" s="6">
        <f>[1]Results!J1600</f>
        <v>503962.68430000002</v>
      </c>
      <c r="H274" s="6">
        <f>[1]Results!K1600</f>
        <v>512350.60550000001</v>
      </c>
      <c r="I274" s="6">
        <f>[1]Results!L1600</f>
        <v>521068.09250000003</v>
      </c>
      <c r="J274" s="6">
        <f>[1]Results!M1600</f>
        <v>528560.35049999994</v>
      </c>
      <c r="K274" s="6">
        <f>[1]Results!N1600</f>
        <v>535130.52619999996</v>
      </c>
      <c r="L274" s="6">
        <f>[1]Results!O1600</f>
        <v>541515.9706</v>
      </c>
      <c r="M274" s="6">
        <f>[1]Results!P1600</f>
        <v>548236.28410000005</v>
      </c>
      <c r="N274" s="6">
        <f>[1]Results!Q1600</f>
        <v>556267.90619999997</v>
      </c>
      <c r="O274" s="6">
        <f>[1]Results!R1600</f>
        <v>565026.16359999997</v>
      </c>
      <c r="P274" s="6">
        <f>[1]Results!S1600</f>
        <v>574218.98080000002</v>
      </c>
      <c r="Q274" s="6">
        <f>[1]Results!T1600</f>
        <v>583657.74199999997</v>
      </c>
      <c r="R274" s="6">
        <f>[1]Results!U1600</f>
        <v>593244.81920000003</v>
      </c>
      <c r="S274" s="6">
        <f>[1]Results!V1600</f>
        <v>602977.24769999995</v>
      </c>
      <c r="T274" s="6">
        <f>[1]Results!W1600</f>
        <v>612917.25809999998</v>
      </c>
      <c r="U274" s="6">
        <f>[1]Results!X1600</f>
        <v>623144.59299999999</v>
      </c>
      <c r="V274" s="6">
        <f>[1]Results!Y1600</f>
        <v>633714.52850000001</v>
      </c>
      <c r="W274" s="6">
        <f>[1]Results!Z1600</f>
        <v>644653.90520000004</v>
      </c>
      <c r="X274" s="6">
        <f>[1]Results!AA1600</f>
        <v>655579.95290000003</v>
      </c>
      <c r="Y274" s="6">
        <f>[1]Results!AB1600</f>
        <v>666850.05350000004</v>
      </c>
      <c r="Z274" s="6">
        <f>[1]Results!AC1600</f>
        <v>678457.37580000004</v>
      </c>
      <c r="AA274" s="6">
        <f>[1]Results!AD1600</f>
        <v>690309.69629999995</v>
      </c>
      <c r="AB274" s="6">
        <f>[1]Results!AE1600</f>
        <v>702238.49899999995</v>
      </c>
      <c r="AC274" s="6">
        <f>[1]Results!AF1600</f>
        <v>713527.73450000002</v>
      </c>
      <c r="AD274" s="6">
        <f>[1]Results!AG1600</f>
        <v>724792.44200000004</v>
      </c>
      <c r="AE274" s="6">
        <f>[1]Results!AH1600</f>
        <v>736269.0392</v>
      </c>
      <c r="AF274" s="6">
        <f>[1]Results!AI1600</f>
        <v>748017.85149999999</v>
      </c>
      <c r="AG274" s="6">
        <f>[1]Results!AJ1600</f>
        <v>760003.04469999997</v>
      </c>
      <c r="AH274" s="6">
        <f>[1]Results!AK1600</f>
        <v>772149.33629999997</v>
      </c>
      <c r="AI274" s="6">
        <f>[1]Results!AL1600</f>
        <v>784390.29249999998</v>
      </c>
      <c r="AJ274" s="6">
        <f>[1]Results!AM1600</f>
        <v>796696.43319999997</v>
      </c>
      <c r="AK274" s="6">
        <f>[1]Results!AN1600</f>
        <v>809079.29819999996</v>
      </c>
      <c r="AL274" s="6">
        <f>[1]Results!AO1600</f>
        <v>821576.33510000003</v>
      </c>
    </row>
    <row r="275" spans="1:38" x14ac:dyDescent="0.3">
      <c r="A275" t="s">
        <v>27</v>
      </c>
      <c r="B275" t="s">
        <v>7</v>
      </c>
      <c r="C275" s="6">
        <f>[1]Results!F1601</f>
        <v>12210.834849999999</v>
      </c>
      <c r="D275" s="6">
        <f>[1]Results!G1601</f>
        <v>12225.33928</v>
      </c>
      <c r="E275" s="6">
        <f>[1]Results!H1601</f>
        <v>12197.58367</v>
      </c>
      <c r="F275" s="6">
        <f>[1]Results!I1601</f>
        <v>12177.213390000001</v>
      </c>
      <c r="G275" s="6">
        <f>[1]Results!J1601</f>
        <v>12181.342640000001</v>
      </c>
      <c r="H275" s="6">
        <f>[1]Results!K1601</f>
        <v>12212.85576</v>
      </c>
      <c r="I275" s="6">
        <f>[1]Results!L1601</f>
        <v>12267.08655</v>
      </c>
      <c r="J275" s="6">
        <f>[1]Results!M1601</f>
        <v>12327.26643</v>
      </c>
      <c r="K275" s="6">
        <f>[1]Results!N1601</f>
        <v>12390.097529999999</v>
      </c>
      <c r="L275" s="6">
        <f>[1]Results!O1601</f>
        <v>12455.09222</v>
      </c>
      <c r="M275" s="6">
        <f>[1]Results!P1601</f>
        <v>12531.28635</v>
      </c>
      <c r="N275" s="6">
        <f>[1]Results!Q1601</f>
        <v>12604.41869</v>
      </c>
      <c r="O275" s="6">
        <f>[1]Results!R1601</f>
        <v>12669.51425</v>
      </c>
      <c r="P275" s="6">
        <f>[1]Results!S1601</f>
        <v>12722.3974</v>
      </c>
      <c r="Q275" s="6">
        <f>[1]Results!T1601</f>
        <v>12760.72193</v>
      </c>
      <c r="R275" s="6">
        <f>[1]Results!U1601</f>
        <v>12784.575629999999</v>
      </c>
      <c r="S275" s="6">
        <f>[1]Results!V1601</f>
        <v>12796.187330000001</v>
      </c>
      <c r="T275" s="6">
        <f>[1]Results!W1601</f>
        <v>12799.03895</v>
      </c>
      <c r="U275" s="6">
        <f>[1]Results!X1601</f>
        <v>12796.85677</v>
      </c>
      <c r="V275" s="6">
        <f>[1]Results!Y1601</f>
        <v>12792.83893</v>
      </c>
      <c r="W275" s="6">
        <f>[1]Results!Z1601</f>
        <v>12782.50994</v>
      </c>
      <c r="X275" s="6">
        <f>[1]Results!AA1601</f>
        <v>12775.63451</v>
      </c>
      <c r="Y275" s="6">
        <f>[1]Results!AB1601</f>
        <v>12773.22825</v>
      </c>
      <c r="Z275" s="6">
        <f>[1]Results!AC1601</f>
        <v>12775.217140000001</v>
      </c>
      <c r="AA275" s="6">
        <f>[1]Results!AD1601</f>
        <v>12781.06689</v>
      </c>
      <c r="AB275" s="6">
        <f>[1]Results!AE1601</f>
        <v>12771.41424</v>
      </c>
      <c r="AC275" s="6">
        <f>[1]Results!AF1601</f>
        <v>12760.987230000001</v>
      </c>
      <c r="AD275" s="6">
        <f>[1]Results!AG1601</f>
        <v>12752.299660000001</v>
      </c>
      <c r="AE275" s="6">
        <f>[1]Results!AH1601</f>
        <v>12746.64363</v>
      </c>
      <c r="AF275" s="6">
        <f>[1]Results!AI1601</f>
        <v>12744.32107</v>
      </c>
      <c r="AG275" s="6">
        <f>[1]Results!AJ1601</f>
        <v>12744.79567</v>
      </c>
      <c r="AH275" s="6">
        <f>[1]Results!AK1601</f>
        <v>12747.134410000001</v>
      </c>
      <c r="AI275" s="6">
        <f>[1]Results!AL1601</f>
        <v>12750.468580000001</v>
      </c>
      <c r="AJ275" s="6">
        <f>[1]Results!AM1601</f>
        <v>12754.26671</v>
      </c>
      <c r="AK275" s="6">
        <f>[1]Results!AN1601</f>
        <v>12758.376340000001</v>
      </c>
      <c r="AL275" s="6">
        <f>[1]Results!AO1601</f>
        <v>12762.893760000001</v>
      </c>
    </row>
    <row r="276" spans="1:38" x14ac:dyDescent="0.3">
      <c r="B276" t="s">
        <v>96</v>
      </c>
      <c r="C276" s="6">
        <f>[1]Results!F1614</f>
        <v>7540.9816810000002</v>
      </c>
      <c r="D276" s="6">
        <f>[1]Results!G1614</f>
        <v>7945.290035</v>
      </c>
      <c r="E276" s="6">
        <f>[1]Results!H1614</f>
        <v>8461.7781149999992</v>
      </c>
      <c r="F276" s="6">
        <f>[1]Results!I1614</f>
        <v>8888.4597460000005</v>
      </c>
      <c r="G276" s="6">
        <f>[1]Results!J1614</f>
        <v>9194.24136</v>
      </c>
      <c r="H276" s="6">
        <f>[1]Results!K1614</f>
        <v>9414.3663190000007</v>
      </c>
      <c r="I276" s="6">
        <f>[1]Results!L1614</f>
        <v>9479.74892</v>
      </c>
      <c r="J276" s="6">
        <f>[1]Results!M1614</f>
        <v>9537.6292909999993</v>
      </c>
      <c r="K276" s="6">
        <f>[1]Results!N1614</f>
        <v>9610.3522730000004</v>
      </c>
      <c r="L276" s="6">
        <f>[1]Results!O1614</f>
        <v>9699.3103580000006</v>
      </c>
      <c r="M276" s="6">
        <f>[1]Results!P1614</f>
        <v>9972.7617119999995</v>
      </c>
      <c r="N276" s="6">
        <f>[1]Results!Q1614</f>
        <v>10065.739879999999</v>
      </c>
      <c r="O276" s="6">
        <f>[1]Results!R1614</f>
        <v>10159.78089</v>
      </c>
      <c r="P276" s="6">
        <f>[1]Results!S1614</f>
        <v>10284.732889999999</v>
      </c>
      <c r="Q276" s="6">
        <f>[1]Results!T1614</f>
        <v>10432.56799</v>
      </c>
      <c r="R276" s="6">
        <f>[1]Results!U1614</f>
        <v>10593.094719999999</v>
      </c>
      <c r="S276" s="6">
        <f>[1]Results!V1614</f>
        <v>10760.50308</v>
      </c>
      <c r="T276" s="6">
        <f>[1]Results!W1614</f>
        <v>10932.91049</v>
      </c>
      <c r="U276" s="6">
        <f>[1]Results!X1614</f>
        <v>11110.555109999999</v>
      </c>
      <c r="V276" s="6">
        <f>[1]Results!Y1614</f>
        <v>11294.18614</v>
      </c>
      <c r="W276" s="6">
        <f>[1]Results!Z1614</f>
        <v>11364.42756</v>
      </c>
      <c r="X276" s="6">
        <f>[1]Results!AA1614</f>
        <v>11579.22741</v>
      </c>
      <c r="Y276" s="6">
        <f>[1]Results!AB1614</f>
        <v>11815.7857</v>
      </c>
      <c r="Z276" s="6">
        <f>[1]Results!AC1614</f>
        <v>12044.95673</v>
      </c>
      <c r="AA276" s="6">
        <f>[1]Results!AD1614</f>
        <v>12265.714190000001</v>
      </c>
      <c r="AB276" s="6">
        <f>[1]Results!AE1614</f>
        <v>12129.10742</v>
      </c>
      <c r="AC276" s="6">
        <f>[1]Results!AF1614</f>
        <v>12256.978730000001</v>
      </c>
      <c r="AD276" s="6">
        <f>[1]Results!AG1614</f>
        <v>12454.62708</v>
      </c>
      <c r="AE276" s="6">
        <f>[1]Results!AH1614</f>
        <v>12663.055340000001</v>
      </c>
      <c r="AF276" s="6">
        <f>[1]Results!AI1614</f>
        <v>12870.88876</v>
      </c>
      <c r="AG276" s="6">
        <f>[1]Results!AJ1614</f>
        <v>13077.63227</v>
      </c>
      <c r="AH276" s="6">
        <f>[1]Results!AK1614</f>
        <v>13283.940720000001</v>
      </c>
      <c r="AI276" s="6">
        <f>[1]Results!AL1614</f>
        <v>13490.066279999999</v>
      </c>
      <c r="AJ276" s="6">
        <f>[1]Results!AM1614</f>
        <v>13696.21284</v>
      </c>
      <c r="AK276" s="6">
        <f>[1]Results!AN1614</f>
        <v>13902.909089999999</v>
      </c>
      <c r="AL276" s="6">
        <f>[1]Results!AO1614</f>
        <v>14111.00362</v>
      </c>
    </row>
    <row r="277" spans="1:38" x14ac:dyDescent="0.3">
      <c r="B277" t="s">
        <v>11</v>
      </c>
      <c r="C277" s="6">
        <f>[1]Results!F1629</f>
        <v>6751.126467</v>
      </c>
      <c r="D277" s="6">
        <f>[1]Results!G1629</f>
        <v>6806.9061600000005</v>
      </c>
      <c r="E277" s="6">
        <f>[1]Results!H1629</f>
        <v>6855.6313410000002</v>
      </c>
      <c r="F277" s="6">
        <f>[1]Results!I1629</f>
        <v>6915.5197710000002</v>
      </c>
      <c r="G277" s="6">
        <f>[1]Results!J1629</f>
        <v>6997.4398170000004</v>
      </c>
      <c r="H277" s="6">
        <f>[1]Results!K1629</f>
        <v>7106.3754159999999</v>
      </c>
      <c r="I277" s="6">
        <f>[1]Results!L1629</f>
        <v>7264.3605989999996</v>
      </c>
      <c r="J277" s="6">
        <f>[1]Results!M1629</f>
        <v>7422.6684100000002</v>
      </c>
      <c r="K277" s="6">
        <f>[1]Results!N1629</f>
        <v>7536.0563819999998</v>
      </c>
      <c r="L277" s="6">
        <f>[1]Results!O1629</f>
        <v>7609.9583329999996</v>
      </c>
      <c r="M277" s="6">
        <f>[1]Results!P1629</f>
        <v>7655.6241470000004</v>
      </c>
      <c r="N277" s="6">
        <f>[1]Results!Q1629</f>
        <v>7680.2460520000004</v>
      </c>
      <c r="O277" s="6">
        <f>[1]Results!R1629</f>
        <v>7696.6730680000001</v>
      </c>
      <c r="P277" s="6">
        <f>[1]Results!S1629</f>
        <v>7718.2760920000001</v>
      </c>
      <c r="Q277" s="6">
        <f>[1]Results!T1629</f>
        <v>7755.6049819999998</v>
      </c>
      <c r="R277" s="6">
        <f>[1]Results!U1629</f>
        <v>7813.8124029999999</v>
      </c>
      <c r="S277" s="6">
        <f>[1]Results!V1629</f>
        <v>7895.4653179999996</v>
      </c>
      <c r="T277" s="6">
        <f>[1]Results!W1629</f>
        <v>8001.2867059999999</v>
      </c>
      <c r="U277" s="6">
        <f>[1]Results!X1629</f>
        <v>8130.5826379999999</v>
      </c>
      <c r="V277" s="6">
        <f>[1]Results!Y1629</f>
        <v>8281.6730970000008</v>
      </c>
      <c r="W277" s="6">
        <f>[1]Results!Z1629</f>
        <v>8449.6301769999991</v>
      </c>
      <c r="X277" s="6">
        <f>[1]Results!AA1629</f>
        <v>8634.3203620000004</v>
      </c>
      <c r="Y277" s="6">
        <f>[1]Results!AB1629</f>
        <v>8832.5900860000002</v>
      </c>
      <c r="Z277" s="6">
        <f>[1]Results!AC1629</f>
        <v>9040.6770820000002</v>
      </c>
      <c r="AA277" s="6">
        <f>[1]Results!AD1629</f>
        <v>9255.0487489999996</v>
      </c>
      <c r="AB277" s="6">
        <f>[1]Results!AE1629</f>
        <v>9463.3696980000004</v>
      </c>
      <c r="AC277" s="6">
        <f>[1]Results!AF1629</f>
        <v>9668.7594470000004</v>
      </c>
      <c r="AD277" s="6">
        <f>[1]Results!AG1629</f>
        <v>9867.8910830000004</v>
      </c>
      <c r="AE277" s="6">
        <f>[1]Results!AH1629</f>
        <v>10057.571169999999</v>
      </c>
      <c r="AF277" s="6">
        <f>[1]Results!AI1629</f>
        <v>10236.91995</v>
      </c>
      <c r="AG277" s="6">
        <f>[1]Results!AJ1629</f>
        <v>10407.219510000001</v>
      </c>
      <c r="AH277" s="6">
        <f>[1]Results!AK1629</f>
        <v>10571.13718</v>
      </c>
      <c r="AI277" s="6">
        <f>[1]Results!AL1629</f>
        <v>10731.853349999999</v>
      </c>
      <c r="AJ277" s="6">
        <f>[1]Results!AM1629</f>
        <v>10892.066349999999</v>
      </c>
      <c r="AK277" s="6">
        <f>[1]Results!AN1629</f>
        <v>11053.759389999999</v>
      </c>
      <c r="AL277" s="6">
        <f>[1]Results!AO1629</f>
        <v>11218.240690000001</v>
      </c>
    </row>
    <row r="278" spans="1:38" x14ac:dyDescent="0.3">
      <c r="B278" t="s">
        <v>8</v>
      </c>
      <c r="C278" s="6">
        <f>[1]Results!F1604-[1]Results!F1614</f>
        <v>59983.78488900001</v>
      </c>
      <c r="D278" s="6">
        <f>[1]Results!G1604-[1]Results!G1614</f>
        <v>60617.364385000008</v>
      </c>
      <c r="E278" s="6">
        <f>[1]Results!H1604-[1]Results!H1614</f>
        <v>61361.304295000002</v>
      </c>
      <c r="F278" s="6">
        <f>[1]Results!I1604-[1]Results!I1614</f>
        <v>62198.927613999993</v>
      </c>
      <c r="G278" s="6">
        <f>[1]Results!J1604-[1]Results!J1614</f>
        <v>63075.797479999994</v>
      </c>
      <c r="H278" s="6">
        <f>[1]Results!K1604-[1]Results!K1614</f>
        <v>63964.387790999994</v>
      </c>
      <c r="I278" s="6">
        <f>[1]Results!L1604-[1]Results!L1614</f>
        <v>64821.780010000002</v>
      </c>
      <c r="J278" s="6">
        <f>[1]Results!M1604-[1]Results!M1614</f>
        <v>65625.655289000002</v>
      </c>
      <c r="K278" s="6">
        <f>[1]Results!N1604-[1]Results!N1614</f>
        <v>66391.964206999997</v>
      </c>
      <c r="L278" s="6">
        <f>[1]Results!O1604-[1]Results!O1614</f>
        <v>67155.097871999998</v>
      </c>
      <c r="M278" s="6">
        <f>[1]Results!P1604-[1]Results!P1614</f>
        <v>68049.69990800001</v>
      </c>
      <c r="N278" s="6">
        <f>[1]Results!Q1604-[1]Results!Q1614</f>
        <v>68931.814860000013</v>
      </c>
      <c r="O278" s="6">
        <f>[1]Results!R1604-[1]Results!R1614</f>
        <v>69840.025850000005</v>
      </c>
      <c r="P278" s="6">
        <f>[1]Results!S1604-[1]Results!S1614</f>
        <v>70780.21385</v>
      </c>
      <c r="Q278" s="6">
        <f>[1]Results!T1604-[1]Results!T1614</f>
        <v>71740.05343</v>
      </c>
      <c r="R278" s="6">
        <f>[1]Results!U1604-[1]Results!U1614</f>
        <v>72708.545010000002</v>
      </c>
      <c r="S278" s="6">
        <f>[1]Results!V1604-[1]Results!V1614</f>
        <v>73682.580660000007</v>
      </c>
      <c r="T278" s="6">
        <f>[1]Results!W1604-[1]Results!W1614</f>
        <v>74666.170110000006</v>
      </c>
      <c r="U278" s="6">
        <f>[1]Results!X1604-[1]Results!X1614</f>
        <v>75666.710370000001</v>
      </c>
      <c r="V278" s="6">
        <f>[1]Results!Y1604-[1]Results!Y1614</f>
        <v>76691.118589999998</v>
      </c>
      <c r="W278" s="6">
        <f>[1]Results!Z1604-[1]Results!Z1614</f>
        <v>77669.361470000003</v>
      </c>
      <c r="X278" s="6">
        <f>[1]Results!AA1604-[1]Results!AA1614</f>
        <v>78723.889410000003</v>
      </c>
      <c r="Y278" s="6">
        <f>[1]Results!AB1604-[1]Results!AB1614</f>
        <v>79828.197420000011</v>
      </c>
      <c r="Z278" s="6">
        <f>[1]Results!AC1604-[1]Results!AC1614</f>
        <v>80963.246109999993</v>
      </c>
      <c r="AA278" s="6">
        <f>[1]Results!AD1604-[1]Results!AD1614</f>
        <v>82120.419009999998</v>
      </c>
      <c r="AB278" s="6">
        <f>[1]Results!AE1604-[1]Results!AE1614</f>
        <v>83074.885710000002</v>
      </c>
      <c r="AC278" s="6">
        <f>[1]Results!AF1604-[1]Results!AF1614</f>
        <v>84098.973209999996</v>
      </c>
      <c r="AD278" s="6">
        <f>[1]Results!AG1604-[1]Results!AG1614</f>
        <v>85172.442149999988</v>
      </c>
      <c r="AE278" s="6">
        <f>[1]Results!AH1604-[1]Results!AH1614</f>
        <v>86277.456879999998</v>
      </c>
      <c r="AF278" s="6">
        <f>[1]Results!AI1604-[1]Results!AI1614</f>
        <v>87409.196540000004</v>
      </c>
      <c r="AG278" s="6">
        <f>[1]Results!AJ1604-[1]Results!AJ1614</f>
        <v>88564.492830000003</v>
      </c>
      <c r="AH278" s="6">
        <f>[1]Results!AK1604-[1]Results!AK1614</f>
        <v>89738.714779999995</v>
      </c>
      <c r="AI278" s="6">
        <f>[1]Results!AL1604-[1]Results!AL1614</f>
        <v>90927.15092</v>
      </c>
      <c r="AJ278" s="6">
        <f>[1]Results!AM1604-[1]Results!AM1614</f>
        <v>92126.92856</v>
      </c>
      <c r="AK278" s="6">
        <f>[1]Results!AN1604-[1]Results!AN1614</f>
        <v>93337.805909999995</v>
      </c>
      <c r="AL278" s="6">
        <f>[1]Results!AO1604-[1]Results!AO1614</f>
        <v>94561.605679999993</v>
      </c>
    </row>
    <row r="279" spans="1:38" x14ac:dyDescent="0.3">
      <c r="B279" t="s">
        <v>24</v>
      </c>
      <c r="C279" s="6">
        <f>[1]Results!F1624</f>
        <v>3914.7565989999998</v>
      </c>
      <c r="D279" s="6">
        <f>[1]Results!G1624</f>
        <v>4036.8389280000001</v>
      </c>
      <c r="E279" s="6">
        <f>[1]Results!H1624</f>
        <v>4169.0218850000001</v>
      </c>
      <c r="F279" s="6">
        <f>[1]Results!I1624</f>
        <v>4295.9447419999997</v>
      </c>
      <c r="G279" s="6">
        <f>[1]Results!J1624</f>
        <v>4416.5444969999999</v>
      </c>
      <c r="H279" s="6">
        <f>[1]Results!K1624</f>
        <v>4532.6234400000003</v>
      </c>
      <c r="I279" s="6">
        <f>[1]Results!L1624</f>
        <v>4685.9589550000001</v>
      </c>
      <c r="J279" s="6">
        <f>[1]Results!M1624</f>
        <v>4816.2093409999998</v>
      </c>
      <c r="K279" s="6">
        <f>[1]Results!N1624</f>
        <v>4930.7839350000004</v>
      </c>
      <c r="L279" s="6">
        <f>[1]Results!O1624</f>
        <v>5035.1859930000001</v>
      </c>
      <c r="M279" s="6">
        <f>[1]Results!P1624</f>
        <v>5134.0020530000002</v>
      </c>
      <c r="N279" s="6">
        <f>[1]Results!Q1624</f>
        <v>5223.7193420000003</v>
      </c>
      <c r="O279" s="6">
        <f>[1]Results!R1624</f>
        <v>5306.2191700000003</v>
      </c>
      <c r="P279" s="6">
        <f>[1]Results!S1624</f>
        <v>5384.0686679999999</v>
      </c>
      <c r="Q279" s="6">
        <f>[1]Results!T1624</f>
        <v>5459.1832350000004</v>
      </c>
      <c r="R279" s="6">
        <f>[1]Results!U1624</f>
        <v>5532.4855280000002</v>
      </c>
      <c r="S279" s="6">
        <f>[1]Results!V1624</f>
        <v>5604.2564050000001</v>
      </c>
      <c r="T279" s="6">
        <f>[1]Results!W1624</f>
        <v>5674.4534400000002</v>
      </c>
      <c r="U279" s="6">
        <f>[1]Results!X1624</f>
        <v>5742.9821069999998</v>
      </c>
      <c r="V279" s="6">
        <f>[1]Results!Y1624</f>
        <v>5809.8782970000002</v>
      </c>
      <c r="W279" s="6">
        <f>[1]Results!Z1624</f>
        <v>5872.8659539999999</v>
      </c>
      <c r="X279" s="6">
        <f>[1]Results!AA1624</f>
        <v>5935.5994909999999</v>
      </c>
      <c r="Y279" s="6">
        <f>[1]Results!AB1624</f>
        <v>5998.2431049999996</v>
      </c>
      <c r="Z279" s="6">
        <f>[1]Results!AC1624</f>
        <v>6060.6739209999996</v>
      </c>
      <c r="AA279" s="6">
        <f>[1]Results!AD1624</f>
        <v>6123.000403</v>
      </c>
      <c r="AB279" s="6">
        <f>[1]Results!AE1624</f>
        <v>6177.6513670000004</v>
      </c>
      <c r="AC279" s="6">
        <f>[1]Results!AF1624</f>
        <v>6231.8919029999997</v>
      </c>
      <c r="AD279" s="6">
        <f>[1]Results!AG1624</f>
        <v>6285.5541839999996</v>
      </c>
      <c r="AE279" s="6">
        <f>[1]Results!AH1624</f>
        <v>6337.7470039999998</v>
      </c>
      <c r="AF279" s="6">
        <f>[1]Results!AI1624</f>
        <v>6388.3192410000001</v>
      </c>
      <c r="AG279" s="6">
        <f>[1]Results!AJ1624</f>
        <v>6437.6976629999999</v>
      </c>
      <c r="AH279" s="6">
        <f>[1]Results!AK1624</f>
        <v>6486.5157250000002</v>
      </c>
      <c r="AI279" s="6">
        <f>[1]Results!AL1624</f>
        <v>6535.3347400000002</v>
      </c>
      <c r="AJ279" s="6">
        <f>[1]Results!AM1624</f>
        <v>6584.4829959999997</v>
      </c>
      <c r="AK279" s="6">
        <f>[1]Results!AN1624</f>
        <v>6634.0604300000005</v>
      </c>
      <c r="AL279" s="6">
        <f>[1]Results!AO1624</f>
        <v>6684.0288110000001</v>
      </c>
    </row>
    <row r="280" spans="1:38" x14ac:dyDescent="0.3">
      <c r="B280" t="s">
        <v>10</v>
      </c>
      <c r="C280" s="6">
        <f>[1]Results!F1621</f>
        <v>368210.87560000003</v>
      </c>
      <c r="D280" s="6">
        <f>[1]Results!G1621</f>
        <v>372979.59590000001</v>
      </c>
      <c r="E280" s="6">
        <f>[1]Results!H1621</f>
        <v>378438.89260000002</v>
      </c>
      <c r="F280" s="6">
        <f>[1]Results!I1621</f>
        <v>384921.16129999998</v>
      </c>
      <c r="G280" s="6">
        <f>[1]Results!J1621</f>
        <v>391816.75520000001</v>
      </c>
      <c r="H280" s="6">
        <f>[1]Results!K1621</f>
        <v>398645.4657</v>
      </c>
      <c r="I280" s="6">
        <f>[1]Results!L1621</f>
        <v>405871.91639999999</v>
      </c>
      <c r="J280" s="6">
        <f>[1]Results!M1621</f>
        <v>411965.40899999999</v>
      </c>
      <c r="K280" s="6">
        <f>[1]Results!N1621</f>
        <v>417229.82870000001</v>
      </c>
      <c r="L280" s="6">
        <f>[1]Results!O1621</f>
        <v>422345.06030000001</v>
      </c>
      <c r="M280" s="6">
        <f>[1]Results!P1621</f>
        <v>427484.00469999999</v>
      </c>
      <c r="N280" s="6">
        <f>[1]Results!Q1621</f>
        <v>434140.50760000001</v>
      </c>
      <c r="O280" s="6">
        <f>[1]Results!R1621</f>
        <v>441503.85810000001</v>
      </c>
      <c r="P280" s="6">
        <f>[1]Results!S1621</f>
        <v>449238.8345</v>
      </c>
      <c r="Q280" s="6">
        <f>[1]Results!T1621</f>
        <v>457171.03230000002</v>
      </c>
      <c r="R280" s="6">
        <f>[1]Results!U1621</f>
        <v>465220.43079999997</v>
      </c>
      <c r="S280" s="6">
        <f>[1]Results!V1621</f>
        <v>473388.5981</v>
      </c>
      <c r="T280" s="6">
        <f>[1]Results!W1621</f>
        <v>481730.63919999998</v>
      </c>
      <c r="U280" s="6">
        <f>[1]Results!X1621</f>
        <v>490314.2401</v>
      </c>
      <c r="V280" s="6">
        <f>[1]Results!Y1621</f>
        <v>499184.22110000002</v>
      </c>
      <c r="W280" s="6">
        <f>[1]Results!Z1621</f>
        <v>508574.31679999997</v>
      </c>
      <c r="X280" s="6">
        <f>[1]Results!AA1621</f>
        <v>517703.28159999999</v>
      </c>
      <c r="Y280" s="6">
        <f>[1]Results!AB1621</f>
        <v>527077.36</v>
      </c>
      <c r="Z280" s="6">
        <f>[1]Results!AC1621</f>
        <v>536742.62100000004</v>
      </c>
      <c r="AA280" s="6">
        <f>[1]Results!AD1621</f>
        <v>546622.27280000004</v>
      </c>
      <c r="AB280" s="6">
        <f>[1]Results!AE1621</f>
        <v>557182.47739999997</v>
      </c>
      <c r="AC280" s="6">
        <f>[1]Results!AF1621</f>
        <v>566778.05980000005</v>
      </c>
      <c r="AD280" s="6">
        <f>[1]Results!AG1621</f>
        <v>576233.15209999995</v>
      </c>
      <c r="AE280" s="6">
        <f>[1]Results!AH1621</f>
        <v>585860.05839999998</v>
      </c>
      <c r="AF280" s="6">
        <f>[1]Results!AI1621</f>
        <v>595734.701</v>
      </c>
      <c r="AG280" s="6">
        <f>[1]Results!AJ1621</f>
        <v>605824.16099999996</v>
      </c>
      <c r="AH280" s="6">
        <f>[1]Results!AK1621</f>
        <v>616056.09499999997</v>
      </c>
      <c r="AI280" s="6">
        <f>[1]Results!AL1621</f>
        <v>626366.99930000002</v>
      </c>
      <c r="AJ280" s="6">
        <f>[1]Results!AM1621</f>
        <v>636728.30830000003</v>
      </c>
      <c r="AK280" s="6">
        <f>[1]Results!AN1621</f>
        <v>647149.30169999995</v>
      </c>
      <c r="AL280" s="6">
        <f>[1]Results!AO1621</f>
        <v>657662.77170000004</v>
      </c>
    </row>
    <row r="281" spans="1:38" x14ac:dyDescent="0.3">
      <c r="B281" t="s">
        <v>23</v>
      </c>
      <c r="C281" s="6">
        <f>[1]Results!F1616</f>
        <v>15691.204729999999</v>
      </c>
      <c r="D281" s="6">
        <f>[1]Results!G1616</f>
        <v>15813.92043</v>
      </c>
      <c r="E281" s="6">
        <f>[1]Results!H1616</f>
        <v>15942.07627</v>
      </c>
      <c r="F281" s="6">
        <f>[1]Results!I1616</f>
        <v>16099.803830000001</v>
      </c>
      <c r="G281" s="6">
        <f>[1]Results!J1616</f>
        <v>16280.563239999999</v>
      </c>
      <c r="H281" s="6">
        <f>[1]Results!K1616</f>
        <v>16474.531060000001</v>
      </c>
      <c r="I281" s="6">
        <f>[1]Results!L1616</f>
        <v>16677.24107</v>
      </c>
      <c r="J281" s="6">
        <f>[1]Results!M1616</f>
        <v>16865.512719999999</v>
      </c>
      <c r="K281" s="6">
        <f>[1]Results!N1616</f>
        <v>17041.443240000001</v>
      </c>
      <c r="L281" s="6">
        <f>[1]Results!O1616</f>
        <v>17216.26554</v>
      </c>
      <c r="M281" s="6">
        <f>[1]Results!P1616</f>
        <v>17408.905269999999</v>
      </c>
      <c r="N281" s="6">
        <f>[1]Results!Q1616</f>
        <v>17621.459729999999</v>
      </c>
      <c r="O281" s="6">
        <f>[1]Results!R1616</f>
        <v>17850.0923</v>
      </c>
      <c r="P281" s="6">
        <f>[1]Results!S1616</f>
        <v>18090.45739</v>
      </c>
      <c r="Q281" s="6">
        <f>[1]Results!T1616</f>
        <v>18338.57805</v>
      </c>
      <c r="R281" s="6">
        <f>[1]Results!U1616</f>
        <v>18591.87515</v>
      </c>
      <c r="S281" s="6">
        <f>[1]Results!V1616</f>
        <v>18849.65684</v>
      </c>
      <c r="T281" s="6">
        <f>[1]Results!W1616</f>
        <v>19112.75921</v>
      </c>
      <c r="U281" s="6">
        <f>[1]Results!X1616</f>
        <v>19382.665919999999</v>
      </c>
      <c r="V281" s="6">
        <f>[1]Results!Y1616</f>
        <v>19660.61232</v>
      </c>
      <c r="W281" s="6">
        <f>[1]Results!Z1616</f>
        <v>19940.79333</v>
      </c>
      <c r="X281" s="6">
        <f>[1]Results!AA1616</f>
        <v>20228.000169999999</v>
      </c>
      <c r="Y281" s="6">
        <f>[1]Results!AB1616</f>
        <v>20524.6489</v>
      </c>
      <c r="Z281" s="6">
        <f>[1]Results!AC1616</f>
        <v>20829.983769999999</v>
      </c>
      <c r="AA281" s="6">
        <f>[1]Results!AD1616</f>
        <v>21142.174330000002</v>
      </c>
      <c r="AB281" s="6">
        <f>[1]Results!AE1616</f>
        <v>21439.593140000001</v>
      </c>
      <c r="AC281" s="6">
        <f>[1]Results!AF1616</f>
        <v>21732.084169999998</v>
      </c>
      <c r="AD281" s="6">
        <f>[1]Results!AG1616</f>
        <v>22026.475829999999</v>
      </c>
      <c r="AE281" s="6">
        <f>[1]Results!AH1616</f>
        <v>22326.506679999999</v>
      </c>
      <c r="AF281" s="6">
        <f>[1]Results!AI1616</f>
        <v>22633.505020000001</v>
      </c>
      <c r="AG281" s="6">
        <f>[1]Results!AJ1616</f>
        <v>22947.04578</v>
      </c>
      <c r="AH281" s="6">
        <f>[1]Results!AK1616</f>
        <v>23265.798449999998</v>
      </c>
      <c r="AI281" s="6">
        <f>[1]Results!AL1616</f>
        <v>23588.419330000001</v>
      </c>
      <c r="AJ281" s="6">
        <f>[1]Results!AM1616</f>
        <v>23914.167420000002</v>
      </c>
      <c r="AK281" s="6">
        <f>[1]Results!AN1616</f>
        <v>24243.08538</v>
      </c>
      <c r="AL281" s="6">
        <f>[1]Results!AO1616</f>
        <v>24575.790809999999</v>
      </c>
    </row>
    <row r="283" spans="1:38" x14ac:dyDescent="0.3">
      <c r="A283" s="12" t="s">
        <v>17</v>
      </c>
      <c r="B283" t="s">
        <v>80</v>
      </c>
      <c r="C283" s="6">
        <f>[1]Results!F1639</f>
        <v>474303.56479999999</v>
      </c>
      <c r="D283" s="6">
        <f>[1]Results!G1639</f>
        <v>480425.25510000001</v>
      </c>
      <c r="E283" s="6">
        <f>[1]Results!H1639</f>
        <v>487426.28820000001</v>
      </c>
      <c r="F283" s="6">
        <f>[1]Results!I1639</f>
        <v>495497.03039999999</v>
      </c>
      <c r="G283" s="6">
        <f>[1]Results!J1639</f>
        <v>503962.68430000002</v>
      </c>
      <c r="H283" s="6">
        <f>[1]Results!K1639</f>
        <v>512350.60550000001</v>
      </c>
      <c r="I283" s="6">
        <f>[1]Results!L1639</f>
        <v>520600.68560000003</v>
      </c>
      <c r="J283" s="6">
        <f>[1]Results!M1639</f>
        <v>528467.65079999994</v>
      </c>
      <c r="K283" s="6">
        <f>[1]Results!N1639</f>
        <v>536148.33739999996</v>
      </c>
      <c r="L283" s="6">
        <f>[1]Results!O1639</f>
        <v>543892.08970000001</v>
      </c>
      <c r="M283" s="6">
        <f>[1]Results!P1639</f>
        <v>551723.07070000004</v>
      </c>
      <c r="N283" s="6">
        <f>[1]Results!Q1639</f>
        <v>560348.96010000003</v>
      </c>
      <c r="O283" s="6">
        <f>[1]Results!R1639</f>
        <v>569092.55370000005</v>
      </c>
      <c r="P283" s="6">
        <f>[1]Results!S1639</f>
        <v>577770.87589999998</v>
      </c>
      <c r="Q283" s="6">
        <f>[1]Results!T1639</f>
        <v>586412.6152</v>
      </c>
      <c r="R283" s="6">
        <f>[1]Results!U1639</f>
        <v>595140.39520000003</v>
      </c>
      <c r="S283" s="6">
        <f>[1]Results!V1639</f>
        <v>604100.29379999998</v>
      </c>
      <c r="T283" s="6">
        <f>[1]Results!W1639</f>
        <v>613411.44990000001</v>
      </c>
      <c r="U283" s="6">
        <f>[1]Results!X1639</f>
        <v>623139.82960000006</v>
      </c>
      <c r="V283" s="6">
        <f>[1]Results!Y1639</f>
        <v>633296.40960000001</v>
      </c>
      <c r="W283" s="6">
        <f>[1]Results!Z1639</f>
        <v>643864.23450000002</v>
      </c>
      <c r="X283" s="6">
        <f>[1]Results!AA1639</f>
        <v>654459.46409999998</v>
      </c>
      <c r="Y283" s="6">
        <f>[1]Results!AB1639</f>
        <v>665446.89560000005</v>
      </c>
      <c r="Z283" s="6">
        <f>[1]Results!AC1639</f>
        <v>676844.48609999998</v>
      </c>
      <c r="AA283" s="6">
        <f>[1]Results!AD1639</f>
        <v>688584.18689999997</v>
      </c>
      <c r="AB283" s="6">
        <f>[1]Results!AE1639</f>
        <v>700505.81689999998</v>
      </c>
      <c r="AC283" s="6">
        <f>[1]Results!AF1639</f>
        <v>711889.57649999997</v>
      </c>
      <c r="AD283" s="6">
        <f>[1]Results!AG1639</f>
        <v>723315.1483</v>
      </c>
      <c r="AE283" s="6">
        <f>[1]Results!AH1639</f>
        <v>734979.7415</v>
      </c>
      <c r="AF283" s="6">
        <f>[1]Results!AI1639</f>
        <v>746909.86179999996</v>
      </c>
      <c r="AG283" s="6">
        <f>[1]Results!AJ1639</f>
        <v>759047.26009999996</v>
      </c>
      <c r="AH283" s="6">
        <f>[1]Results!AK1639</f>
        <v>771306.63939999999</v>
      </c>
      <c r="AI283" s="6">
        <f>[1]Results!AL1639</f>
        <v>783620.99710000004</v>
      </c>
      <c r="AJ283" s="6">
        <f>[1]Results!AM1639</f>
        <v>795965.75470000005</v>
      </c>
      <c r="AK283" s="6">
        <f>[1]Results!AN1639</f>
        <v>808358.75060000003</v>
      </c>
      <c r="AL283" s="6">
        <f>[1]Results!AO1639</f>
        <v>820842.37439999997</v>
      </c>
    </row>
    <row r="284" spans="1:38" x14ac:dyDescent="0.3">
      <c r="A284" t="s">
        <v>26</v>
      </c>
      <c r="B284" t="s">
        <v>7</v>
      </c>
      <c r="C284" s="6">
        <f>[1]Results!F1640</f>
        <v>12210.834849999999</v>
      </c>
      <c r="D284" s="6">
        <f>[1]Results!G1640</f>
        <v>12225.33928</v>
      </c>
      <c r="E284" s="6">
        <f>[1]Results!H1640</f>
        <v>12197.58367</v>
      </c>
      <c r="F284" s="6">
        <f>[1]Results!I1640</f>
        <v>12177.213390000001</v>
      </c>
      <c r="G284" s="6">
        <f>[1]Results!J1640</f>
        <v>12181.342640000001</v>
      </c>
      <c r="H284" s="6">
        <f>[1]Results!K1640</f>
        <v>12212.85576</v>
      </c>
      <c r="I284" s="6">
        <f>[1]Results!L1640</f>
        <v>12263.08244</v>
      </c>
      <c r="J284" s="6">
        <f>[1]Results!M1640</f>
        <v>12326.08598</v>
      </c>
      <c r="K284" s="6">
        <f>[1]Results!N1640</f>
        <v>12396.136140000001</v>
      </c>
      <c r="L284" s="6">
        <f>[1]Results!O1640</f>
        <v>12467.636130000001</v>
      </c>
      <c r="M284" s="6">
        <f>[1]Results!P1640</f>
        <v>12544.977639999999</v>
      </c>
      <c r="N284" s="6">
        <f>[1]Results!Q1640</f>
        <v>12612.1247</v>
      </c>
      <c r="O284" s="6">
        <f>[1]Results!R1640</f>
        <v>12664.51785</v>
      </c>
      <c r="P284" s="6">
        <f>[1]Results!S1640</f>
        <v>12700.55226</v>
      </c>
      <c r="Q284" s="6">
        <f>[1]Results!T1640</f>
        <v>12721.30766</v>
      </c>
      <c r="R284" s="6">
        <f>[1]Results!U1640</f>
        <v>12729.822029999999</v>
      </c>
      <c r="S284" s="6">
        <f>[1]Results!V1640</f>
        <v>12729.998579999999</v>
      </c>
      <c r="T284" s="6">
        <f>[1]Results!W1640</f>
        <v>12725.622160000001</v>
      </c>
      <c r="U284" s="6">
        <f>[1]Results!X1640</f>
        <v>12719.75215</v>
      </c>
      <c r="V284" s="6">
        <f>[1]Results!Y1640</f>
        <v>12714.52209</v>
      </c>
      <c r="W284" s="6">
        <f>[1]Results!Z1640</f>
        <v>12704.466399999999</v>
      </c>
      <c r="X284" s="6">
        <f>[1]Results!AA1640</f>
        <v>12698.72796</v>
      </c>
      <c r="Y284" s="6">
        <f>[1]Results!AB1640</f>
        <v>12697.95282</v>
      </c>
      <c r="Z284" s="6">
        <f>[1]Results!AC1640</f>
        <v>12701.94173</v>
      </c>
      <c r="AA284" s="6">
        <f>[1]Results!AD1640</f>
        <v>12710.110909999999</v>
      </c>
      <c r="AB284" s="6">
        <f>[1]Results!AE1640</f>
        <v>12703.099749999999</v>
      </c>
      <c r="AC284" s="6">
        <f>[1]Results!AF1640</f>
        <v>12695.371440000001</v>
      </c>
      <c r="AD284" s="6">
        <f>[1]Results!AG1640</f>
        <v>12689.11824</v>
      </c>
      <c r="AE284" s="6">
        <f>[1]Results!AH1640</f>
        <v>12685.360430000001</v>
      </c>
      <c r="AF284" s="6">
        <f>[1]Results!AI1640</f>
        <v>12684.254290000001</v>
      </c>
      <c r="AG284" s="6">
        <f>[1]Results!AJ1640</f>
        <v>12685.27269</v>
      </c>
      <c r="AH284" s="6">
        <f>[1]Results!AK1640</f>
        <v>12687.62177</v>
      </c>
      <c r="AI284" s="6">
        <f>[1]Results!AL1640</f>
        <v>12690.643309999999</v>
      </c>
      <c r="AJ284" s="6">
        <f>[1]Results!AM1640</f>
        <v>12694.02853</v>
      </c>
      <c r="AK284" s="6">
        <f>[1]Results!AN1640</f>
        <v>12697.81164</v>
      </c>
      <c r="AL284" s="6">
        <f>[1]Results!AO1640</f>
        <v>12702.212799999999</v>
      </c>
    </row>
    <row r="285" spans="1:38" x14ac:dyDescent="0.3">
      <c r="B285" t="s">
        <v>96</v>
      </c>
      <c r="C285" s="6">
        <f>[1]Results!F1653</f>
        <v>7540.9816810000002</v>
      </c>
      <c r="D285" s="6">
        <f>[1]Results!G1653</f>
        <v>7945.290035</v>
      </c>
      <c r="E285" s="6">
        <f>[1]Results!H1653</f>
        <v>8461.7781149999992</v>
      </c>
      <c r="F285" s="6">
        <f>[1]Results!I1653</f>
        <v>8888.4597460000005</v>
      </c>
      <c r="G285" s="6">
        <f>[1]Results!J1653</f>
        <v>9194.24136</v>
      </c>
      <c r="H285" s="6">
        <f>[1]Results!K1653</f>
        <v>9414.3663190000007</v>
      </c>
      <c r="I285" s="6">
        <f>[1]Results!L1653</f>
        <v>9473.8324940000002</v>
      </c>
      <c r="J285" s="6">
        <f>[1]Results!M1653</f>
        <v>9537.5541709999998</v>
      </c>
      <c r="K285" s="6">
        <f>[1]Results!N1653</f>
        <v>9628.6620440000006</v>
      </c>
      <c r="L285" s="6">
        <f>[1]Results!O1653</f>
        <v>9741.3426949999994</v>
      </c>
      <c r="M285" s="6">
        <f>[1]Results!P1653</f>
        <v>10034.864380000001</v>
      </c>
      <c r="N285" s="6">
        <f>[1]Results!Q1653</f>
        <v>10138.166300000001</v>
      </c>
      <c r="O285" s="6">
        <f>[1]Results!R1653</f>
        <v>10230.69903</v>
      </c>
      <c r="P285" s="6">
        <f>[1]Results!S1653</f>
        <v>10343.971579999999</v>
      </c>
      <c r="Q285" s="6">
        <f>[1]Results!T1653</f>
        <v>10473.98955</v>
      </c>
      <c r="R285" s="6">
        <f>[1]Results!U1653</f>
        <v>10615.064130000001</v>
      </c>
      <c r="S285" s="6">
        <f>[1]Results!V1653</f>
        <v>10764.771860000001</v>
      </c>
      <c r="T285" s="6">
        <f>[1]Results!W1653</f>
        <v>10922.795</v>
      </c>
      <c r="U285" s="6">
        <f>[1]Results!X1653</f>
        <v>11089.344090000001</v>
      </c>
      <c r="V285" s="6">
        <f>[1]Results!Y1653</f>
        <v>11264.294400000001</v>
      </c>
      <c r="W285" s="6">
        <f>[1]Results!Z1653</f>
        <v>11327.44952</v>
      </c>
      <c r="X285" s="6">
        <f>[1]Results!AA1653</f>
        <v>11535.97977</v>
      </c>
      <c r="Y285" s="6">
        <f>[1]Results!AB1653</f>
        <v>11767.283369999999</v>
      </c>
      <c r="Z285" s="6">
        <f>[1]Results!AC1653</f>
        <v>11992.619339999999</v>
      </c>
      <c r="AA285" s="6">
        <f>[1]Results!AD1653</f>
        <v>12211.40106</v>
      </c>
      <c r="AB285" s="6">
        <f>[1]Results!AE1653</f>
        <v>12075.726049999999</v>
      </c>
      <c r="AC285" s="6">
        <f>[1]Results!AF1653</f>
        <v>12205.843929999999</v>
      </c>
      <c r="AD285" s="6">
        <f>[1]Results!AG1653</f>
        <v>12407.01936</v>
      </c>
      <c r="AE285" s="6">
        <f>[1]Results!AH1653</f>
        <v>12619.66589</v>
      </c>
      <c r="AF285" s="6">
        <f>[1]Results!AI1653</f>
        <v>12831.721219999999</v>
      </c>
      <c r="AG285" s="6">
        <f>[1]Results!AJ1653</f>
        <v>13042.170109999999</v>
      </c>
      <c r="AH285" s="6">
        <f>[1]Results!AK1653</f>
        <v>13251.397919999999</v>
      </c>
      <c r="AI285" s="6">
        <f>[1]Results!AL1653</f>
        <v>13459.608130000001</v>
      </c>
      <c r="AJ285" s="6">
        <f>[1]Results!AM1653</f>
        <v>13667.09916</v>
      </c>
      <c r="AK285" s="6">
        <f>[1]Results!AN1653</f>
        <v>13874.552019999999</v>
      </c>
      <c r="AL285" s="6">
        <f>[1]Results!AO1653</f>
        <v>14082.96048</v>
      </c>
    </row>
    <row r="286" spans="1:38" x14ac:dyDescent="0.3">
      <c r="B286" t="s">
        <v>11</v>
      </c>
      <c r="C286" s="6">
        <f>[1]Results!F1668</f>
        <v>6751.126467</v>
      </c>
      <c r="D286" s="6">
        <f>[1]Results!G1668</f>
        <v>6806.9061600000005</v>
      </c>
      <c r="E286" s="6">
        <f>[1]Results!H1668</f>
        <v>6855.6313410000002</v>
      </c>
      <c r="F286" s="6">
        <f>[1]Results!I1668</f>
        <v>6915.5197710000002</v>
      </c>
      <c r="G286" s="6">
        <f>[1]Results!J1668</f>
        <v>6997.4398170000004</v>
      </c>
      <c r="H286" s="6">
        <f>[1]Results!K1668</f>
        <v>7106.3754159999999</v>
      </c>
      <c r="I286" s="6">
        <f>[1]Results!L1668</f>
        <v>7240.1489430000001</v>
      </c>
      <c r="J286" s="6">
        <f>[1]Results!M1668</f>
        <v>7396.7689760000003</v>
      </c>
      <c r="K286" s="6">
        <f>[1]Results!N1668</f>
        <v>7571.7276019999999</v>
      </c>
      <c r="L286" s="6">
        <f>[1]Results!O1668</f>
        <v>7758.8467600000004</v>
      </c>
      <c r="M286" s="6">
        <f>[1]Results!P1668</f>
        <v>7954.7145479999999</v>
      </c>
      <c r="N286" s="6">
        <f>[1]Results!Q1668</f>
        <v>8149.8738089999997</v>
      </c>
      <c r="O286" s="6">
        <f>[1]Results!R1668</f>
        <v>8339.5118010000006</v>
      </c>
      <c r="P286" s="6">
        <f>[1]Results!S1668</f>
        <v>8520.0175199999994</v>
      </c>
      <c r="Q286" s="6">
        <f>[1]Results!T1668</f>
        <v>8687.7841609999996</v>
      </c>
      <c r="R286" s="6">
        <f>[1]Results!U1668</f>
        <v>8839.8394979999994</v>
      </c>
      <c r="S286" s="6">
        <f>[1]Results!V1668</f>
        <v>8975.2440900000001</v>
      </c>
      <c r="T286" s="6">
        <f>[1]Results!W1668</f>
        <v>9095.5055460000003</v>
      </c>
      <c r="U286" s="6">
        <f>[1]Results!X1668</f>
        <v>9204.3394129999997</v>
      </c>
      <c r="V286" s="6">
        <f>[1]Results!Y1668</f>
        <v>9306.9355429999996</v>
      </c>
      <c r="W286" s="6">
        <f>[1]Results!Z1668</f>
        <v>9405.9881239999995</v>
      </c>
      <c r="X286" s="6">
        <f>[1]Results!AA1668</f>
        <v>9508.8626949999998</v>
      </c>
      <c r="Y286" s="6">
        <f>[1]Results!AB1668</f>
        <v>9619.3352589999995</v>
      </c>
      <c r="Z286" s="6">
        <f>[1]Results!AC1668</f>
        <v>9739.8401940000003</v>
      </c>
      <c r="AA286" s="6">
        <f>[1]Results!AD1668</f>
        <v>9872.1157050000002</v>
      </c>
      <c r="AB286" s="6">
        <f>[1]Results!AE1668</f>
        <v>10007.70097</v>
      </c>
      <c r="AC286" s="6">
        <f>[1]Results!AF1668</f>
        <v>10152.93771</v>
      </c>
      <c r="AD286" s="6">
        <f>[1]Results!AG1668</f>
        <v>10306.246289999999</v>
      </c>
      <c r="AE286" s="6">
        <f>[1]Results!AH1668</f>
        <v>10464.839449999999</v>
      </c>
      <c r="AF286" s="6">
        <f>[1]Results!AI1668</f>
        <v>10626.904119999999</v>
      </c>
      <c r="AG286" s="6">
        <f>[1]Results!AJ1668</f>
        <v>10791.649299999999</v>
      </c>
      <c r="AH286" s="6">
        <f>[1]Results!AK1668</f>
        <v>10958.74864</v>
      </c>
      <c r="AI286" s="6">
        <f>[1]Results!AL1668</f>
        <v>11127.787</v>
      </c>
      <c r="AJ286" s="6">
        <f>[1]Results!AM1668</f>
        <v>11297.9681</v>
      </c>
      <c r="AK286" s="6">
        <f>[1]Results!AN1668</f>
        <v>11468.14716</v>
      </c>
      <c r="AL286" s="6">
        <f>[1]Results!AO1668</f>
        <v>11636.883529999999</v>
      </c>
    </row>
    <row r="287" spans="1:38" x14ac:dyDescent="0.3">
      <c r="B287" t="s">
        <v>8</v>
      </c>
      <c r="C287" s="6">
        <f>[1]Results!F1643-[1]Results!F1653</f>
        <v>59983.78488900001</v>
      </c>
      <c r="D287" s="6">
        <f>[1]Results!G1643-[1]Results!G1653</f>
        <v>60617.364385000008</v>
      </c>
      <c r="E287" s="6">
        <f>[1]Results!H1643-[1]Results!H1653</f>
        <v>61361.304295000002</v>
      </c>
      <c r="F287" s="6">
        <f>[1]Results!I1643-[1]Results!I1653</f>
        <v>62198.927613999993</v>
      </c>
      <c r="G287" s="6">
        <f>[1]Results!J1643-[1]Results!J1653</f>
        <v>63075.797479999994</v>
      </c>
      <c r="H287" s="6">
        <f>[1]Results!K1643-[1]Results!K1653</f>
        <v>63964.387790999994</v>
      </c>
      <c r="I287" s="6">
        <f>[1]Results!L1643-[1]Results!L1653</f>
        <v>64796.468765999991</v>
      </c>
      <c r="J287" s="6">
        <f>[1]Results!M1643-[1]Results!M1653</f>
        <v>65618.208039000005</v>
      </c>
      <c r="K287" s="6">
        <f>[1]Results!N1643-[1]Results!N1653</f>
        <v>66451.999966000003</v>
      </c>
      <c r="L287" s="6">
        <f>[1]Results!O1643-[1]Results!O1653</f>
        <v>67306.909365</v>
      </c>
      <c r="M287" s="6">
        <f>[1]Results!P1643-[1]Results!P1653</f>
        <v>68283.741190000001</v>
      </c>
      <c r="N287" s="6">
        <f>[1]Results!Q1643-[1]Results!Q1653</f>
        <v>69215.749890000006</v>
      </c>
      <c r="O287" s="6">
        <f>[1]Results!R1643-[1]Results!R1653</f>
        <v>70131.436139999991</v>
      </c>
      <c r="P287" s="6">
        <f>[1]Results!S1643-[1]Results!S1653</f>
        <v>71041.382370000007</v>
      </c>
      <c r="Q287" s="6">
        <f>[1]Results!T1643-[1]Results!T1653</f>
        <v>71947.269759999996</v>
      </c>
      <c r="R287" s="6">
        <f>[1]Results!U1643-[1]Results!U1653</f>
        <v>72854.001369999998</v>
      </c>
      <c r="S287" s="6">
        <f>[1]Results!V1643-[1]Results!V1653</f>
        <v>73770.333500000008</v>
      </c>
      <c r="T287" s="6">
        <f>[1]Results!W1643-[1]Results!W1653</f>
        <v>74705.592000000004</v>
      </c>
      <c r="U287" s="6">
        <f>[1]Results!X1643-[1]Results!X1653</f>
        <v>75666.766480000006</v>
      </c>
      <c r="V287" s="6">
        <f>[1]Results!Y1643-[1]Results!Y1653</f>
        <v>76657.343240000002</v>
      </c>
      <c r="W287" s="6">
        <f>[1]Results!Z1643-[1]Results!Z1653</f>
        <v>77603.511259999999</v>
      </c>
      <c r="X287" s="6">
        <f>[1]Results!AA1643-[1]Results!AA1653</f>
        <v>78626.248139999996</v>
      </c>
      <c r="Y287" s="6">
        <f>[1]Results!AB1643-[1]Results!AB1653</f>
        <v>79699.148409999994</v>
      </c>
      <c r="Z287" s="6">
        <f>[1]Results!AC1643-[1]Results!AC1653</f>
        <v>80804.848899999997</v>
      </c>
      <c r="AA287" s="6">
        <f>[1]Results!AD1643-[1]Results!AD1653</f>
        <v>81936.872359999994</v>
      </c>
      <c r="AB287" s="6">
        <f>[1]Results!AE1643-[1]Results!AE1653</f>
        <v>82872.563680000007</v>
      </c>
      <c r="AC287" s="6">
        <f>[1]Results!AF1643-[1]Results!AF1653</f>
        <v>83883.918170000004</v>
      </c>
      <c r="AD287" s="6">
        <f>[1]Results!AG1643-[1]Results!AG1653</f>
        <v>84949.417789999992</v>
      </c>
      <c r="AE287" s="6">
        <f>[1]Results!AH1643-[1]Results!AH1653</f>
        <v>86049.246209999998</v>
      </c>
      <c r="AF287" s="6">
        <f>[1]Results!AI1643-[1]Results!AI1653</f>
        <v>87176.597879999987</v>
      </c>
      <c r="AG287" s="6">
        <f>[1]Results!AJ1643-[1]Results!AJ1653</f>
        <v>88326.872390000004</v>
      </c>
      <c r="AH287" s="6">
        <f>[1]Results!AK1643-[1]Results!AK1653</f>
        <v>89494.736080000002</v>
      </c>
      <c r="AI287" s="6">
        <f>[1]Results!AL1643-[1]Results!AL1653</f>
        <v>90675.363069999992</v>
      </c>
      <c r="AJ287" s="6">
        <f>[1]Results!AM1643-[1]Results!AM1653</f>
        <v>91866.097840000002</v>
      </c>
      <c r="AK287" s="6">
        <f>[1]Results!AN1643-[1]Results!AN1653</f>
        <v>93066.977780000001</v>
      </c>
      <c r="AL287" s="6">
        <f>[1]Results!AO1643-[1]Results!AO1653</f>
        <v>94279.974720000013</v>
      </c>
    </row>
    <row r="288" spans="1:38" x14ac:dyDescent="0.3">
      <c r="B288" t="s">
        <v>24</v>
      </c>
      <c r="C288" s="6">
        <f>[1]Results!F1663</f>
        <v>3914.7565989999998</v>
      </c>
      <c r="D288" s="6">
        <f>[1]Results!G1663</f>
        <v>4036.8389280000001</v>
      </c>
      <c r="E288" s="6">
        <f>[1]Results!H1663</f>
        <v>4169.0218850000001</v>
      </c>
      <c r="F288" s="6">
        <f>[1]Results!I1663</f>
        <v>4295.9447419999997</v>
      </c>
      <c r="G288" s="6">
        <f>[1]Results!J1663</f>
        <v>4416.5444969999999</v>
      </c>
      <c r="H288" s="6">
        <f>[1]Results!K1663</f>
        <v>4532.6234400000003</v>
      </c>
      <c r="I288" s="6">
        <f>[1]Results!L1663</f>
        <v>4643.4033030000001</v>
      </c>
      <c r="J288" s="6">
        <f>[1]Results!M1663</f>
        <v>4750.591058</v>
      </c>
      <c r="K288" s="6">
        <f>[1]Results!N1663</f>
        <v>4854.7357480000001</v>
      </c>
      <c r="L288" s="6">
        <f>[1]Results!O1663</f>
        <v>4955.6404970000003</v>
      </c>
      <c r="M288" s="6">
        <f>[1]Results!P1663</f>
        <v>5056.1352500000003</v>
      </c>
      <c r="N288" s="6">
        <f>[1]Results!Q1663</f>
        <v>5152.1097229999996</v>
      </c>
      <c r="O288" s="6">
        <f>[1]Results!R1663</f>
        <v>5244.2785130000002</v>
      </c>
      <c r="P288" s="6">
        <f>[1]Results!S1663</f>
        <v>5333.343648</v>
      </c>
      <c r="Q288" s="6">
        <f>[1]Results!T1663</f>
        <v>5419.2155069999999</v>
      </c>
      <c r="R288" s="6">
        <f>[1]Results!U1663</f>
        <v>5501.3826429999999</v>
      </c>
      <c r="S288" s="6">
        <f>[1]Results!V1663</f>
        <v>5579.3726360000001</v>
      </c>
      <c r="T288" s="6">
        <f>[1]Results!W1663</f>
        <v>5653.0338680000004</v>
      </c>
      <c r="U288" s="6">
        <f>[1]Results!X1663</f>
        <v>5722.6253550000001</v>
      </c>
      <c r="V288" s="6">
        <f>[1]Results!Y1663</f>
        <v>5788.7460940000001</v>
      </c>
      <c r="W288" s="6">
        <f>[1]Results!Z1663</f>
        <v>5849.7222449999999</v>
      </c>
      <c r="X288" s="6">
        <f>[1]Results!AA1663</f>
        <v>5909.4551750000001</v>
      </c>
      <c r="Y288" s="6">
        <f>[1]Results!AB1663</f>
        <v>5968.3791869999995</v>
      </c>
      <c r="Z288" s="6">
        <f>[1]Results!AC1663</f>
        <v>6026.584331</v>
      </c>
      <c r="AA288" s="6">
        <f>[1]Results!AD1663</f>
        <v>6084.3782330000004</v>
      </c>
      <c r="AB288" s="6">
        <f>[1]Results!AE1663</f>
        <v>6134.5348139999996</v>
      </c>
      <c r="AC288" s="6">
        <f>[1]Results!AF1663</f>
        <v>6184.435125</v>
      </c>
      <c r="AD288" s="6">
        <f>[1]Results!AG1663</f>
        <v>6234.1925279999996</v>
      </c>
      <c r="AE288" s="6">
        <f>[1]Results!AH1663</f>
        <v>6283.145109</v>
      </c>
      <c r="AF288" s="6">
        <f>[1]Results!AI1663</f>
        <v>6331.2424209999999</v>
      </c>
      <c r="AG288" s="6">
        <f>[1]Results!AJ1663</f>
        <v>6378.8795929999997</v>
      </c>
      <c r="AH288" s="6">
        <f>[1]Results!AK1663</f>
        <v>6426.548366</v>
      </c>
      <c r="AI288" s="6">
        <f>[1]Results!AL1663</f>
        <v>6474.5960189999996</v>
      </c>
      <c r="AJ288" s="6">
        <f>[1]Results!AM1663</f>
        <v>6523.131907</v>
      </c>
      <c r="AK288" s="6">
        <f>[1]Results!AN1663</f>
        <v>6572.0598620000001</v>
      </c>
      <c r="AL288" s="6">
        <f>[1]Results!AO1663</f>
        <v>6621.1668200000004</v>
      </c>
    </row>
    <row r="289" spans="1:38" x14ac:dyDescent="0.3">
      <c r="B289" t="s">
        <v>10</v>
      </c>
      <c r="C289" s="6">
        <f>[1]Results!F1660</f>
        <v>368210.87560000003</v>
      </c>
      <c r="D289" s="6">
        <f>[1]Results!G1660</f>
        <v>372979.59590000001</v>
      </c>
      <c r="E289" s="6">
        <f>[1]Results!H1660</f>
        <v>378438.89260000002</v>
      </c>
      <c r="F289" s="6">
        <f>[1]Results!I1660</f>
        <v>384921.16129999998</v>
      </c>
      <c r="G289" s="6">
        <f>[1]Results!J1660</f>
        <v>391816.75520000001</v>
      </c>
      <c r="H289" s="6">
        <f>[1]Results!K1660</f>
        <v>398645.4657</v>
      </c>
      <c r="I289" s="6">
        <f>[1]Results!L1660</f>
        <v>405511.56270000001</v>
      </c>
      <c r="J289" s="6">
        <f>[1]Results!M1660</f>
        <v>411968.16960000002</v>
      </c>
      <c r="K289" s="6">
        <f>[1]Results!N1660</f>
        <v>418174.03700000001</v>
      </c>
      <c r="L289" s="6">
        <f>[1]Results!O1660</f>
        <v>424383.81280000001</v>
      </c>
      <c r="M289" s="6">
        <f>[1]Results!P1660</f>
        <v>430348.58870000002</v>
      </c>
      <c r="N289" s="6">
        <f>[1]Results!Q1660</f>
        <v>437347.91769999999</v>
      </c>
      <c r="O289" s="6">
        <f>[1]Results!R1660</f>
        <v>444512.16350000002</v>
      </c>
      <c r="P289" s="6">
        <f>[1]Results!S1660</f>
        <v>451624.02340000001</v>
      </c>
      <c r="Q289" s="6">
        <f>[1]Results!T1660</f>
        <v>458717.36359999998</v>
      </c>
      <c r="R289" s="6">
        <f>[1]Results!U1660</f>
        <v>465914.29430000001</v>
      </c>
      <c r="S289" s="6">
        <f>[1]Results!V1660</f>
        <v>473349.45329999999</v>
      </c>
      <c r="T289" s="6">
        <f>[1]Results!W1660</f>
        <v>481125.39270000003</v>
      </c>
      <c r="U289" s="6">
        <f>[1]Results!X1660</f>
        <v>489292.26240000001</v>
      </c>
      <c r="V289" s="6">
        <f>[1]Results!Y1660</f>
        <v>497849.22090000001</v>
      </c>
      <c r="W289" s="6">
        <f>[1]Results!Z1660</f>
        <v>506984.42989999999</v>
      </c>
      <c r="X289" s="6">
        <f>[1]Results!AA1660</f>
        <v>515910.80900000001</v>
      </c>
      <c r="Y289" s="6">
        <f>[1]Results!AB1660</f>
        <v>525134.73529999994</v>
      </c>
      <c r="Z289" s="6">
        <f>[1]Results!AC1660</f>
        <v>534718.18359999999</v>
      </c>
      <c r="AA289" s="6">
        <f>[1]Results!AD1660</f>
        <v>544599.96750000003</v>
      </c>
      <c r="AB289" s="6">
        <f>[1]Results!AE1660</f>
        <v>555246.84680000006</v>
      </c>
      <c r="AC289" s="6">
        <f>[1]Results!AF1660</f>
        <v>565008.69629999995</v>
      </c>
      <c r="AD289" s="6">
        <f>[1]Results!AG1660</f>
        <v>574674.39639999997</v>
      </c>
      <c r="AE289" s="6">
        <f>[1]Results!AH1660</f>
        <v>584519.93819999998</v>
      </c>
      <c r="AF289" s="6">
        <f>[1]Results!AI1660</f>
        <v>594591.73919999995</v>
      </c>
      <c r="AG289" s="6">
        <f>[1]Results!AJ1660</f>
        <v>604839.00589999999</v>
      </c>
      <c r="AH289" s="6">
        <f>[1]Results!AK1660</f>
        <v>615183.61699999997</v>
      </c>
      <c r="AI289" s="6">
        <f>[1]Results!AL1660</f>
        <v>625565.34089999995</v>
      </c>
      <c r="AJ289" s="6">
        <f>[1]Results!AM1660</f>
        <v>635963.6531</v>
      </c>
      <c r="AK289" s="6">
        <f>[1]Results!AN1660</f>
        <v>646396.7548</v>
      </c>
      <c r="AL289" s="6">
        <f>[1]Results!AO1660</f>
        <v>656904.81480000005</v>
      </c>
    </row>
    <row r="290" spans="1:38" x14ac:dyDescent="0.3">
      <c r="B290" t="s">
        <v>23</v>
      </c>
      <c r="C290" s="6">
        <f>[1]Results!F1655</f>
        <v>15691.204729999999</v>
      </c>
      <c r="D290" s="6">
        <f>[1]Results!G1655</f>
        <v>15813.92043</v>
      </c>
      <c r="E290" s="6">
        <f>[1]Results!H1655</f>
        <v>15942.07627</v>
      </c>
      <c r="F290" s="6">
        <f>[1]Results!I1655</f>
        <v>16099.803830000001</v>
      </c>
      <c r="G290" s="6">
        <f>[1]Results!J1655</f>
        <v>16280.563239999999</v>
      </c>
      <c r="H290" s="6">
        <f>[1]Results!K1655</f>
        <v>16474.531060000001</v>
      </c>
      <c r="I290" s="6">
        <f>[1]Results!L1655</f>
        <v>16672.186969999999</v>
      </c>
      <c r="J290" s="6">
        <f>[1]Results!M1655</f>
        <v>16870.273010000001</v>
      </c>
      <c r="K290" s="6">
        <f>[1]Results!N1655</f>
        <v>17071.0389</v>
      </c>
      <c r="L290" s="6">
        <f>[1]Results!O1655</f>
        <v>17277.901389999999</v>
      </c>
      <c r="M290" s="6">
        <f>[1]Results!P1655</f>
        <v>17500.048940000001</v>
      </c>
      <c r="N290" s="6">
        <f>[1]Results!Q1655</f>
        <v>17733.01802</v>
      </c>
      <c r="O290" s="6">
        <f>[1]Results!R1655</f>
        <v>17969.946800000002</v>
      </c>
      <c r="P290" s="6">
        <f>[1]Results!S1655</f>
        <v>18207.58509</v>
      </c>
      <c r="Q290" s="6">
        <f>[1]Results!T1655</f>
        <v>18445.68491</v>
      </c>
      <c r="R290" s="6">
        <f>[1]Results!U1655</f>
        <v>18685.991239999999</v>
      </c>
      <c r="S290" s="6">
        <f>[1]Results!V1655</f>
        <v>18931.119739999998</v>
      </c>
      <c r="T290" s="6">
        <f>[1]Results!W1655</f>
        <v>19183.508620000001</v>
      </c>
      <c r="U290" s="6">
        <f>[1]Results!X1655</f>
        <v>19444.739750000001</v>
      </c>
      <c r="V290" s="6">
        <f>[1]Results!Y1655</f>
        <v>19715.34736</v>
      </c>
      <c r="W290" s="6">
        <f>[1]Results!Z1655</f>
        <v>19988.667099999999</v>
      </c>
      <c r="X290" s="6">
        <f>[1]Results!AA1655</f>
        <v>20269.381389999999</v>
      </c>
      <c r="Y290" s="6">
        <f>[1]Results!AB1655</f>
        <v>20560.061310000001</v>
      </c>
      <c r="Z290" s="6">
        <f>[1]Results!AC1655</f>
        <v>20860.468089999998</v>
      </c>
      <c r="AA290" s="6">
        <f>[1]Results!AD1655</f>
        <v>21169.341110000001</v>
      </c>
      <c r="AB290" s="6">
        <f>[1]Results!AE1655</f>
        <v>21465.344829999998</v>
      </c>
      <c r="AC290" s="6">
        <f>[1]Results!AF1655</f>
        <v>21758.373820000001</v>
      </c>
      <c r="AD290" s="6">
        <f>[1]Results!AG1655</f>
        <v>22054.757679999999</v>
      </c>
      <c r="AE290" s="6">
        <f>[1]Results!AH1655</f>
        <v>22357.546170000001</v>
      </c>
      <c r="AF290" s="6">
        <f>[1]Results!AI1655</f>
        <v>22667.40266</v>
      </c>
      <c r="AG290" s="6">
        <f>[1]Results!AJ1655</f>
        <v>22983.410110000001</v>
      </c>
      <c r="AH290" s="6">
        <f>[1]Results!AK1655</f>
        <v>23303.969560000001</v>
      </c>
      <c r="AI290" s="6">
        <f>[1]Results!AL1655</f>
        <v>23627.658650000001</v>
      </c>
      <c r="AJ290" s="6">
        <f>[1]Results!AM1655</f>
        <v>23953.77619</v>
      </c>
      <c r="AK290" s="6">
        <f>[1]Results!AN1655</f>
        <v>24282.447349999999</v>
      </c>
      <c r="AL290" s="6">
        <f>[1]Results!AO1655</f>
        <v>24614.3613</v>
      </c>
    </row>
    <row r="292" spans="1:38" x14ac:dyDescent="0.3">
      <c r="A292" s="12" t="s">
        <v>17</v>
      </c>
      <c r="B292" t="s">
        <v>80</v>
      </c>
      <c r="C292" s="4">
        <f>C274/C283-1</f>
        <v>0</v>
      </c>
      <c r="D292" s="4">
        <f t="shared" ref="D292:AL292" si="61">D274/D283-1</f>
        <v>0</v>
      </c>
      <c r="E292" s="4">
        <f t="shared" si="61"/>
        <v>0</v>
      </c>
      <c r="F292" s="4">
        <f t="shared" si="61"/>
        <v>0</v>
      </c>
      <c r="G292" s="4">
        <f t="shared" si="61"/>
        <v>0</v>
      </c>
      <c r="H292" s="4">
        <f t="shared" si="61"/>
        <v>0</v>
      </c>
      <c r="I292" s="4">
        <f t="shared" si="61"/>
        <v>8.9782229053603224E-4</v>
      </c>
      <c r="J292" s="4">
        <f t="shared" si="61"/>
        <v>1.7541225060724308E-4</v>
      </c>
      <c r="K292" s="4">
        <f t="shared" si="61"/>
        <v>-1.8983761190713988E-3</v>
      </c>
      <c r="L292" s="4">
        <f t="shared" si="61"/>
        <v>-4.3687325942001198E-3</v>
      </c>
      <c r="M292" s="4">
        <f t="shared" si="61"/>
        <v>-6.3198129372696865E-3</v>
      </c>
      <c r="N292" s="4">
        <f t="shared" si="61"/>
        <v>-7.2830578632139265E-3</v>
      </c>
      <c r="O292" s="4">
        <f t="shared" si="61"/>
        <v>-7.1453932643505969E-3</v>
      </c>
      <c r="P292" s="4">
        <f t="shared" si="61"/>
        <v>-6.147584186321553E-3</v>
      </c>
      <c r="Q292" s="4">
        <f t="shared" si="61"/>
        <v>-4.6978409546331035E-3</v>
      </c>
      <c r="R292" s="4">
        <f t="shared" si="61"/>
        <v>-3.1850904682129144E-3</v>
      </c>
      <c r="S292" s="4">
        <f t="shared" si="61"/>
        <v>-1.8590391554615948E-3</v>
      </c>
      <c r="T292" s="4">
        <f t="shared" si="61"/>
        <v>-8.0564488987056038E-4</v>
      </c>
      <c r="U292" s="4">
        <f t="shared" si="61"/>
        <v>7.6441911969205023E-6</v>
      </c>
      <c r="V292" s="4">
        <f t="shared" si="61"/>
        <v>6.6022622844830181E-4</v>
      </c>
      <c r="W292" s="4">
        <f t="shared" si="61"/>
        <v>1.226455295522344E-3</v>
      </c>
      <c r="X292" s="4">
        <f t="shared" si="61"/>
        <v>1.7120828125556375E-3</v>
      </c>
      <c r="Y292" s="4">
        <f t="shared" si="61"/>
        <v>2.1085948544923294E-3</v>
      </c>
      <c r="Z292" s="4">
        <f t="shared" si="61"/>
        <v>2.3829546271310065E-3</v>
      </c>
      <c r="AA292" s="4">
        <f t="shared" si="61"/>
        <v>2.5058800838402284E-3</v>
      </c>
      <c r="AB292" s="4">
        <f t="shared" si="61"/>
        <v>2.4734728223496649E-3</v>
      </c>
      <c r="AC292" s="4">
        <f t="shared" si="61"/>
        <v>2.3011405898847315E-3</v>
      </c>
      <c r="AD292" s="4">
        <f t="shared" si="61"/>
        <v>2.0423928677175684E-3</v>
      </c>
      <c r="AE292" s="4">
        <f t="shared" si="61"/>
        <v>1.7541948807577867E-3</v>
      </c>
      <c r="AF292" s="4">
        <f t="shared" si="61"/>
        <v>1.4834316115868162E-3</v>
      </c>
      <c r="AG292" s="4">
        <f t="shared" si="61"/>
        <v>1.2591898426379533E-3</v>
      </c>
      <c r="AH292" s="4">
        <f t="shared" si="61"/>
        <v>1.0925575600586601E-3</v>
      </c>
      <c r="AI292" s="4">
        <f t="shared" si="61"/>
        <v>9.8171871714369807E-4</v>
      </c>
      <c r="AJ292" s="4">
        <f t="shared" si="61"/>
        <v>9.179773070455699E-4</v>
      </c>
      <c r="AK292" s="4">
        <f t="shared" si="61"/>
        <v>8.9137106447489955E-4</v>
      </c>
      <c r="AL292" s="4">
        <f t="shared" si="61"/>
        <v>8.9415547112392524E-4</v>
      </c>
    </row>
    <row r="293" spans="1:38" x14ac:dyDescent="0.3">
      <c r="A293" t="s">
        <v>62</v>
      </c>
      <c r="B293" t="s">
        <v>7</v>
      </c>
      <c r="C293" s="4">
        <f t="shared" ref="C293:AL293" si="62">C275/C284-1</f>
        <v>0</v>
      </c>
      <c r="D293" s="4">
        <f t="shared" si="62"/>
        <v>0</v>
      </c>
      <c r="E293" s="4">
        <f t="shared" si="62"/>
        <v>0</v>
      </c>
      <c r="F293" s="4">
        <f t="shared" si="62"/>
        <v>0</v>
      </c>
      <c r="G293" s="4">
        <f t="shared" si="62"/>
        <v>0</v>
      </c>
      <c r="H293" s="4">
        <f t="shared" si="62"/>
        <v>0</v>
      </c>
      <c r="I293" s="4">
        <f t="shared" si="62"/>
        <v>3.2651741677436341E-4</v>
      </c>
      <c r="J293" s="4">
        <f t="shared" si="62"/>
        <v>9.5768437922139071E-5</v>
      </c>
      <c r="K293" s="4">
        <f t="shared" si="62"/>
        <v>-4.8713646992915027E-4</v>
      </c>
      <c r="L293" s="4">
        <f t="shared" si="62"/>
        <v>-1.0061177491229589E-3</v>
      </c>
      <c r="M293" s="4">
        <f t="shared" si="62"/>
        <v>-1.0913761979410852E-3</v>
      </c>
      <c r="N293" s="4">
        <f t="shared" si="62"/>
        <v>-6.1100014337789332E-4</v>
      </c>
      <c r="O293" s="4">
        <f t="shared" si="62"/>
        <v>3.9451955922653603E-4</v>
      </c>
      <c r="P293" s="4">
        <f t="shared" si="62"/>
        <v>1.7200149688607613E-3</v>
      </c>
      <c r="Q293" s="4">
        <f t="shared" si="62"/>
        <v>3.0982876173910601E-3</v>
      </c>
      <c r="R293" s="4">
        <f t="shared" si="62"/>
        <v>4.3012070295220806E-3</v>
      </c>
      <c r="S293" s="4">
        <f t="shared" si="62"/>
        <v>5.1994310591667592E-3</v>
      </c>
      <c r="T293" s="4">
        <f t="shared" si="62"/>
        <v>5.769210265472724E-3</v>
      </c>
      <c r="U293" s="4">
        <f t="shared" si="62"/>
        <v>6.0618020768588021E-3</v>
      </c>
      <c r="V293" s="4">
        <f t="shared" si="62"/>
        <v>6.1596369447181054E-3</v>
      </c>
      <c r="W293" s="4">
        <f t="shared" si="62"/>
        <v>6.1430002286440022E-3</v>
      </c>
      <c r="X293" s="4">
        <f t="shared" si="62"/>
        <v>6.0562404551265381E-3</v>
      </c>
      <c r="Y293" s="4">
        <f t="shared" si="62"/>
        <v>5.9281548031455689E-3</v>
      </c>
      <c r="Z293" s="4">
        <f t="shared" si="62"/>
        <v>5.7688353133391601E-3</v>
      </c>
      <c r="AA293" s="4">
        <f t="shared" si="62"/>
        <v>5.5826405058490014E-3</v>
      </c>
      <c r="AB293" s="4">
        <f t="shared" si="62"/>
        <v>5.3777811199191561E-3</v>
      </c>
      <c r="AC293" s="4">
        <f t="shared" si="62"/>
        <v>5.1684813091219528E-3</v>
      </c>
      <c r="AD293" s="4">
        <f t="shared" si="62"/>
        <v>4.9791812799753199E-3</v>
      </c>
      <c r="AE293" s="4">
        <f t="shared" si="62"/>
        <v>4.8310176394412707E-3</v>
      </c>
      <c r="AF293" s="4">
        <f t="shared" si="62"/>
        <v>4.7355389309211571E-3</v>
      </c>
      <c r="AG293" s="4">
        <f t="shared" si="62"/>
        <v>4.6922901426409425E-3</v>
      </c>
      <c r="AH293" s="4">
        <f t="shared" si="62"/>
        <v>4.6906064098410916E-3</v>
      </c>
      <c r="AI293" s="4">
        <f t="shared" si="62"/>
        <v>4.7141242991881604E-3</v>
      </c>
      <c r="AJ293" s="4">
        <f t="shared" si="62"/>
        <v>4.7453950381188825E-3</v>
      </c>
      <c r="AK293" s="4">
        <f t="shared" si="62"/>
        <v>4.7696958906850995E-3</v>
      </c>
      <c r="AL293" s="4">
        <f t="shared" si="62"/>
        <v>4.7771959858837754E-3</v>
      </c>
    </row>
    <row r="294" spans="1:38" x14ac:dyDescent="0.3">
      <c r="B294" t="s">
        <v>96</v>
      </c>
      <c r="C294" s="4">
        <f t="shared" ref="C294:AL294" si="63">C276/C285-1</f>
        <v>0</v>
      </c>
      <c r="D294" s="4">
        <f t="shared" si="63"/>
        <v>0</v>
      </c>
      <c r="E294" s="4">
        <f t="shared" si="63"/>
        <v>0</v>
      </c>
      <c r="F294" s="4">
        <f t="shared" si="63"/>
        <v>0</v>
      </c>
      <c r="G294" s="4">
        <f t="shared" si="63"/>
        <v>0</v>
      </c>
      <c r="H294" s="4">
        <f t="shared" si="63"/>
        <v>0</v>
      </c>
      <c r="I294" s="4">
        <f t="shared" si="63"/>
        <v>6.2450185854001639E-4</v>
      </c>
      <c r="J294" s="4">
        <f t="shared" si="63"/>
        <v>7.8762331152670839E-6</v>
      </c>
      <c r="K294" s="4">
        <f t="shared" si="63"/>
        <v>-1.9015903680418278E-3</v>
      </c>
      <c r="L294" s="4">
        <f t="shared" si="63"/>
        <v>-4.3148401935980685E-3</v>
      </c>
      <c r="M294" s="4">
        <f t="shared" si="63"/>
        <v>-6.1886903149159789E-3</v>
      </c>
      <c r="N294" s="4">
        <f t="shared" si="63"/>
        <v>-7.1439368675577652E-3</v>
      </c>
      <c r="O294" s="4">
        <f t="shared" si="63"/>
        <v>-6.9318958354696036E-3</v>
      </c>
      <c r="P294" s="4">
        <f t="shared" si="63"/>
        <v>-5.726880583714844E-3</v>
      </c>
      <c r="Q294" s="4">
        <f t="shared" si="63"/>
        <v>-3.9547070199245082E-3</v>
      </c>
      <c r="R294" s="4">
        <f t="shared" si="63"/>
        <v>-2.0696445853691792E-3</v>
      </c>
      <c r="S294" s="4">
        <f t="shared" si="63"/>
        <v>-3.9655090284473893E-4</v>
      </c>
      <c r="T294" s="4">
        <f t="shared" si="63"/>
        <v>9.2608988816511584E-4</v>
      </c>
      <c r="U294" s="4">
        <f t="shared" si="63"/>
        <v>1.9127389165538577E-3</v>
      </c>
      <c r="V294" s="4">
        <f t="shared" si="63"/>
        <v>2.653671764828891E-3</v>
      </c>
      <c r="W294" s="4">
        <f t="shared" si="63"/>
        <v>3.2644630139124775E-3</v>
      </c>
      <c r="X294" s="4">
        <f t="shared" si="63"/>
        <v>3.7489351457140607E-3</v>
      </c>
      <c r="Y294" s="4">
        <f t="shared" si="63"/>
        <v>4.1217950205614251E-3</v>
      </c>
      <c r="Z294" s="4">
        <f t="shared" si="63"/>
        <v>4.3641333487034473E-3</v>
      </c>
      <c r="AA294" s="4">
        <f t="shared" si="63"/>
        <v>4.4477394308102269E-3</v>
      </c>
      <c r="AB294" s="4">
        <f t="shared" si="63"/>
        <v>4.4205515907675963E-3</v>
      </c>
      <c r="AC294" s="4">
        <f t="shared" si="63"/>
        <v>4.189370296167727E-3</v>
      </c>
      <c r="AD294" s="4">
        <f t="shared" si="63"/>
        <v>3.8371601283613277E-3</v>
      </c>
      <c r="AE294" s="4">
        <f t="shared" si="63"/>
        <v>3.438240788480984E-3</v>
      </c>
      <c r="AF294" s="4">
        <f t="shared" si="63"/>
        <v>3.0523995439484253E-3</v>
      </c>
      <c r="AG294" s="4">
        <f t="shared" si="63"/>
        <v>2.7190382966106874E-3</v>
      </c>
      <c r="AH294" s="4">
        <f t="shared" si="63"/>
        <v>2.4558012819828612E-3</v>
      </c>
      <c r="AI294" s="4">
        <f t="shared" si="63"/>
        <v>2.2629299237999501E-3</v>
      </c>
      <c r="AJ294" s="4">
        <f t="shared" si="63"/>
        <v>2.1302018562365799E-3</v>
      </c>
      <c r="AK294" s="4">
        <f t="shared" si="63"/>
        <v>2.043818781256812E-3</v>
      </c>
      <c r="AL294" s="4">
        <f t="shared" si="63"/>
        <v>1.9912815945073437E-3</v>
      </c>
    </row>
    <row r="295" spans="1:38" x14ac:dyDescent="0.3">
      <c r="B295" t="s">
        <v>11</v>
      </c>
      <c r="C295" s="4">
        <f t="shared" ref="C295:AL295" si="64">C277/C286-1</f>
        <v>0</v>
      </c>
      <c r="D295" s="4">
        <f t="shared" si="64"/>
        <v>0</v>
      </c>
      <c r="E295" s="4">
        <f t="shared" si="64"/>
        <v>0</v>
      </c>
      <c r="F295" s="4">
        <f t="shared" si="64"/>
        <v>0</v>
      </c>
      <c r="G295" s="4">
        <f t="shared" si="64"/>
        <v>0</v>
      </c>
      <c r="H295" s="4">
        <f t="shared" si="64"/>
        <v>0</v>
      </c>
      <c r="I295" s="4">
        <f t="shared" si="64"/>
        <v>3.344082585954089E-3</v>
      </c>
      <c r="J295" s="4">
        <f t="shared" si="64"/>
        <v>3.5014523346659221E-3</v>
      </c>
      <c r="K295" s="4">
        <f t="shared" si="64"/>
        <v>-4.7111071442371699E-3</v>
      </c>
      <c r="L295" s="4">
        <f t="shared" si="64"/>
        <v>-1.918950478150705E-2</v>
      </c>
      <c r="M295" s="4">
        <f t="shared" si="64"/>
        <v>-3.7599136863458837E-2</v>
      </c>
      <c r="N295" s="4">
        <f t="shared" si="64"/>
        <v>-5.7623929892188452E-2</v>
      </c>
      <c r="O295" s="4">
        <f t="shared" si="64"/>
        <v>-7.7083497012728874E-2</v>
      </c>
      <c r="P295" s="4">
        <f t="shared" si="64"/>
        <v>-9.4100913069483871E-2</v>
      </c>
      <c r="Q295" s="4">
        <f t="shared" si="64"/>
        <v>-0.10729769084096374</v>
      </c>
      <c r="R295" s="4">
        <f t="shared" si="64"/>
        <v>-0.11606852084046737</v>
      </c>
      <c r="S295" s="4">
        <f t="shared" si="64"/>
        <v>-0.12030634054878397</v>
      </c>
      <c r="T295" s="4">
        <f t="shared" si="64"/>
        <v>-0.12030324586863816</v>
      </c>
      <c r="U295" s="4">
        <f t="shared" si="64"/>
        <v>-0.11665766839100378</v>
      </c>
      <c r="V295" s="4">
        <f t="shared" si="64"/>
        <v>-0.11016112030249603</v>
      </c>
      <c r="W295" s="4">
        <f t="shared" si="64"/>
        <v>-0.10167543637013421</v>
      </c>
      <c r="X295" s="4">
        <f t="shared" si="64"/>
        <v>-9.1971286267479302E-2</v>
      </c>
      <c r="Y295" s="4">
        <f t="shared" si="64"/>
        <v>-8.1787894050569521E-2</v>
      </c>
      <c r="Z295" s="4">
        <f t="shared" si="64"/>
        <v>-7.1783838140455636E-2</v>
      </c>
      <c r="AA295" s="4">
        <f t="shared" si="64"/>
        <v>-6.2506049811335784E-2</v>
      </c>
      <c r="AB295" s="4">
        <f t="shared" si="64"/>
        <v>-5.4391240668734686E-2</v>
      </c>
      <c r="AC295" s="4">
        <f t="shared" si="64"/>
        <v>-4.7688489462819672E-2</v>
      </c>
      <c r="AD295" s="4">
        <f t="shared" si="64"/>
        <v>-4.2532964443643073E-2</v>
      </c>
      <c r="AE295" s="4">
        <f t="shared" si="64"/>
        <v>-3.8917776230193435E-2</v>
      </c>
      <c r="AF295" s="4">
        <f t="shared" si="64"/>
        <v>-3.6697815807526069E-2</v>
      </c>
      <c r="AG295" s="4">
        <f t="shared" si="64"/>
        <v>-3.5622895010125832E-2</v>
      </c>
      <c r="AH295" s="4">
        <f t="shared" si="64"/>
        <v>-3.5370047505715929E-2</v>
      </c>
      <c r="AI295" s="4">
        <f t="shared" si="64"/>
        <v>-3.5580628026039784E-2</v>
      </c>
      <c r="AJ295" s="4">
        <f t="shared" si="64"/>
        <v>-3.5926969027289202E-2</v>
      </c>
      <c r="AK295" s="4">
        <f t="shared" si="64"/>
        <v>-3.6133802977812657E-2</v>
      </c>
      <c r="AL295" s="4">
        <f t="shared" si="64"/>
        <v>-3.5975511735657828E-2</v>
      </c>
    </row>
    <row r="296" spans="1:38" x14ac:dyDescent="0.3">
      <c r="B296" t="s">
        <v>8</v>
      </c>
      <c r="C296" s="4">
        <f t="shared" ref="C296:AL296" si="65">C278/C287-1</f>
        <v>0</v>
      </c>
      <c r="D296" s="4">
        <f t="shared" si="65"/>
        <v>0</v>
      </c>
      <c r="E296" s="4">
        <f t="shared" si="65"/>
        <v>0</v>
      </c>
      <c r="F296" s="4">
        <f t="shared" si="65"/>
        <v>0</v>
      </c>
      <c r="G296" s="4">
        <f t="shared" si="65"/>
        <v>0</v>
      </c>
      <c r="H296" s="4">
        <f t="shared" si="65"/>
        <v>0</v>
      </c>
      <c r="I296" s="4">
        <f t="shared" si="65"/>
        <v>3.9062690424418456E-4</v>
      </c>
      <c r="J296" s="4">
        <f t="shared" si="65"/>
        <v>1.1349365096302577E-4</v>
      </c>
      <c r="K296" s="4">
        <f t="shared" si="65"/>
        <v>-9.0344547990617308E-4</v>
      </c>
      <c r="L296" s="4">
        <f t="shared" si="65"/>
        <v>-2.2555112756216245E-3</v>
      </c>
      <c r="M296" s="4">
        <f t="shared" si="65"/>
        <v>-3.4274818268783536E-3</v>
      </c>
      <c r="N296" s="4">
        <f t="shared" si="65"/>
        <v>-4.1021737169825156E-3</v>
      </c>
      <c r="O296" s="4">
        <f t="shared" si="65"/>
        <v>-4.1552020896629127E-3</v>
      </c>
      <c r="P296" s="4">
        <f t="shared" si="65"/>
        <v>-3.6762871341633474E-3</v>
      </c>
      <c r="Q296" s="4">
        <f t="shared" si="65"/>
        <v>-2.8801138763322465E-3</v>
      </c>
      <c r="R296" s="4">
        <f t="shared" si="65"/>
        <v>-1.9965459311050981E-3</v>
      </c>
      <c r="S296" s="4">
        <f t="shared" si="65"/>
        <v>-1.1895410504006998E-3</v>
      </c>
      <c r="T296" s="4">
        <f t="shared" si="65"/>
        <v>-5.2769664150442708E-4</v>
      </c>
      <c r="U296" s="4">
        <f t="shared" si="65"/>
        <v>-7.4154087215116959E-7</v>
      </c>
      <c r="V296" s="4">
        <f t="shared" si="65"/>
        <v>4.4060162500358935E-4</v>
      </c>
      <c r="W296" s="4">
        <f t="shared" si="65"/>
        <v>8.4854678520129845E-4</v>
      </c>
      <c r="X296" s="4">
        <f t="shared" si="65"/>
        <v>1.241840636045044E-3</v>
      </c>
      <c r="Y296" s="4">
        <f t="shared" si="65"/>
        <v>1.6192018682075204E-3</v>
      </c>
      <c r="Z296" s="4">
        <f t="shared" si="65"/>
        <v>1.9602438734340755E-3</v>
      </c>
      <c r="AA296" s="4">
        <f t="shared" si="65"/>
        <v>2.2400983185393297E-3</v>
      </c>
      <c r="AB296" s="4">
        <f t="shared" si="65"/>
        <v>2.4413632330868573E-3</v>
      </c>
      <c r="AC296" s="4">
        <f t="shared" si="65"/>
        <v>2.5637219230050245E-3</v>
      </c>
      <c r="AD296" s="4">
        <f t="shared" si="65"/>
        <v>2.6253783227958571E-3</v>
      </c>
      <c r="AE296" s="4">
        <f t="shared" si="65"/>
        <v>2.6520937724783256E-3</v>
      </c>
      <c r="AF296" s="4">
        <f t="shared" si="65"/>
        <v>2.6681318800740872E-3</v>
      </c>
      <c r="AG296" s="4">
        <f t="shared" si="65"/>
        <v>2.690239488508217E-3</v>
      </c>
      <c r="AH296" s="4">
        <f t="shared" si="65"/>
        <v>2.7261793339654616E-3</v>
      </c>
      <c r="AI296" s="4">
        <f t="shared" si="65"/>
        <v>2.7768055343282416E-3</v>
      </c>
      <c r="AJ296" s="4">
        <f t="shared" si="65"/>
        <v>2.8392489300490542E-3</v>
      </c>
      <c r="AK296" s="4">
        <f t="shared" si="65"/>
        <v>2.9100346488117879E-3</v>
      </c>
      <c r="AL296" s="4">
        <f t="shared" si="65"/>
        <v>2.9871768722509184E-3</v>
      </c>
    </row>
    <row r="297" spans="1:38" x14ac:dyDescent="0.3">
      <c r="B297" t="s">
        <v>24</v>
      </c>
      <c r="C297" s="4">
        <f t="shared" ref="C297:AL297" si="66">C279/C288-1</f>
        <v>0</v>
      </c>
      <c r="D297" s="4">
        <f t="shared" si="66"/>
        <v>0</v>
      </c>
      <c r="E297" s="4">
        <f t="shared" si="66"/>
        <v>0</v>
      </c>
      <c r="F297" s="4">
        <f t="shared" si="66"/>
        <v>0</v>
      </c>
      <c r="G297" s="4">
        <f t="shared" si="66"/>
        <v>0</v>
      </c>
      <c r="H297" s="4">
        <f t="shared" si="66"/>
        <v>0</v>
      </c>
      <c r="I297" s="4">
        <f t="shared" si="66"/>
        <v>9.1647546472015673E-3</v>
      </c>
      <c r="J297" s="4">
        <f t="shared" si="66"/>
        <v>1.3812656614485608E-2</v>
      </c>
      <c r="K297" s="4">
        <f t="shared" si="66"/>
        <v>1.5664742829994305E-2</v>
      </c>
      <c r="L297" s="4">
        <f t="shared" si="66"/>
        <v>1.6051506570776031E-2</v>
      </c>
      <c r="M297" s="4">
        <f t="shared" si="66"/>
        <v>1.5400458878152001E-2</v>
      </c>
      <c r="N297" s="4">
        <f t="shared" si="66"/>
        <v>1.3899086558720075E-2</v>
      </c>
      <c r="O297" s="4">
        <f t="shared" si="66"/>
        <v>1.1811092192463901E-2</v>
      </c>
      <c r="P297" s="4">
        <f t="shared" si="66"/>
        <v>9.5109228558751813E-3</v>
      </c>
      <c r="Q297" s="4">
        <f t="shared" si="66"/>
        <v>7.3751870447622547E-3</v>
      </c>
      <c r="R297" s="4">
        <f t="shared" si="66"/>
        <v>5.6536487313012529E-3</v>
      </c>
      <c r="S297" s="4">
        <f t="shared" si="66"/>
        <v>4.4599582468181076E-3</v>
      </c>
      <c r="T297" s="4">
        <f t="shared" si="66"/>
        <v>3.789040097786911E-3</v>
      </c>
      <c r="U297" s="4">
        <f t="shared" si="66"/>
        <v>3.5572400318348851E-3</v>
      </c>
      <c r="V297" s="4">
        <f t="shared" si="66"/>
        <v>3.6505665746686677E-3</v>
      </c>
      <c r="W297" s="4">
        <f t="shared" si="66"/>
        <v>3.9563774194204537E-3</v>
      </c>
      <c r="X297" s="4">
        <f t="shared" si="66"/>
        <v>4.4241499809667406E-3</v>
      </c>
      <c r="Y297" s="4">
        <f t="shared" si="66"/>
        <v>5.0036897898591004E-3</v>
      </c>
      <c r="Z297" s="4">
        <f t="shared" si="66"/>
        <v>5.6565357966777974E-3</v>
      </c>
      <c r="AA297" s="4">
        <f t="shared" si="66"/>
        <v>6.3477595443564017E-3</v>
      </c>
      <c r="AB297" s="4">
        <f t="shared" si="66"/>
        <v>7.0284959344597553E-3</v>
      </c>
      <c r="AC297" s="4">
        <f t="shared" si="66"/>
        <v>7.6735832846173135E-3</v>
      </c>
      <c r="AD297" s="4">
        <f t="shared" si="66"/>
        <v>8.238702248818397E-3</v>
      </c>
      <c r="AE297" s="4">
        <f t="shared" si="66"/>
        <v>8.6902170891751673E-3</v>
      </c>
      <c r="AF297" s="4">
        <f t="shared" si="66"/>
        <v>9.0151057572338544E-3</v>
      </c>
      <c r="AG297" s="4">
        <f t="shared" si="66"/>
        <v>9.2207525071559271E-3</v>
      </c>
      <c r="AH297" s="4">
        <f t="shared" si="66"/>
        <v>9.3311923578232037E-3</v>
      </c>
      <c r="AI297" s="4">
        <f t="shared" si="66"/>
        <v>9.3810827458207235E-3</v>
      </c>
      <c r="AJ297" s="4">
        <f t="shared" si="66"/>
        <v>9.405158423082538E-3</v>
      </c>
      <c r="AK297" s="4">
        <f t="shared" si="66"/>
        <v>9.4339627608219789E-3</v>
      </c>
      <c r="AL297" s="4">
        <f t="shared" si="66"/>
        <v>9.4940956343401162E-3</v>
      </c>
    </row>
    <row r="298" spans="1:38" x14ac:dyDescent="0.3">
      <c r="B298" t="s">
        <v>10</v>
      </c>
      <c r="C298" s="4">
        <f t="shared" ref="C298:AL298" si="67">C280/C289-1</f>
        <v>0</v>
      </c>
      <c r="D298" s="4">
        <f t="shared" si="67"/>
        <v>0</v>
      </c>
      <c r="E298" s="4">
        <f t="shared" si="67"/>
        <v>0</v>
      </c>
      <c r="F298" s="4">
        <f t="shared" si="67"/>
        <v>0</v>
      </c>
      <c r="G298" s="4">
        <f t="shared" si="67"/>
        <v>0</v>
      </c>
      <c r="H298" s="4">
        <f t="shared" si="67"/>
        <v>0</v>
      </c>
      <c r="I298" s="4">
        <f t="shared" si="67"/>
        <v>8.886397655363254E-4</v>
      </c>
      <c r="J298" s="4">
        <f t="shared" si="67"/>
        <v>-6.7010031448155871E-6</v>
      </c>
      <c r="K298" s="4">
        <f t="shared" si="67"/>
        <v>-2.2579314267662243E-3</v>
      </c>
      <c r="L298" s="4">
        <f t="shared" si="67"/>
        <v>-4.804029839283297E-3</v>
      </c>
      <c r="M298" s="4">
        <f t="shared" si="67"/>
        <v>-6.6564270807843995E-3</v>
      </c>
      <c r="N298" s="4">
        <f t="shared" si="67"/>
        <v>-7.3337724273792038E-3</v>
      </c>
      <c r="O298" s="4">
        <f t="shared" si="67"/>
        <v>-6.7676559766400857E-3</v>
      </c>
      <c r="P298" s="4">
        <f t="shared" si="67"/>
        <v>-5.2813596629412984E-3</v>
      </c>
      <c r="Q298" s="4">
        <f t="shared" si="67"/>
        <v>-3.3709892467649327E-3</v>
      </c>
      <c r="R298" s="4">
        <f t="shared" si="67"/>
        <v>-1.4892513676630914E-3</v>
      </c>
      <c r="S298" s="4">
        <f t="shared" si="67"/>
        <v>8.2697465323189334E-5</v>
      </c>
      <c r="T298" s="4">
        <f t="shared" si="67"/>
        <v>1.2579807866788251E-3</v>
      </c>
      <c r="U298" s="4">
        <f t="shared" si="67"/>
        <v>2.0886855945507765E-3</v>
      </c>
      <c r="V298" s="4">
        <f t="shared" si="67"/>
        <v>2.6815351796405373E-3</v>
      </c>
      <c r="W298" s="4">
        <f t="shared" si="67"/>
        <v>3.1359679040114941E-3</v>
      </c>
      <c r="X298" s="4">
        <f t="shared" si="67"/>
        <v>3.4743846586087201E-3</v>
      </c>
      <c r="Y298" s="4">
        <f t="shared" si="67"/>
        <v>3.6992881434327884E-3</v>
      </c>
      <c r="Z298" s="4">
        <f t="shared" si="67"/>
        <v>3.7859894465726018E-3</v>
      </c>
      <c r="AA298" s="4">
        <f t="shared" si="67"/>
        <v>3.7133775627704591E-3</v>
      </c>
      <c r="AB298" s="4">
        <f t="shared" si="67"/>
        <v>3.4860722058223104E-3</v>
      </c>
      <c r="AC298" s="4">
        <f t="shared" si="67"/>
        <v>3.1315686140529486E-3</v>
      </c>
      <c r="AD298" s="4">
        <f t="shared" si="67"/>
        <v>2.7124154299629222E-3</v>
      </c>
      <c r="AE298" s="4">
        <f t="shared" si="67"/>
        <v>2.2926851804694337E-3</v>
      </c>
      <c r="AF298" s="4">
        <f t="shared" si="67"/>
        <v>1.9222631675608337E-3</v>
      </c>
      <c r="AG298" s="4">
        <f t="shared" si="67"/>
        <v>1.6287889676263045E-3</v>
      </c>
      <c r="AH298" s="4">
        <f t="shared" si="67"/>
        <v>1.4182399789102185E-3</v>
      </c>
      <c r="AI298" s="4">
        <f t="shared" si="67"/>
        <v>1.281494270201522E-3</v>
      </c>
      <c r="AJ298" s="4">
        <f t="shared" si="67"/>
        <v>1.2023567640584432E-3</v>
      </c>
      <c r="AK298" s="4">
        <f t="shared" si="67"/>
        <v>1.1642182520437139E-3</v>
      </c>
      <c r="AL298" s="4">
        <f t="shared" si="67"/>
        <v>1.1538306356162487E-3</v>
      </c>
    </row>
    <row r="299" spans="1:38" x14ac:dyDescent="0.3">
      <c r="B299" t="s">
        <v>23</v>
      </c>
      <c r="C299" s="4">
        <f t="shared" ref="C299:AL299" si="68">C281/C290-1</f>
        <v>0</v>
      </c>
      <c r="D299" s="4">
        <f t="shared" si="68"/>
        <v>0</v>
      </c>
      <c r="E299" s="4">
        <f t="shared" si="68"/>
        <v>0</v>
      </c>
      <c r="F299" s="4">
        <f t="shared" si="68"/>
        <v>0</v>
      </c>
      <c r="G299" s="4">
        <f t="shared" si="68"/>
        <v>0</v>
      </c>
      <c r="H299" s="4">
        <f t="shared" si="68"/>
        <v>0</v>
      </c>
      <c r="I299" s="4">
        <f t="shared" si="68"/>
        <v>3.0314559266253482E-4</v>
      </c>
      <c r="J299" s="4">
        <f t="shared" si="68"/>
        <v>-2.8217030021859824E-4</v>
      </c>
      <c r="K299" s="4">
        <f t="shared" si="68"/>
        <v>-1.7336765602472548E-3</v>
      </c>
      <c r="L299" s="4">
        <f t="shared" si="68"/>
        <v>-3.567322709439269E-3</v>
      </c>
      <c r="M299" s="4">
        <f t="shared" si="68"/>
        <v>-5.2081951491960154E-3</v>
      </c>
      <c r="N299" s="4">
        <f t="shared" si="68"/>
        <v>-6.2909928740940702E-3</v>
      </c>
      <c r="O299" s="4">
        <f t="shared" si="68"/>
        <v>-6.6697192448005316E-3</v>
      </c>
      <c r="P299" s="4">
        <f t="shared" si="68"/>
        <v>-6.4329069133023387E-3</v>
      </c>
      <c r="Q299" s="4">
        <f t="shared" si="68"/>
        <v>-5.8066079152166994E-3</v>
      </c>
      <c r="R299" s="4">
        <f t="shared" si="68"/>
        <v>-5.0367191545359624E-3</v>
      </c>
      <c r="S299" s="4">
        <f t="shared" si="68"/>
        <v>-4.3031210577509915E-3</v>
      </c>
      <c r="T299" s="4">
        <f t="shared" si="68"/>
        <v>-3.6880328516254446E-3</v>
      </c>
      <c r="U299" s="4">
        <f t="shared" si="68"/>
        <v>-3.192319917781461E-3</v>
      </c>
      <c r="V299" s="4">
        <f t="shared" si="68"/>
        <v>-2.7762655661370816E-3</v>
      </c>
      <c r="W299" s="4">
        <f t="shared" si="68"/>
        <v>-2.3950456406369725E-3</v>
      </c>
      <c r="X299" s="4">
        <f t="shared" si="68"/>
        <v>-2.0415630454521105E-3</v>
      </c>
      <c r="Y299" s="4">
        <f t="shared" si="68"/>
        <v>-1.7223883463215461E-3</v>
      </c>
      <c r="Z299" s="4">
        <f t="shared" si="68"/>
        <v>-1.4613440057279492E-3</v>
      </c>
      <c r="AA299" s="4">
        <f t="shared" si="68"/>
        <v>-1.2833077732006259E-3</v>
      </c>
      <c r="AB299" s="4">
        <f t="shared" si="68"/>
        <v>-1.1996867604011641E-3</v>
      </c>
      <c r="AC299" s="4">
        <f t="shared" si="68"/>
        <v>-1.2082543584133187E-3</v>
      </c>
      <c r="AD299" s="4">
        <f t="shared" si="68"/>
        <v>-1.2823468935977411E-3</v>
      </c>
      <c r="AE299" s="4">
        <f t="shared" si="68"/>
        <v>-1.3883227508058038E-3</v>
      </c>
      <c r="AF299" s="4">
        <f t="shared" si="68"/>
        <v>-1.4954355604145375E-3</v>
      </c>
      <c r="AG299" s="4">
        <f t="shared" si="68"/>
        <v>-1.5821990655850993E-3</v>
      </c>
      <c r="AH299" s="4">
        <f t="shared" si="68"/>
        <v>-1.6379660083971626E-3</v>
      </c>
      <c r="AI299" s="4">
        <f t="shared" si="68"/>
        <v>-1.6607367061315381E-3</v>
      </c>
      <c r="AJ299" s="4">
        <f t="shared" si="68"/>
        <v>-1.6535501411478748E-3</v>
      </c>
      <c r="AK299" s="4">
        <f t="shared" si="68"/>
        <v>-1.6210050590307334E-3</v>
      </c>
      <c r="AL299" s="4">
        <f t="shared" si="68"/>
        <v>-1.5669912995062152E-3</v>
      </c>
    </row>
    <row r="301" spans="1:38" x14ac:dyDescent="0.3">
      <c r="A301" s="12" t="s">
        <v>17</v>
      </c>
      <c r="C301" s="7" t="s">
        <v>14</v>
      </c>
      <c r="D301" s="7" t="s">
        <v>15</v>
      </c>
      <c r="E301" s="7" t="s">
        <v>16</v>
      </c>
    </row>
    <row r="302" spans="1:38" x14ac:dyDescent="0.3">
      <c r="A302" t="s">
        <v>54</v>
      </c>
      <c r="B302" t="s">
        <v>80</v>
      </c>
      <c r="C302" s="4">
        <f>R292</f>
        <v>-3.1850904682129144E-3</v>
      </c>
      <c r="D302" s="4">
        <f>AB292</f>
        <v>2.4734728223496649E-3</v>
      </c>
      <c r="E302" s="4">
        <f>AL292</f>
        <v>8.9415547112392524E-4</v>
      </c>
    </row>
    <row r="303" spans="1:38" x14ac:dyDescent="0.3">
      <c r="B303" t="s">
        <v>7</v>
      </c>
      <c r="C303" s="4">
        <f t="shared" ref="C303:C309" si="69">R293</f>
        <v>4.3012070295220806E-3</v>
      </c>
      <c r="D303" s="4">
        <f t="shared" ref="D303:D309" si="70">AB293</f>
        <v>5.3777811199191561E-3</v>
      </c>
      <c r="E303" s="4">
        <f t="shared" ref="E303:E309" si="71">AL293</f>
        <v>4.7771959858837754E-3</v>
      </c>
    </row>
    <row r="304" spans="1:38" x14ac:dyDescent="0.3">
      <c r="B304" t="s">
        <v>96</v>
      </c>
      <c r="C304" s="4">
        <f t="shared" si="69"/>
        <v>-2.0696445853691792E-3</v>
      </c>
      <c r="D304" s="4">
        <f t="shared" si="70"/>
        <v>4.4205515907675963E-3</v>
      </c>
      <c r="E304" s="4">
        <f t="shared" si="71"/>
        <v>1.9912815945073437E-3</v>
      </c>
    </row>
    <row r="305" spans="1:9" x14ac:dyDescent="0.3">
      <c r="B305" t="s">
        <v>11</v>
      </c>
      <c r="C305" s="4">
        <f t="shared" si="69"/>
        <v>-0.11606852084046737</v>
      </c>
      <c r="D305" s="4">
        <f t="shared" si="70"/>
        <v>-5.4391240668734686E-2</v>
      </c>
      <c r="E305" s="4">
        <f t="shared" si="71"/>
        <v>-3.5975511735657828E-2</v>
      </c>
    </row>
    <row r="306" spans="1:9" x14ac:dyDescent="0.3">
      <c r="B306" t="s">
        <v>8</v>
      </c>
      <c r="C306" s="4">
        <f t="shared" si="69"/>
        <v>-1.9965459311050981E-3</v>
      </c>
      <c r="D306" s="4">
        <f t="shared" si="70"/>
        <v>2.4413632330868573E-3</v>
      </c>
      <c r="E306" s="4">
        <f t="shared" si="71"/>
        <v>2.9871768722509184E-3</v>
      </c>
    </row>
    <row r="307" spans="1:9" x14ac:dyDescent="0.3">
      <c r="B307" t="s">
        <v>24</v>
      </c>
      <c r="C307" s="4">
        <f t="shared" si="69"/>
        <v>5.6536487313012529E-3</v>
      </c>
      <c r="D307" s="4">
        <f t="shared" si="70"/>
        <v>7.0284959344597553E-3</v>
      </c>
      <c r="E307" s="4">
        <f t="shared" si="71"/>
        <v>9.4940956343401162E-3</v>
      </c>
    </row>
    <row r="308" spans="1:9" x14ac:dyDescent="0.3">
      <c r="B308" t="s">
        <v>10</v>
      </c>
      <c r="C308" s="4">
        <f t="shared" si="69"/>
        <v>-1.4892513676630914E-3</v>
      </c>
      <c r="D308" s="4">
        <f t="shared" si="70"/>
        <v>3.4860722058223104E-3</v>
      </c>
      <c r="E308" s="4">
        <f t="shared" si="71"/>
        <v>1.1538306356162487E-3</v>
      </c>
    </row>
    <row r="309" spans="1:9" x14ac:dyDescent="0.3">
      <c r="B309" t="s">
        <v>23</v>
      </c>
      <c r="C309" s="4">
        <f t="shared" si="69"/>
        <v>-5.0367191545359624E-3</v>
      </c>
      <c r="D309" s="4">
        <f t="shared" si="70"/>
        <v>-1.1996867604011641E-3</v>
      </c>
      <c r="E309" s="4">
        <f t="shared" si="71"/>
        <v>-1.5669912995062152E-3</v>
      </c>
    </row>
    <row r="310" spans="1:9" x14ac:dyDescent="0.3">
      <c r="C310" s="4"/>
      <c r="D310" s="4"/>
      <c r="E310" s="4"/>
    </row>
    <row r="311" spans="1:9" x14ac:dyDescent="0.3">
      <c r="A311" s="12" t="s">
        <v>17</v>
      </c>
      <c r="C311" s="7" t="s">
        <v>14</v>
      </c>
      <c r="D311" s="7" t="s">
        <v>15</v>
      </c>
      <c r="E311" s="7" t="s">
        <v>16</v>
      </c>
    </row>
    <row r="312" spans="1:9" x14ac:dyDescent="0.3">
      <c r="A312" t="s">
        <v>99</v>
      </c>
      <c r="B312" t="s">
        <v>80</v>
      </c>
      <c r="C312" s="4">
        <f>C302</f>
        <v>-3.1850904682129144E-3</v>
      </c>
      <c r="D312" s="4">
        <f>D302</f>
        <v>2.4734728223496649E-3</v>
      </c>
      <c r="E312" s="4">
        <f>E302</f>
        <v>8.9415547112392524E-4</v>
      </c>
      <c r="G312" s="6">
        <f>R283</f>
        <v>595140.39520000003</v>
      </c>
      <c r="H312" s="6">
        <f>AB283</f>
        <v>700505.81689999998</v>
      </c>
      <c r="I312" s="6">
        <f>AL283</f>
        <v>820842.37439999997</v>
      </c>
    </row>
    <row r="313" spans="1:9" x14ac:dyDescent="0.3">
      <c r="B313" t="s">
        <v>7</v>
      </c>
      <c r="C313" s="4">
        <f>C303*G313/G$312</f>
        <v>9.2001148706433888E-5</v>
      </c>
      <c r="D313" s="4">
        <f t="shared" ref="D313:E313" si="72">D303*H313/H$312</f>
        <v>9.7521659851900866E-5</v>
      </c>
      <c r="E313" s="4">
        <f t="shared" si="72"/>
        <v>7.3925228390355261E-5</v>
      </c>
      <c r="G313" s="6">
        <f t="shared" ref="G313:G319" si="73">R284</f>
        <v>12729.822029999999</v>
      </c>
      <c r="H313" s="6">
        <f t="shared" ref="H313:H319" si="74">AB284</f>
        <v>12703.099749999999</v>
      </c>
      <c r="I313" s="6">
        <f t="shared" ref="I313:I319" si="75">AL284</f>
        <v>12702.212799999999</v>
      </c>
    </row>
    <row r="314" spans="1:9" x14ac:dyDescent="0.3">
      <c r="B314" t="s">
        <v>96</v>
      </c>
      <c r="C314" s="4">
        <f t="shared" ref="C314:E314" si="76">C304*G314/G$312</f>
        <v>-3.6914667828283043E-5</v>
      </c>
      <c r="D314" s="4">
        <f t="shared" si="76"/>
        <v>7.6204035301567812E-5</v>
      </c>
      <c r="E314" s="4">
        <f t="shared" si="76"/>
        <v>3.4163855174383047E-5</v>
      </c>
      <c r="G314" s="6">
        <f t="shared" si="73"/>
        <v>10615.064130000001</v>
      </c>
      <c r="H314" s="6">
        <f t="shared" si="74"/>
        <v>12075.726049999999</v>
      </c>
      <c r="I314" s="6">
        <f t="shared" si="75"/>
        <v>14082.96048</v>
      </c>
    </row>
    <row r="315" spans="1:9" x14ac:dyDescent="0.3">
      <c r="B315" t="s">
        <v>11</v>
      </c>
      <c r="C315" s="4">
        <f t="shared" ref="C315:E315" si="77">C305*G315/G$312</f>
        <v>-1.7240084915681076E-3</v>
      </c>
      <c r="D315" s="4">
        <f t="shared" si="77"/>
        <v>-7.7705460663962634E-4</v>
      </c>
      <c r="E315" s="4">
        <f t="shared" si="77"/>
        <v>-5.1001611643893018E-4</v>
      </c>
      <c r="G315" s="6">
        <f t="shared" si="73"/>
        <v>8839.8394979999994</v>
      </c>
      <c r="H315" s="6">
        <f t="shared" si="74"/>
        <v>10007.70097</v>
      </c>
      <c r="I315" s="6">
        <f t="shared" si="75"/>
        <v>11636.883529999999</v>
      </c>
    </row>
    <row r="316" spans="1:9" x14ac:dyDescent="0.3">
      <c r="B316" t="s">
        <v>8</v>
      </c>
      <c r="C316" s="4">
        <f t="shared" ref="C316:E316" si="78">C306*G316/G$312</f>
        <v>-2.4440680077029113E-4</v>
      </c>
      <c r="D316" s="4">
        <f t="shared" si="78"/>
        <v>2.8882276937449553E-4</v>
      </c>
      <c r="E316" s="4">
        <f t="shared" si="78"/>
        <v>3.4309992854090321E-4</v>
      </c>
      <c r="G316" s="6">
        <f t="shared" si="73"/>
        <v>72854.001369999998</v>
      </c>
      <c r="H316" s="6">
        <f t="shared" si="74"/>
        <v>82872.563680000007</v>
      </c>
      <c r="I316" s="6">
        <f t="shared" si="75"/>
        <v>94279.974720000013</v>
      </c>
    </row>
    <row r="317" spans="1:9" x14ac:dyDescent="0.3">
      <c r="B317" t="s">
        <v>24</v>
      </c>
      <c r="C317" s="4">
        <f t="shared" ref="C317:E317" si="79">C307*G317/G$312</f>
        <v>5.2261424784562634E-5</v>
      </c>
      <c r="D317" s="4">
        <f t="shared" si="79"/>
        <v>6.155059952365234E-5</v>
      </c>
      <c r="E317" s="4">
        <f t="shared" si="79"/>
        <v>7.6582292728185502E-5</v>
      </c>
      <c r="G317" s="6">
        <f t="shared" si="73"/>
        <v>5501.3826429999999</v>
      </c>
      <c r="H317" s="6">
        <f t="shared" si="74"/>
        <v>6134.5348139999996</v>
      </c>
      <c r="I317" s="6">
        <f t="shared" si="75"/>
        <v>6621.1668200000004</v>
      </c>
    </row>
    <row r="318" spans="1:9" x14ac:dyDescent="0.3">
      <c r="B318" t="s">
        <v>10</v>
      </c>
      <c r="C318" s="4">
        <f t="shared" ref="C318:E318" si="80">C308*G318/G$312</f>
        <v>-1.1658820432897731E-3</v>
      </c>
      <c r="D318" s="4">
        <f t="shared" si="80"/>
        <v>2.7631899026418472E-3</v>
      </c>
      <c r="E318" s="4">
        <f t="shared" si="80"/>
        <v>9.2338909836872348E-4</v>
      </c>
      <c r="G318" s="6">
        <f t="shared" si="73"/>
        <v>465914.29430000001</v>
      </c>
      <c r="H318" s="6">
        <f t="shared" si="74"/>
        <v>555246.84680000006</v>
      </c>
      <c r="I318" s="6">
        <f t="shared" si="75"/>
        <v>656904.81480000005</v>
      </c>
    </row>
    <row r="319" spans="1:9" x14ac:dyDescent="0.3">
      <c r="B319" t="s">
        <v>23</v>
      </c>
      <c r="C319" s="4">
        <f t="shared" ref="C319:E319" si="81">C309*G319/G$312</f>
        <v>-1.5814098783929965E-4</v>
      </c>
      <c r="D319" s="4">
        <f t="shared" si="81"/>
        <v>-3.6761564827480559E-5</v>
      </c>
      <c r="E319" s="4">
        <f t="shared" si="81"/>
        <v>-4.6988911882376735E-5</v>
      </c>
      <c r="G319" s="6">
        <f t="shared" si="73"/>
        <v>18685.991239999999</v>
      </c>
      <c r="H319" s="6">
        <f t="shared" si="74"/>
        <v>21465.344829999998</v>
      </c>
      <c r="I319" s="6">
        <f t="shared" si="75"/>
        <v>24614.3613</v>
      </c>
    </row>
    <row r="320" spans="1:9" x14ac:dyDescent="0.3">
      <c r="C320" s="4"/>
      <c r="D320" s="4"/>
      <c r="E320" s="4"/>
    </row>
    <row r="321" spans="1:3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</row>
    <row r="322" spans="1:3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31970.653630000001</v>
      </c>
      <c r="E322" s="6">
        <f>[1]Results!H3</f>
        <v>31823.562750000001</v>
      </c>
      <c r="F322" s="6">
        <f>[1]Results!I3</f>
        <v>31797.020980000001</v>
      </c>
      <c r="G322" s="6">
        <f>[1]Results!J3</f>
        <v>31844.061470000001</v>
      </c>
      <c r="H322" s="6">
        <f>[1]Results!K3</f>
        <v>31939.090840000001</v>
      </c>
      <c r="I322" s="6">
        <f>[1]Results!L3</f>
        <v>32067.280129999999</v>
      </c>
      <c r="J322" s="6">
        <f>[1]Results!M3</f>
        <v>32221.381229999999</v>
      </c>
      <c r="K322" s="6">
        <f>[1]Results!N3</f>
        <v>32400.241979999999</v>
      </c>
      <c r="L322" s="6">
        <f>[1]Results!O3</f>
        <v>32607.235939999999</v>
      </c>
      <c r="M322" s="6">
        <f>[1]Results!P3</f>
        <v>32849.49596</v>
      </c>
      <c r="N322" s="6">
        <f>[1]Results!Q3</f>
        <v>33116.523359999999</v>
      </c>
      <c r="O322" s="6">
        <f>[1]Results!R3</f>
        <v>33402.56753</v>
      </c>
      <c r="P322" s="6">
        <f>[1]Results!S3</f>
        <v>33701.507830000002</v>
      </c>
      <c r="Q322" s="6">
        <f>[1]Results!T3</f>
        <v>34008.430139999997</v>
      </c>
      <c r="R322" s="6">
        <f>[1]Results!U3</f>
        <v>34320.105539999997</v>
      </c>
      <c r="S322" s="6">
        <f>[1]Results!V3</f>
        <v>34634.672729999998</v>
      </c>
      <c r="T322" s="6">
        <f>[1]Results!W3</f>
        <v>34951.005469999996</v>
      </c>
      <c r="U322" s="6">
        <f>[1]Results!X3</f>
        <v>35268.14892</v>
      </c>
      <c r="V322" s="6">
        <f>[1]Results!Y3</f>
        <v>35585.042500000003</v>
      </c>
      <c r="W322" s="6">
        <f>[1]Results!Z3</f>
        <v>35895.566480000001</v>
      </c>
      <c r="X322" s="6">
        <f>[1]Results!AA3</f>
        <v>36204.534509999998</v>
      </c>
      <c r="Y322" s="6">
        <f>[1]Results!AB3</f>
        <v>36511.62487</v>
      </c>
      <c r="Z322" s="6">
        <f>[1]Results!AC3</f>
        <v>36816.544959999999</v>
      </c>
      <c r="AA322" s="6">
        <f>[1]Results!AD3</f>
        <v>37119.203269999998</v>
      </c>
      <c r="AB322" s="6">
        <f>[1]Results!AE3</f>
        <v>37404.828589999997</v>
      </c>
      <c r="AC322" s="6">
        <f>[1]Results!AF3</f>
        <v>37685.962749999999</v>
      </c>
      <c r="AD322" s="6">
        <f>[1]Results!AG3</f>
        <v>37965.33885</v>
      </c>
      <c r="AE322" s="6">
        <f>[1]Results!AH3</f>
        <v>38244.441480000001</v>
      </c>
      <c r="AF322" s="6">
        <f>[1]Results!AI3</f>
        <v>38523.601560000003</v>
      </c>
      <c r="AG322" s="6">
        <f>[1]Results!AJ3</f>
        <v>38802.602440000002</v>
      </c>
      <c r="AH322" s="6">
        <f>[1]Results!AK3</f>
        <v>39081.238539999998</v>
      </c>
      <c r="AI322" s="6">
        <f>[1]Results!AL3</f>
        <v>39359.642079999998</v>
      </c>
      <c r="AJ322" s="6">
        <f>[1]Results!AM3</f>
        <v>39638.332549999999</v>
      </c>
      <c r="AK322" s="6">
        <f>[1]Results!AN3</f>
        <v>39918.061600000001</v>
      </c>
      <c r="AL322" s="6">
        <f>[1]Results!AO3</f>
        <v>40199.57991</v>
      </c>
    </row>
    <row r="323" spans="1:38" x14ac:dyDescent="0.3">
      <c r="B323" t="s">
        <v>48</v>
      </c>
      <c r="C323" s="6">
        <f>[1]Results!F4</f>
        <v>32271.24</v>
      </c>
      <c r="D323" s="6">
        <f>[1]Results!G4</f>
        <v>31905.153689999999</v>
      </c>
      <c r="E323" s="6">
        <f>[1]Results!H4</f>
        <v>31737.259620000001</v>
      </c>
      <c r="F323" s="6">
        <f>[1]Results!I4</f>
        <v>31687.74438</v>
      </c>
      <c r="G323" s="6">
        <f>[1]Results!J4</f>
        <v>31708.942920000001</v>
      </c>
      <c r="H323" s="6">
        <f>[1]Results!K4</f>
        <v>31774.15511</v>
      </c>
      <c r="I323" s="6">
        <f>[1]Results!L4</f>
        <v>31867.201120000002</v>
      </c>
      <c r="J323" s="6">
        <f>[1]Results!M4</f>
        <v>31980.788209999999</v>
      </c>
      <c r="K323" s="6">
        <f>[1]Results!N4</f>
        <v>32115.548030000002</v>
      </c>
      <c r="L323" s="6">
        <f>[1]Results!O4</f>
        <v>32276.411800000002</v>
      </c>
      <c r="M323" s="6">
        <f>[1]Results!P4</f>
        <v>32471.722659999999</v>
      </c>
      <c r="N323" s="6">
        <f>[1]Results!Q4</f>
        <v>32692.215069999998</v>
      </c>
      <c r="O323" s="6">
        <f>[1]Results!R4</f>
        <v>32932.86537</v>
      </c>
      <c r="P323" s="6">
        <f>[1]Results!S4</f>
        <v>33187.862209999999</v>
      </c>
      <c r="Q323" s="6">
        <f>[1]Results!T4</f>
        <v>33452.147400000002</v>
      </c>
      <c r="R323" s="6">
        <f>[1]Results!U4</f>
        <v>33721.913460000003</v>
      </c>
      <c r="S323" s="6">
        <f>[1]Results!V4</f>
        <v>33994.342170000004</v>
      </c>
      <c r="T323" s="6">
        <f>[1]Results!W4</f>
        <v>34267.048569999999</v>
      </c>
      <c r="U323" s="6">
        <f>[1]Results!X4</f>
        <v>34537.607629999999</v>
      </c>
      <c r="V323" s="6">
        <f>[1]Results!Y4</f>
        <v>34803.371639999998</v>
      </c>
      <c r="W323" s="6">
        <f>[1]Results!Z4</f>
        <v>35056.747530000001</v>
      </c>
      <c r="X323" s="6">
        <f>[1]Results!AA4</f>
        <v>35300.837099999997</v>
      </c>
      <c r="Y323" s="6">
        <f>[1]Results!AB4</f>
        <v>35533.851840000003</v>
      </c>
      <c r="Z323" s="6">
        <f>[1]Results!AC4</f>
        <v>35754.171649999997</v>
      </c>
      <c r="AA323" s="6">
        <f>[1]Results!AD4</f>
        <v>35960.530059999997</v>
      </c>
      <c r="AB323" s="6">
        <f>[1]Results!AE4</f>
        <v>36137.861109999998</v>
      </c>
      <c r="AC323" s="6">
        <f>[1]Results!AF4</f>
        <v>36297.357029999999</v>
      </c>
      <c r="AD323" s="6">
        <f>[1]Results!AG4</f>
        <v>36440.936000000002</v>
      </c>
      <c r="AE323" s="6">
        <f>[1]Results!AH4</f>
        <v>36569.399140000001</v>
      </c>
      <c r="AF323" s="6">
        <f>[1]Results!AI4</f>
        <v>36682.496590000002</v>
      </c>
      <c r="AG323" s="6">
        <f>[1]Results!AJ4</f>
        <v>36779.45895</v>
      </c>
      <c r="AH323" s="6">
        <f>[1]Results!AK4</f>
        <v>36859.474439999998</v>
      </c>
      <c r="AI323" s="6">
        <f>[1]Results!AL4</f>
        <v>36921.952360000003</v>
      </c>
      <c r="AJ323" s="6">
        <f>[1]Results!AM4</f>
        <v>36966.542999999998</v>
      </c>
      <c r="AK323" s="6">
        <f>[1]Results!AN4</f>
        <v>36992.987639999999</v>
      </c>
      <c r="AL323" s="6">
        <f>[1]Results!AO4</f>
        <v>37000.915789999999</v>
      </c>
    </row>
    <row r="324" spans="1:38" x14ac:dyDescent="0.3">
      <c r="B324" t="s">
        <v>81</v>
      </c>
      <c r="C324" s="6">
        <f>[1]Results!F20</f>
        <v>1.9359999999999999</v>
      </c>
      <c r="D324" s="6">
        <f>[1]Results!G20</f>
        <v>1.9952283040000001</v>
      </c>
      <c r="E324" s="6">
        <f>[1]Results!H20</f>
        <v>2.0650117589999999</v>
      </c>
      <c r="F324" s="6">
        <f>[1]Results!I20</f>
        <v>2.1392812110000001</v>
      </c>
      <c r="G324" s="6">
        <f>[1]Results!J20</f>
        <v>2.2145258349999999</v>
      </c>
      <c r="H324" s="6">
        <f>[1]Results!K20</f>
        <v>2.2889038930000001</v>
      </c>
      <c r="I324" s="6">
        <f>[1]Results!L20</f>
        <v>2.3613980149999998</v>
      </c>
      <c r="J324" s="6">
        <f>[1]Results!M20</f>
        <v>2.4316952490000001</v>
      </c>
      <c r="K324" s="6">
        <f>[1]Results!N20</f>
        <v>2.5001202600000001</v>
      </c>
      <c r="L324" s="6">
        <f>[1]Results!O20</f>
        <v>2.5673427609999999</v>
      </c>
      <c r="M324" s="6">
        <f>[1]Results!P20</f>
        <v>2.6343094900000001</v>
      </c>
      <c r="N324" s="6">
        <f>[1]Results!Q20</f>
        <v>2.7004832319999998</v>
      </c>
      <c r="O324" s="6">
        <f>[1]Results!R20</f>
        <v>2.765656141</v>
      </c>
      <c r="P324" s="6">
        <f>[1]Results!S20</f>
        <v>2.8295343370000001</v>
      </c>
      <c r="Q324" s="6">
        <f>[1]Results!T20</f>
        <v>2.8918675939999998</v>
      </c>
      <c r="R324" s="6">
        <f>[1]Results!U20</f>
        <v>2.9524933240000002</v>
      </c>
      <c r="S324" s="6">
        <f>[1]Results!V20</f>
        <v>3.0113173199999999</v>
      </c>
      <c r="T324" s="6">
        <f>[1]Results!W20</f>
        <v>3.0682692349999998</v>
      </c>
      <c r="U324" s="6">
        <f>[1]Results!X20</f>
        <v>3.1232641619999999</v>
      </c>
      <c r="V324" s="6">
        <f>[1]Results!Y20</f>
        <v>3.1761879350000002</v>
      </c>
      <c r="W324" s="6">
        <f>[1]Results!Z20</f>
        <v>3.2265007510000001</v>
      </c>
      <c r="X324" s="6">
        <f>[1]Results!AA20</f>
        <v>3.274545389</v>
      </c>
      <c r="Y324" s="6">
        <f>[1]Results!AB20</f>
        <v>3.320252644</v>
      </c>
      <c r="Z324" s="6">
        <f>[1]Results!AC20</f>
        <v>3.3635600910000001</v>
      </c>
      <c r="AA324" s="6">
        <f>[1]Results!AD20</f>
        <v>3.4044283219999998</v>
      </c>
      <c r="AB324" s="6">
        <f>[1]Results!AE20</f>
        <v>3.441652806</v>
      </c>
      <c r="AC324" s="6">
        <f>[1]Results!AF20</f>
        <v>3.476211771</v>
      </c>
      <c r="AD324" s="6">
        <f>[1]Results!AG20</f>
        <v>3.5083163580000001</v>
      </c>
      <c r="AE324" s="6">
        <f>[1]Results!AH20</f>
        <v>3.538083205</v>
      </c>
      <c r="AF324" s="6">
        <f>[1]Results!AI20</f>
        <v>3.5655386060000001</v>
      </c>
      <c r="AG324" s="6">
        <f>[1]Results!AJ20</f>
        <v>3.5906619320000002</v>
      </c>
      <c r="AH324" s="6">
        <f>[1]Results!AK20</f>
        <v>3.613425248</v>
      </c>
      <c r="AI324" s="6">
        <f>[1]Results!AL20</f>
        <v>3.6338156349999999</v>
      </c>
      <c r="AJ324" s="6">
        <f>[1]Results!AM20</f>
        <v>3.6518373639999999</v>
      </c>
      <c r="AK324" s="6">
        <f>[1]Results!AN20</f>
        <v>3.6674997980000001</v>
      </c>
      <c r="AL324" s="6">
        <f>[1]Results!AO20</f>
        <v>3.6808006299999998</v>
      </c>
    </row>
    <row r="325" spans="1:38" x14ac:dyDescent="0.3">
      <c r="B325" t="s">
        <v>82</v>
      </c>
      <c r="C325" s="6">
        <f>[1]Results!F12</f>
        <v>44.765000000000001</v>
      </c>
      <c r="D325" s="6">
        <f>[1]Results!G12</f>
        <v>63.504716629999997</v>
      </c>
      <c r="E325" s="6">
        <f>[1]Results!H12</f>
        <v>84.238120499999994</v>
      </c>
      <c r="F325" s="6">
        <f>[1]Results!I12</f>
        <v>107.1373129</v>
      </c>
      <c r="G325" s="6">
        <f>[1]Results!J12</f>
        <v>132.9040263</v>
      </c>
      <c r="H325" s="6">
        <f>[1]Results!K12</f>
        <v>162.64682970000001</v>
      </c>
      <c r="I325" s="6">
        <f>[1]Results!L12</f>
        <v>197.7176121</v>
      </c>
      <c r="J325" s="6">
        <f>[1]Results!M12</f>
        <v>238.16132379999999</v>
      </c>
      <c r="K325" s="6">
        <f>[1]Results!N12</f>
        <v>282.19382200000001</v>
      </c>
      <c r="L325" s="6">
        <f>[1]Results!O12</f>
        <v>328.2567975</v>
      </c>
      <c r="M325" s="6">
        <f>[1]Results!P12</f>
        <v>375.13899140000001</v>
      </c>
      <c r="N325" s="6">
        <f>[1]Results!Q12</f>
        <v>421.60780310000001</v>
      </c>
      <c r="O325" s="6">
        <f>[1]Results!R12</f>
        <v>466.9364933</v>
      </c>
      <c r="P325" s="6">
        <f>[1]Results!S12</f>
        <v>510.81607100000002</v>
      </c>
      <c r="Q325" s="6">
        <f>[1]Results!T12</f>
        <v>553.39085160000002</v>
      </c>
      <c r="R325" s="6">
        <f>[1]Results!U12</f>
        <v>595.23956099999998</v>
      </c>
      <c r="S325" s="6">
        <f>[1]Results!V12</f>
        <v>637.31921809999994</v>
      </c>
      <c r="T325" s="6">
        <f>[1]Results!W12</f>
        <v>680.88860179999995</v>
      </c>
      <c r="U325" s="6">
        <f>[1]Results!X12</f>
        <v>727.41798940000001</v>
      </c>
      <c r="V325" s="6">
        <f>[1]Results!Y12</f>
        <v>778.49462679999999</v>
      </c>
      <c r="W325" s="6">
        <f>[1]Results!Z12</f>
        <v>835.59239460000003</v>
      </c>
      <c r="X325" s="6">
        <f>[1]Results!AA12</f>
        <v>900.42280960000005</v>
      </c>
      <c r="Y325" s="6">
        <f>[1]Results!AB12</f>
        <v>974.45272339999997</v>
      </c>
      <c r="Z325" s="6">
        <f>[1]Results!AC12</f>
        <v>1059.0096880000001</v>
      </c>
      <c r="AA325" s="6">
        <f>[1]Results!AD12</f>
        <v>1155.2687069999999</v>
      </c>
      <c r="AB325" s="6">
        <f>[1]Results!AE12</f>
        <v>1263.525752</v>
      </c>
      <c r="AC325" s="6">
        <f>[1]Results!AF12</f>
        <v>1385.1294330000001</v>
      </c>
      <c r="AD325" s="6">
        <f>[1]Results!AG12</f>
        <v>1520.894448</v>
      </c>
      <c r="AE325" s="6">
        <f>[1]Results!AH12</f>
        <v>1671.504173</v>
      </c>
      <c r="AF325" s="6">
        <f>[1]Results!AI12</f>
        <v>1837.539336</v>
      </c>
      <c r="AG325" s="6">
        <f>[1]Results!AJ12</f>
        <v>2019.5527239999999</v>
      </c>
      <c r="AH325" s="6">
        <f>[1]Results!AK12</f>
        <v>2218.1505790000001</v>
      </c>
      <c r="AI325" s="6">
        <f>[1]Results!AL12</f>
        <v>2434.0557939999999</v>
      </c>
      <c r="AJ325" s="6">
        <f>[1]Results!AM12</f>
        <v>2668.1375979999998</v>
      </c>
      <c r="AK325" s="6">
        <f>[1]Results!AN12</f>
        <v>2921.406336</v>
      </c>
      <c r="AL325" s="6">
        <f>[1]Results!AO12</f>
        <v>3194.983193</v>
      </c>
    </row>
    <row r="327" spans="1:3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</row>
    <row r="328" spans="1:3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31970.653630000001</v>
      </c>
      <c r="E328" s="6">
        <f>[1]Results!H28</f>
        <v>31823.562750000001</v>
      </c>
      <c r="F328" s="6">
        <f>[1]Results!I28</f>
        <v>31797.020980000001</v>
      </c>
      <c r="G328" s="6">
        <f>[1]Results!J28</f>
        <v>31844.061470000001</v>
      </c>
      <c r="H328" s="6">
        <f>[1]Results!K28</f>
        <v>31939.090840000001</v>
      </c>
      <c r="I328" s="6">
        <f>[1]Results!L28</f>
        <v>32065.360130000001</v>
      </c>
      <c r="J328" s="6">
        <f>[1]Results!M28</f>
        <v>32218.466609999999</v>
      </c>
      <c r="K328" s="6">
        <f>[1]Results!N28</f>
        <v>32396.730080000001</v>
      </c>
      <c r="L328" s="6">
        <f>[1]Results!O28</f>
        <v>32599.096870000001</v>
      </c>
      <c r="M328" s="6">
        <f>[1]Results!P28</f>
        <v>32829.946300000003</v>
      </c>
      <c r="N328" s="6">
        <f>[1]Results!Q28</f>
        <v>33079.141060000002</v>
      </c>
      <c r="O328" s="6">
        <f>[1]Results!R28</f>
        <v>33343.719530000002</v>
      </c>
      <c r="P328" s="6">
        <f>[1]Results!S28</f>
        <v>33621.194470000002</v>
      </c>
      <c r="Q328" s="6">
        <f>[1]Results!T28</f>
        <v>33910.029260000003</v>
      </c>
      <c r="R328" s="6">
        <f>[1]Results!U28</f>
        <v>34209.172420000003</v>
      </c>
      <c r="S328" s="6">
        <f>[1]Results!V28</f>
        <v>34517.470829999998</v>
      </c>
      <c r="T328" s="6">
        <f>[1]Results!W28</f>
        <v>34833.342080000002</v>
      </c>
      <c r="U328" s="6">
        <f>[1]Results!X28</f>
        <v>35154.794390000003</v>
      </c>
      <c r="V328" s="6">
        <f>[1]Results!Y28</f>
        <v>35479.694000000003</v>
      </c>
      <c r="W328" s="6">
        <f>[1]Results!Z28</f>
        <v>35801.20794</v>
      </c>
      <c r="X328" s="6">
        <f>[1]Results!AA28</f>
        <v>36123.520450000004</v>
      </c>
      <c r="Y328" s="6">
        <f>[1]Results!AB28</f>
        <v>36446.049440000003</v>
      </c>
      <c r="Z328" s="6">
        <f>[1]Results!AC28</f>
        <v>36768.210039999998</v>
      </c>
      <c r="AA328" s="6">
        <f>[1]Results!AD28</f>
        <v>37089.54825</v>
      </c>
      <c r="AB328" s="6">
        <f>[1]Results!AE28</f>
        <v>37395.220520000003</v>
      </c>
      <c r="AC328" s="6">
        <f>[1]Results!AF28</f>
        <v>37696.730170000003</v>
      </c>
      <c r="AD328" s="6">
        <f>[1]Results!AG28</f>
        <v>37996.320229999998</v>
      </c>
      <c r="AE328" s="6">
        <f>[1]Results!AH28</f>
        <v>38295.181700000001</v>
      </c>
      <c r="AF328" s="6">
        <f>[1]Results!AI28</f>
        <v>38593.624689999997</v>
      </c>
      <c r="AG328" s="6">
        <f>[1]Results!AJ28</f>
        <v>38891.644639999999</v>
      </c>
      <c r="AH328" s="6">
        <f>[1]Results!AK28</f>
        <v>39189.393470000003</v>
      </c>
      <c r="AI328" s="6">
        <f>[1]Results!AL28</f>
        <v>39487.412750000003</v>
      </c>
      <c r="AJ328" s="6">
        <f>[1]Results!AM28</f>
        <v>39786.616020000001</v>
      </c>
      <c r="AK328" s="6">
        <f>[1]Results!AN28</f>
        <v>40088.100530000003</v>
      </c>
      <c r="AL328" s="6">
        <f>[1]Results!AO28</f>
        <v>40392.908580000003</v>
      </c>
    </row>
    <row r="329" spans="1:38" x14ac:dyDescent="0.3">
      <c r="B329" t="s">
        <v>48</v>
      </c>
      <c r="C329" s="6">
        <f>[1]Results!F29</f>
        <v>32271.24</v>
      </c>
      <c r="D329" s="6">
        <f>[1]Results!G29</f>
        <v>31905.153689999999</v>
      </c>
      <c r="E329" s="6">
        <f>[1]Results!H29</f>
        <v>31737.259620000001</v>
      </c>
      <c r="F329" s="6">
        <f>[1]Results!I29</f>
        <v>31687.74438</v>
      </c>
      <c r="G329" s="6">
        <f>[1]Results!J29</f>
        <v>31708.942920000001</v>
      </c>
      <c r="H329" s="6">
        <f>[1]Results!K29</f>
        <v>31774.15511</v>
      </c>
      <c r="I329" s="6">
        <f>[1]Results!L29</f>
        <v>31865.31911</v>
      </c>
      <c r="J329" s="6">
        <f>[1]Results!M29</f>
        <v>31976.52576</v>
      </c>
      <c r="K329" s="6">
        <f>[1]Results!N29</f>
        <v>32104.599320000001</v>
      </c>
      <c r="L329" s="6">
        <f>[1]Results!O29</f>
        <v>32247.10699</v>
      </c>
      <c r="M329" s="6">
        <f>[1]Results!P29</f>
        <v>32407.07057</v>
      </c>
      <c r="N329" s="6">
        <f>[1]Results!Q29</f>
        <v>32573.617399999999</v>
      </c>
      <c r="O329" s="6">
        <f>[1]Results!R29</f>
        <v>32743.078829999999</v>
      </c>
      <c r="P329" s="6">
        <f>[1]Results!S29</f>
        <v>32912.438049999997</v>
      </c>
      <c r="Q329" s="6">
        <f>[1]Results!T29</f>
        <v>33079.725700000003</v>
      </c>
      <c r="R329" s="6">
        <f>[1]Results!U29</f>
        <v>33243.506739999997</v>
      </c>
      <c r="S329" s="6">
        <f>[1]Results!V29</f>
        <v>33402.25851</v>
      </c>
      <c r="T329" s="6">
        <f>[1]Results!W29</f>
        <v>33554.003830000001</v>
      </c>
      <c r="U329" s="6">
        <f>[1]Results!X29</f>
        <v>33696.281889999998</v>
      </c>
      <c r="V329" s="6">
        <f>[1]Results!Y29</f>
        <v>33826.361449999997</v>
      </c>
      <c r="W329" s="6">
        <f>[1]Results!Z29</f>
        <v>33937.082580000002</v>
      </c>
      <c r="X329" s="6">
        <f>[1]Results!AA29</f>
        <v>34031.193359999997</v>
      </c>
      <c r="Y329" s="6">
        <f>[1]Results!AB29</f>
        <v>34106.906969999996</v>
      </c>
      <c r="Z329" s="6">
        <f>[1]Results!AC29</f>
        <v>34162.29954</v>
      </c>
      <c r="AA329" s="6">
        <f>[1]Results!AD29</f>
        <v>34195.474929999997</v>
      </c>
      <c r="AB329" s="6">
        <f>[1]Results!AE29</f>
        <v>34192.087460000002</v>
      </c>
      <c r="AC329" s="6">
        <f>[1]Results!AF29</f>
        <v>34160.816870000002</v>
      </c>
      <c r="AD329" s="6">
        <f>[1]Results!AG29</f>
        <v>34102.243069999997</v>
      </c>
      <c r="AE329" s="6">
        <f>[1]Results!AH29</f>
        <v>34016.10527</v>
      </c>
      <c r="AF329" s="6">
        <f>[1]Results!AI29</f>
        <v>33901.514020000002</v>
      </c>
      <c r="AG329" s="6">
        <f>[1]Results!AJ29</f>
        <v>33757.460460000002</v>
      </c>
      <c r="AH329" s="6">
        <f>[1]Results!AK29</f>
        <v>33583.208989999999</v>
      </c>
      <c r="AI329" s="6">
        <f>[1]Results!AL29</f>
        <v>33378.471559999998</v>
      </c>
      <c r="AJ329" s="6">
        <f>[1]Results!AM29</f>
        <v>33143.373979999997</v>
      </c>
      <c r="AK329" s="6">
        <f>[1]Results!AN29</f>
        <v>32878.295660000003</v>
      </c>
      <c r="AL329" s="6">
        <f>[1]Results!AO29</f>
        <v>32583.6855</v>
      </c>
    </row>
    <row r="330" spans="1:38" x14ac:dyDescent="0.3">
      <c r="B330" t="s">
        <v>81</v>
      </c>
      <c r="C330" s="6">
        <f>[1]Results!F45</f>
        <v>1.9359999999999999</v>
      </c>
      <c r="D330" s="6">
        <f>[1]Results!G45</f>
        <v>1.9952283040000001</v>
      </c>
      <c r="E330" s="6">
        <f>[1]Results!H45</f>
        <v>2.0650117589999999</v>
      </c>
      <c r="F330" s="6">
        <f>[1]Results!I45</f>
        <v>2.1392812110000001</v>
      </c>
      <c r="G330" s="6">
        <f>[1]Results!J45</f>
        <v>2.2145258349999999</v>
      </c>
      <c r="H330" s="6">
        <f>[1]Results!K45</f>
        <v>2.2889038930000001</v>
      </c>
      <c r="I330" s="6">
        <f>[1]Results!L45</f>
        <v>2.3612399050000001</v>
      </c>
      <c r="J330" s="6">
        <f>[1]Results!M45</f>
        <v>2.431334734</v>
      </c>
      <c r="K330" s="6">
        <f>[1]Results!N45</f>
        <v>2.4991926910000002</v>
      </c>
      <c r="L330" s="6">
        <f>[1]Results!O45</f>
        <v>2.56485947</v>
      </c>
      <c r="M330" s="6">
        <f>[1]Results!P45</f>
        <v>2.6288202549999999</v>
      </c>
      <c r="N330" s="6">
        <f>[1]Results!Q45</f>
        <v>2.6903823689999999</v>
      </c>
      <c r="O330" s="6">
        <f>[1]Results!R45</f>
        <v>2.7494305620000001</v>
      </c>
      <c r="P330" s="6">
        <f>[1]Results!S45</f>
        <v>2.805887566</v>
      </c>
      <c r="Q330" s="6">
        <f>[1]Results!T45</f>
        <v>2.8597492120000001</v>
      </c>
      <c r="R330" s="6">
        <f>[1]Results!U45</f>
        <v>2.9110436079999999</v>
      </c>
      <c r="S330" s="6">
        <f>[1]Results!V45</f>
        <v>2.959780361</v>
      </c>
      <c r="T330" s="6">
        <f>[1]Results!W45</f>
        <v>3.0059203390000002</v>
      </c>
      <c r="U330" s="6">
        <f>[1]Results!X45</f>
        <v>3.0493732979999999</v>
      </c>
      <c r="V330" s="6">
        <f>[1]Results!Y45</f>
        <v>3.0900158279999999</v>
      </c>
      <c r="W330" s="6">
        <f>[1]Results!Z45</f>
        <v>3.1273423149999999</v>
      </c>
      <c r="X330" s="6">
        <f>[1]Results!AA45</f>
        <v>3.1616643199999999</v>
      </c>
      <c r="Y330" s="6">
        <f>[1]Results!AB45</f>
        <v>3.192910914</v>
      </c>
      <c r="Z330" s="6">
        <f>[1]Results!AC45</f>
        <v>3.2209924069999998</v>
      </c>
      <c r="AA330" s="6">
        <f>[1]Results!AD45</f>
        <v>3.2458144670000002</v>
      </c>
      <c r="AB330" s="6">
        <f>[1]Results!AE45</f>
        <v>3.2662303590000001</v>
      </c>
      <c r="AC330" s="6">
        <f>[1]Results!AF45</f>
        <v>3.2830056239999998</v>
      </c>
      <c r="AD330" s="6">
        <f>[1]Results!AG45</f>
        <v>3.2962342229999999</v>
      </c>
      <c r="AE330" s="6">
        <f>[1]Results!AH45</f>
        <v>3.3059374109999999</v>
      </c>
      <c r="AF330" s="6">
        <f>[1]Results!AI45</f>
        <v>3.3120805930000001</v>
      </c>
      <c r="AG330" s="6">
        <f>[1]Results!AJ45</f>
        <v>3.3146154910000001</v>
      </c>
      <c r="AH330" s="6">
        <f>[1]Results!AK45</f>
        <v>3.313513205</v>
      </c>
      <c r="AI330" s="6">
        <f>[1]Results!AL45</f>
        <v>3.3087794320000001</v>
      </c>
      <c r="AJ330" s="6">
        <f>[1]Results!AM45</f>
        <v>3.3004523959999998</v>
      </c>
      <c r="AK330" s="6">
        <f>[1]Results!AN45</f>
        <v>3.2885900619999999</v>
      </c>
      <c r="AL330" s="6">
        <f>[1]Results!AO45</f>
        <v>3.2732550900000001</v>
      </c>
    </row>
    <row r="331" spans="1:38" x14ac:dyDescent="0.3">
      <c r="B331" t="s">
        <v>82</v>
      </c>
      <c r="C331" s="6">
        <f>[1]Results!F37</f>
        <v>44.765000000000001</v>
      </c>
      <c r="D331" s="6">
        <f>[1]Results!G37</f>
        <v>63.504716629999997</v>
      </c>
      <c r="E331" s="6">
        <f>[1]Results!H37</f>
        <v>84.238120499999994</v>
      </c>
      <c r="F331" s="6">
        <f>[1]Results!I37</f>
        <v>107.1373129</v>
      </c>
      <c r="G331" s="6">
        <f>[1]Results!J37</f>
        <v>132.9040263</v>
      </c>
      <c r="H331" s="6">
        <f>[1]Results!K37</f>
        <v>162.64682970000001</v>
      </c>
      <c r="I331" s="6">
        <f>[1]Results!L37</f>
        <v>197.6797837</v>
      </c>
      <c r="J331" s="6">
        <f>[1]Results!M37</f>
        <v>239.50950510000001</v>
      </c>
      <c r="K331" s="6">
        <f>[1]Results!N37</f>
        <v>289.63156240000001</v>
      </c>
      <c r="L331" s="6">
        <f>[1]Results!O37</f>
        <v>349.42501979999997</v>
      </c>
      <c r="M331" s="6">
        <f>[1]Results!P37</f>
        <v>420.24690429999998</v>
      </c>
      <c r="N331" s="6">
        <f>[1]Results!Q37</f>
        <v>502.83326570000003</v>
      </c>
      <c r="O331" s="6">
        <f>[1]Results!R37</f>
        <v>597.89125820000004</v>
      </c>
      <c r="P331" s="6">
        <f>[1]Results!S37</f>
        <v>705.95051890000002</v>
      </c>
      <c r="Q331" s="6">
        <f>[1]Results!T37</f>
        <v>827.44379619999995</v>
      </c>
      <c r="R331" s="6">
        <f>[1]Results!U37</f>
        <v>962.75461510000002</v>
      </c>
      <c r="S331" s="6">
        <f>[1]Results!V37</f>
        <v>1112.2525189999999</v>
      </c>
      <c r="T331" s="6">
        <f>[1]Results!W37</f>
        <v>1276.332302</v>
      </c>
      <c r="U331" s="6">
        <f>[1]Results!X37</f>
        <v>1455.4630890000001</v>
      </c>
      <c r="V331" s="6">
        <f>[1]Results!Y37</f>
        <v>1650.242489</v>
      </c>
      <c r="W331" s="6">
        <f>[1]Results!Z37</f>
        <v>1860.9979699999999</v>
      </c>
      <c r="X331" s="6">
        <f>[1]Results!AA37</f>
        <v>2089.1653710000001</v>
      </c>
      <c r="Y331" s="6">
        <f>[1]Results!AB37</f>
        <v>2335.9494880000002</v>
      </c>
      <c r="Z331" s="6">
        <f>[1]Results!AC37</f>
        <v>2602.689433</v>
      </c>
      <c r="AA331" s="6">
        <f>[1]Results!AD37</f>
        <v>2890.8274249999999</v>
      </c>
      <c r="AB331" s="6">
        <f>[1]Results!AE37</f>
        <v>3199.866751</v>
      </c>
      <c r="AC331" s="6">
        <f>[1]Results!AF37</f>
        <v>3532.6301990000002</v>
      </c>
      <c r="AD331" s="6">
        <f>[1]Results!AG37</f>
        <v>3890.780831</v>
      </c>
      <c r="AE331" s="6">
        <f>[1]Results!AH37</f>
        <v>4275.7703890000003</v>
      </c>
      <c r="AF331" s="6">
        <f>[1]Results!AI37</f>
        <v>4688.7984820000001</v>
      </c>
      <c r="AG331" s="6">
        <f>[1]Results!AJ37</f>
        <v>5130.8694539999997</v>
      </c>
      <c r="AH331" s="6">
        <f>[1]Results!AK37</f>
        <v>5602.8708489999999</v>
      </c>
      <c r="AI331" s="6">
        <f>[1]Results!AL37</f>
        <v>6105.6322890000001</v>
      </c>
      <c r="AJ331" s="6">
        <f>[1]Results!AM37</f>
        <v>6639.9414649999999</v>
      </c>
      <c r="AK331" s="6">
        <f>[1]Results!AN37</f>
        <v>7206.5161550000003</v>
      </c>
      <c r="AL331" s="6">
        <f>[1]Results!AO37</f>
        <v>7805.9496959999997</v>
      </c>
    </row>
    <row r="333" spans="1:3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7153.1293370000003</v>
      </c>
      <c r="E333" s="5">
        <f>[1]Hybrid!D18</f>
        <v>7258.5962079999999</v>
      </c>
      <c r="F333" s="5">
        <f>[1]Hybrid!E18</f>
        <v>7391.3178520000001</v>
      </c>
      <c r="G333" s="5">
        <f>[1]Hybrid!F18</f>
        <v>7539.1485720000001</v>
      </c>
      <c r="H333" s="5">
        <f>[1]Hybrid!G18</f>
        <v>7695.5937000000004</v>
      </c>
      <c r="I333" s="5">
        <f>[1]Hybrid!H18</f>
        <v>7856.9131649999999</v>
      </c>
      <c r="J333" s="5">
        <f>[1]Hybrid!I18</f>
        <v>8021.913595</v>
      </c>
      <c r="K333" s="5">
        <f>[1]Hybrid!J18</f>
        <v>8191.784396</v>
      </c>
      <c r="L333" s="5">
        <f>[1]Hybrid!K18</f>
        <v>8368.6083560000006</v>
      </c>
      <c r="M333" s="5">
        <f>[1]Hybrid!L18</f>
        <v>8555.1823230000009</v>
      </c>
      <c r="N333" s="5">
        <f>[1]Hybrid!M18</f>
        <v>8748.6786969999994</v>
      </c>
      <c r="O333" s="5">
        <f>[1]Hybrid!N18</f>
        <v>8947.5562580000005</v>
      </c>
      <c r="P333" s="5">
        <f>[1]Hybrid!O18</f>
        <v>9150.0714910000006</v>
      </c>
      <c r="Q333" s="5">
        <f>[1]Hybrid!P18</f>
        <v>9354.7560730000005</v>
      </c>
      <c r="R333" s="5">
        <f>[1]Hybrid!Q18</f>
        <v>9560.5396669999991</v>
      </c>
      <c r="S333" s="5">
        <f>[1]Hybrid!R18</f>
        <v>9766.6287439999996</v>
      </c>
      <c r="T333" s="5">
        <f>[1]Hybrid!S18</f>
        <v>9972.3047399999996</v>
      </c>
      <c r="U333" s="5">
        <f>[1]Hybrid!T18</f>
        <v>10176.76973</v>
      </c>
      <c r="V333" s="5">
        <f>[1]Hybrid!U18</f>
        <v>10379.10441</v>
      </c>
      <c r="W333" s="5">
        <f>[1]Hybrid!V18</f>
        <v>10576.69882</v>
      </c>
      <c r="X333" s="5">
        <f>[1]Hybrid!W18</f>
        <v>10770.561750000001</v>
      </c>
      <c r="Y333" s="5">
        <f>[1]Hybrid!X18</f>
        <v>10960.04759</v>
      </c>
      <c r="Z333" s="5">
        <f>[1]Hybrid!Y18</f>
        <v>11144.58395</v>
      </c>
      <c r="AA333" s="5">
        <f>[1]Hybrid!Z18</f>
        <v>11323.74655</v>
      </c>
      <c r="AB333" s="5">
        <f>[1]Hybrid!AA18</f>
        <v>11492.2785</v>
      </c>
      <c r="AC333" s="5">
        <f>[1]Hybrid!AB18</f>
        <v>11654.149230000001</v>
      </c>
      <c r="AD333" s="5">
        <f>[1]Hybrid!AC18</f>
        <v>11810.033509999999</v>
      </c>
      <c r="AE333" s="5">
        <f>[1]Hybrid!AD18</f>
        <v>11960.16798</v>
      </c>
      <c r="AF333" s="5">
        <f>[1]Hybrid!AE18</f>
        <v>12104.403770000001</v>
      </c>
      <c r="AG333" s="5">
        <f>[1]Hybrid!AF18</f>
        <v>12242.41979</v>
      </c>
      <c r="AH333" s="5">
        <f>[1]Hybrid!AG18</f>
        <v>12373.90337</v>
      </c>
      <c r="AI333" s="5">
        <f>[1]Hybrid!AH18</f>
        <v>12498.640170000001</v>
      </c>
      <c r="AJ333" s="5">
        <f>[1]Hybrid!AI18</f>
        <v>12616.5074</v>
      </c>
      <c r="AK333" s="5">
        <f>[1]Hybrid!AJ18</f>
        <v>12727.403780000001</v>
      </c>
      <c r="AL333" s="5">
        <f>[1]Hybrid!AK18</f>
        <v>12831.16439</v>
      </c>
    </row>
    <row r="334" spans="1:3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8193.8534770000006</v>
      </c>
      <c r="E334" s="5">
        <f>[1]Hybrid!D20</f>
        <v>8190.3903579999997</v>
      </c>
      <c r="F334" s="5">
        <f>[1]Hybrid!E20</f>
        <v>8220.0127680000005</v>
      </c>
      <c r="G334" s="5">
        <f>[1]Hybrid!F20</f>
        <v>8270.2631519999995</v>
      </c>
      <c r="H334" s="5">
        <f>[1]Hybrid!G20</f>
        <v>8334.1783919999998</v>
      </c>
      <c r="I334" s="5">
        <f>[1]Hybrid!H20</f>
        <v>8407.5007299999997</v>
      </c>
      <c r="J334" s="5">
        <f>[1]Hybrid!I20</f>
        <v>8488.4589140000007</v>
      </c>
      <c r="K334" s="5">
        <f>[1]Hybrid!J20</f>
        <v>8577.5896819999998</v>
      </c>
      <c r="L334" s="5">
        <f>[1]Hybrid!K20</f>
        <v>8676.3738059999996</v>
      </c>
      <c r="M334" s="5">
        <f>[1]Hybrid!L20</f>
        <v>8787.0582419999992</v>
      </c>
      <c r="N334" s="5">
        <f>[1]Hybrid!M20</f>
        <v>8906.6772569999994</v>
      </c>
      <c r="O334" s="5">
        <f>[1]Hybrid!N20</f>
        <v>9033.4956309999998</v>
      </c>
      <c r="P334" s="5">
        <f>[1]Hybrid!O20</f>
        <v>9165.589473</v>
      </c>
      <c r="Q334" s="5">
        <f>[1]Hybrid!P20</f>
        <v>9301.2894899999992</v>
      </c>
      <c r="R334" s="5">
        <f>[1]Hybrid!Q20</f>
        <v>9439.3035319999999</v>
      </c>
      <c r="S334" s="5">
        <f>[1]Hybrid!R20</f>
        <v>9578.616403</v>
      </c>
      <c r="T334" s="5">
        <f>[1]Hybrid!S20</f>
        <v>9718.3132170000008</v>
      </c>
      <c r="U334" s="5">
        <f>[1]Hybrid!T20</f>
        <v>9857.4410819999994</v>
      </c>
      <c r="V334" s="5">
        <f>[1]Hybrid!U20</f>
        <v>9994.9678280000007</v>
      </c>
      <c r="W334" s="5">
        <f>[1]Hybrid!V20</f>
        <v>10128.34973</v>
      </c>
      <c r="X334" s="5">
        <f>[1]Hybrid!W20</f>
        <v>10258.345600000001</v>
      </c>
      <c r="Y334" s="5">
        <f>[1]Hybrid!X20</f>
        <v>10384.23034</v>
      </c>
      <c r="Z334" s="5">
        <f>[1]Hybrid!Y20</f>
        <v>10505.355809999999</v>
      </c>
      <c r="AA334" s="5">
        <f>[1]Hybrid!Z20</f>
        <v>10621.211670000001</v>
      </c>
      <c r="AB334" s="5">
        <f>[1]Hybrid!AA20</f>
        <v>10726.993899999999</v>
      </c>
      <c r="AC334" s="5">
        <f>[1]Hybrid!AB20</f>
        <v>10826.12451</v>
      </c>
      <c r="AD334" s="5">
        <f>[1]Hybrid!AC20</f>
        <v>10919.119989999999</v>
      </c>
      <c r="AE334" s="5">
        <f>[1]Hybrid!AD20</f>
        <v>11006.140149999999</v>
      </c>
      <c r="AF334" s="5">
        <f>[1]Hybrid!AE20</f>
        <v>11087.02089</v>
      </c>
      <c r="AG334" s="5">
        <f>[1]Hybrid!AF20</f>
        <v>11161.44925</v>
      </c>
      <c r="AH334" s="5">
        <f>[1]Hybrid!AG20</f>
        <v>11229.114960000001</v>
      </c>
      <c r="AI334" s="5">
        <f>[1]Hybrid!AH20</f>
        <v>11289.789580000001</v>
      </c>
      <c r="AJ334" s="5">
        <f>[1]Hybrid!AI20</f>
        <v>11343.3264</v>
      </c>
      <c r="AK334" s="5">
        <f>[1]Hybrid!AJ20</f>
        <v>11389.607389999999</v>
      </c>
      <c r="AL334" s="5">
        <f>[1]Hybrid!AK20</f>
        <v>11428.475979999999</v>
      </c>
    </row>
    <row r="335" spans="1:3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6654.5199869999997</v>
      </c>
      <c r="E335" s="5">
        <f>[1]Hybrid!D22</f>
        <v>6574.6187069999996</v>
      </c>
      <c r="F335" s="5">
        <f>[1]Hybrid!E22</f>
        <v>6522.812156</v>
      </c>
      <c r="G335" s="5">
        <f>[1]Hybrid!F22</f>
        <v>6489.9023790000001</v>
      </c>
      <c r="H335" s="5">
        <f>[1]Hybrid!G22</f>
        <v>6470.5464709999997</v>
      </c>
      <c r="I335" s="5">
        <f>[1]Hybrid!H22</f>
        <v>6461.3199450000002</v>
      </c>
      <c r="J335" s="5">
        <f>[1]Hybrid!I22</f>
        <v>6460.5510530000001</v>
      </c>
      <c r="K335" s="5">
        <f>[1]Hybrid!J22</f>
        <v>6468.1825870000002</v>
      </c>
      <c r="L335" s="5">
        <f>[1]Hybrid!K22</f>
        <v>6484.8721450000003</v>
      </c>
      <c r="M335" s="5">
        <f>[1]Hybrid!L22</f>
        <v>6511.8639949999997</v>
      </c>
      <c r="N335" s="5">
        <f>[1]Hybrid!M22</f>
        <v>6546.9208820000003</v>
      </c>
      <c r="O335" s="5">
        <f>[1]Hybrid!N22</f>
        <v>6588.6562249999997</v>
      </c>
      <c r="P335" s="5">
        <f>[1]Hybrid!O22</f>
        <v>6635.5589389999996</v>
      </c>
      <c r="Q335" s="5">
        <f>[1]Hybrid!P22</f>
        <v>6686.2905430000001</v>
      </c>
      <c r="R335" s="5">
        <f>[1]Hybrid!Q22</f>
        <v>6739.7731389999999</v>
      </c>
      <c r="S335" s="5">
        <f>[1]Hybrid!R22</f>
        <v>6795.1305149999998</v>
      </c>
      <c r="T335" s="5">
        <f>[1]Hybrid!S22</f>
        <v>6851.5767390000001</v>
      </c>
      <c r="U335" s="5">
        <f>[1]Hybrid!T22</f>
        <v>6908.3264380000001</v>
      </c>
      <c r="V335" s="5">
        <f>[1]Hybrid!U22</f>
        <v>6964.5653309999998</v>
      </c>
      <c r="W335" s="5">
        <f>[1]Hybrid!V22</f>
        <v>7018.5067010000002</v>
      </c>
      <c r="X335" s="5">
        <f>[1]Hybrid!W22</f>
        <v>7070.5406640000001</v>
      </c>
      <c r="Y335" s="5">
        <f>[1]Hybrid!X22</f>
        <v>7120.0990860000002</v>
      </c>
      <c r="Z335" s="5">
        <f>[1]Hybrid!Y22</f>
        <v>7166.6730390000002</v>
      </c>
      <c r="AA335" s="5">
        <f>[1]Hybrid!Z22</f>
        <v>7209.848129</v>
      </c>
      <c r="AB335" s="5">
        <f>[1]Hybrid!AA22</f>
        <v>7246.4585820000002</v>
      </c>
      <c r="AC335" s="5">
        <f>[1]Hybrid!AB22</f>
        <v>7278.6343290000004</v>
      </c>
      <c r="AD335" s="5">
        <f>[1]Hybrid!AC22</f>
        <v>7306.6575430000003</v>
      </c>
      <c r="AE335" s="5">
        <f>[1]Hybrid!AD22</f>
        <v>7330.6034719999998</v>
      </c>
      <c r="AF335" s="5">
        <f>[1]Hybrid!AE22</f>
        <v>7350.3524450000004</v>
      </c>
      <c r="AG335" s="5">
        <f>[1]Hybrid!AF22</f>
        <v>7365.6930469999998</v>
      </c>
      <c r="AH335" s="5">
        <f>[1]Hybrid!AG22</f>
        <v>7376.4140429999998</v>
      </c>
      <c r="AI335" s="5">
        <f>[1]Hybrid!AH22</f>
        <v>7382.3547559999997</v>
      </c>
      <c r="AJ335" s="5">
        <f>[1]Hybrid!AI22</f>
        <v>7383.4086880000004</v>
      </c>
      <c r="AK335" s="5">
        <f>[1]Hybrid!AJ22</f>
        <v>7379.4948869999998</v>
      </c>
      <c r="AL335" s="5">
        <f>[1]Hybrid!AK22</f>
        <v>7370.5195729999996</v>
      </c>
    </row>
    <row r="336" spans="1:3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4059.2107940000001</v>
      </c>
      <c r="E336" s="5">
        <f>[1]Hybrid!D24</f>
        <v>3983.7489350000001</v>
      </c>
      <c r="F336" s="5">
        <f>[1]Hybrid!E24</f>
        <v>3924.4602540000001</v>
      </c>
      <c r="G336" s="5">
        <f>[1]Hybrid!F24</f>
        <v>3875.9394729999999</v>
      </c>
      <c r="H336" s="5">
        <f>[1]Hybrid!G24</f>
        <v>3835.0070190000001</v>
      </c>
      <c r="I336" s="5">
        <f>[1]Hybrid!H24</f>
        <v>3799.612807</v>
      </c>
      <c r="J336" s="5">
        <f>[1]Hybrid!I24</f>
        <v>3768.537143</v>
      </c>
      <c r="K336" s="5">
        <f>[1]Hybrid!J24</f>
        <v>3741.2428319999999</v>
      </c>
      <c r="L336" s="5">
        <f>[1]Hybrid!K24</f>
        <v>3717.728114</v>
      </c>
      <c r="M336" s="5">
        <f>[1]Hybrid!L24</f>
        <v>3698.4477849999998</v>
      </c>
      <c r="N336" s="5">
        <f>[1]Hybrid!M24</f>
        <v>3682.1921299999999</v>
      </c>
      <c r="O336" s="5">
        <f>[1]Hybrid!N24</f>
        <v>3668.226823</v>
      </c>
      <c r="P336" s="5">
        <f>[1]Hybrid!O24</f>
        <v>3655.7666939999999</v>
      </c>
      <c r="Q336" s="5">
        <f>[1]Hybrid!P24</f>
        <v>3644.1238189999999</v>
      </c>
      <c r="R336" s="5">
        <f>[1]Hybrid!Q24</f>
        <v>3632.7637479999999</v>
      </c>
      <c r="S336" s="5">
        <f>[1]Hybrid!R24</f>
        <v>3621.291866</v>
      </c>
      <c r="T336" s="5">
        <f>[1]Hybrid!S24</f>
        <v>3609.408058</v>
      </c>
      <c r="U336" s="5">
        <f>[1]Hybrid!T24</f>
        <v>3596.8608330000002</v>
      </c>
      <c r="V336" s="5">
        <f>[1]Hybrid!U24</f>
        <v>3583.4199269999999</v>
      </c>
      <c r="W336" s="5">
        <f>[1]Hybrid!V24</f>
        <v>3568.4360620000002</v>
      </c>
      <c r="X336" s="5">
        <f>[1]Hybrid!W24</f>
        <v>3552.2279789999998</v>
      </c>
      <c r="Y336" s="5">
        <f>[1]Hybrid!X24</f>
        <v>3534.683951</v>
      </c>
      <c r="Z336" s="5">
        <f>[1]Hybrid!Y24</f>
        <v>3515.7031889999998</v>
      </c>
      <c r="AA336" s="5">
        <f>[1]Hybrid!Z24</f>
        <v>3495.2035839999999</v>
      </c>
      <c r="AB336" s="5">
        <f>[1]Hybrid!AA24</f>
        <v>3471.930456</v>
      </c>
      <c r="AC336" s="5">
        <f>[1]Hybrid!AB24</f>
        <v>3446.8363129999998</v>
      </c>
      <c r="AD336" s="5">
        <f>[1]Hybrid!AC24</f>
        <v>3420.1156999999998</v>
      </c>
      <c r="AE336" s="5">
        <f>[1]Hybrid!AD24</f>
        <v>3391.8969160000001</v>
      </c>
      <c r="AF336" s="5">
        <f>[1]Hybrid!AE24</f>
        <v>3362.2314649999998</v>
      </c>
      <c r="AG336" s="5">
        <f>[1]Hybrid!AF24</f>
        <v>3331.1242820000002</v>
      </c>
      <c r="AH336" s="5">
        <f>[1]Hybrid!AG24</f>
        <v>3298.567133</v>
      </c>
      <c r="AI336" s="5">
        <f>[1]Hybrid!AH24</f>
        <v>3264.5627420000001</v>
      </c>
      <c r="AJ336" s="5">
        <f>[1]Hybrid!AI24</f>
        <v>3229.1342639999998</v>
      </c>
      <c r="AK336" s="5">
        <f>[1]Hybrid!AJ24</f>
        <v>3192.3217500000001</v>
      </c>
      <c r="AL336" s="5">
        <f>[1]Hybrid!AK24</f>
        <v>3154.1714700000002</v>
      </c>
    </row>
    <row r="337" spans="2:3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2445.7135539999999</v>
      </c>
      <c r="E337" s="5">
        <f>[1]Hybrid!D26</f>
        <v>2401.9251129999998</v>
      </c>
      <c r="F337" s="5">
        <f>[1]Hybrid!E26</f>
        <v>2366.7930719999999</v>
      </c>
      <c r="G337" s="5">
        <f>[1]Hybrid!F26</f>
        <v>2336.91021</v>
      </c>
      <c r="H337" s="5">
        <f>[1]Hybrid!G26</f>
        <v>2310.272457</v>
      </c>
      <c r="I337" s="5">
        <f>[1]Hybrid!H26</f>
        <v>2285.5967959999998</v>
      </c>
      <c r="J337" s="5">
        <f>[1]Hybrid!I26</f>
        <v>2262.1063290000002</v>
      </c>
      <c r="K337" s="5">
        <f>[1]Hybrid!J26</f>
        <v>2239.4257720000001</v>
      </c>
      <c r="L337" s="5">
        <f>[1]Hybrid!K26</f>
        <v>2217.5638079999999</v>
      </c>
      <c r="M337" s="5">
        <f>[1]Hybrid!L26</f>
        <v>2196.8507760000002</v>
      </c>
      <c r="N337" s="5">
        <f>[1]Hybrid!M26</f>
        <v>2176.711159</v>
      </c>
      <c r="O337" s="5">
        <f>[1]Hybrid!N26</f>
        <v>2156.8353080000002</v>
      </c>
      <c r="P337" s="5">
        <f>[1]Hybrid!O26</f>
        <v>2136.8693290000001</v>
      </c>
      <c r="Q337" s="5">
        <f>[1]Hybrid!P26</f>
        <v>2116.4987030000002</v>
      </c>
      <c r="R337" s="5">
        <f>[1]Hybrid!Q26</f>
        <v>2095.487181</v>
      </c>
      <c r="S337" s="5">
        <f>[1]Hybrid!R26</f>
        <v>2073.6781559999999</v>
      </c>
      <c r="T337" s="5">
        <f>[1]Hybrid!S26</f>
        <v>2050.9756849999999</v>
      </c>
      <c r="U337" s="5">
        <f>[1]Hybrid!T26</f>
        <v>2027.3204189999999</v>
      </c>
      <c r="V337" s="5">
        <f>[1]Hybrid!U26</f>
        <v>2002.671423</v>
      </c>
      <c r="W337" s="5">
        <f>[1]Hybrid!V26</f>
        <v>1976.7817130000001</v>
      </c>
      <c r="X337" s="5">
        <f>[1]Hybrid!W26</f>
        <v>1949.8816449999999</v>
      </c>
      <c r="Y337" s="5">
        <f>[1]Hybrid!X26</f>
        <v>1921.986488</v>
      </c>
      <c r="Z337" s="5">
        <f>[1]Hybrid!Y26</f>
        <v>1893.111848</v>
      </c>
      <c r="AA337" s="5">
        <f>[1]Hybrid!Z26</f>
        <v>1863.275408</v>
      </c>
      <c r="AB337" s="5">
        <f>[1]Hybrid!AA26</f>
        <v>1831.950419</v>
      </c>
      <c r="AC337" s="5">
        <f>[1]Hybrid!AB26</f>
        <v>1799.62707</v>
      </c>
      <c r="AD337" s="5">
        <f>[1]Hybrid!AC26</f>
        <v>1766.4525610000001</v>
      </c>
      <c r="AE337" s="5">
        <f>[1]Hybrid!AD26</f>
        <v>1732.550645</v>
      </c>
      <c r="AF337" s="5">
        <f>[1]Hybrid!AE26</f>
        <v>1698.0099580000001</v>
      </c>
      <c r="AG337" s="5">
        <f>[1]Hybrid!AF26</f>
        <v>1662.892556</v>
      </c>
      <c r="AH337" s="5">
        <f>[1]Hybrid!AG26</f>
        <v>1627.247069</v>
      </c>
      <c r="AI337" s="5">
        <f>[1]Hybrid!AH26</f>
        <v>1591.120617</v>
      </c>
      <c r="AJ337" s="5">
        <f>[1]Hybrid!AI26</f>
        <v>1554.565756</v>
      </c>
      <c r="AK337" s="5">
        <f>[1]Hybrid!AJ26</f>
        <v>1517.6416939999999</v>
      </c>
      <c r="AL337" s="5">
        <f>[1]Hybrid!AK26</f>
        <v>1480.411374</v>
      </c>
    </row>
    <row r="338" spans="2:3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1212.193215</v>
      </c>
      <c r="E338" s="5">
        <f>[1]Hybrid!D28</f>
        <v>1186.458167</v>
      </c>
      <c r="F338" s="5">
        <f>[1]Hybrid!E28</f>
        <v>1163.5161599999999</v>
      </c>
      <c r="G338" s="5">
        <f>[1]Hybrid!F28</f>
        <v>1141.603325</v>
      </c>
      <c r="H338" s="5">
        <f>[1]Hybrid!G28</f>
        <v>1119.71515</v>
      </c>
      <c r="I338" s="5">
        <f>[1]Hybrid!H28</f>
        <v>1097.2581190000001</v>
      </c>
      <c r="J338" s="5">
        <f>[1]Hybrid!I28</f>
        <v>1073.8906750000001</v>
      </c>
      <c r="K338" s="5">
        <f>[1]Hybrid!J28</f>
        <v>1049.452773</v>
      </c>
      <c r="L338" s="5">
        <f>[1]Hybrid!K28</f>
        <v>1024.0501389999999</v>
      </c>
      <c r="M338" s="5">
        <f>[1]Hybrid!L28</f>
        <v>997.9885276</v>
      </c>
      <c r="N338" s="5">
        <f>[1]Hybrid!M28</f>
        <v>971.28263779999997</v>
      </c>
      <c r="O338" s="5">
        <f>[1]Hybrid!N28</f>
        <v>944.02897829999995</v>
      </c>
      <c r="P338" s="5">
        <f>[1]Hybrid!O28</f>
        <v>916.28177200000005</v>
      </c>
      <c r="Q338" s="5">
        <f>[1]Hybrid!P28</f>
        <v>888.08585110000001</v>
      </c>
      <c r="R338" s="5">
        <f>[1]Hybrid!Q28</f>
        <v>859.4993594</v>
      </c>
      <c r="S338" s="5">
        <f>[1]Hybrid!R28</f>
        <v>830.6025396</v>
      </c>
      <c r="T338" s="5">
        <f>[1]Hybrid!S28</f>
        <v>801.49516870000002</v>
      </c>
      <c r="U338" s="5">
        <f>[1]Hybrid!T28</f>
        <v>772.28749489999996</v>
      </c>
      <c r="V338" s="5">
        <f>[1]Hybrid!U28</f>
        <v>743.09013890000006</v>
      </c>
      <c r="W338" s="5">
        <f>[1]Hybrid!V28</f>
        <v>713.95754020000004</v>
      </c>
      <c r="X338" s="5">
        <f>[1]Hybrid!W28</f>
        <v>685.03935490000003</v>
      </c>
      <c r="Y338" s="5">
        <f>[1]Hybrid!X28</f>
        <v>656.42506700000001</v>
      </c>
      <c r="Z338" s="5">
        <f>[1]Hybrid!Y28</f>
        <v>628.19146369999999</v>
      </c>
      <c r="AA338" s="5">
        <f>[1]Hybrid!Z28</f>
        <v>600.40307759999996</v>
      </c>
      <c r="AB338" s="5">
        <f>[1]Hybrid!AA28</f>
        <v>573.01954079999996</v>
      </c>
      <c r="AC338" s="5">
        <f>[1]Hybrid!AB28</f>
        <v>546.17216519999999</v>
      </c>
      <c r="AD338" s="5">
        <f>[1]Hybrid!AC28</f>
        <v>519.92878629999996</v>
      </c>
      <c r="AE338" s="5">
        <f>[1]Hybrid!AD28</f>
        <v>494.34961700000002</v>
      </c>
      <c r="AF338" s="5">
        <f>[1]Hybrid!AE28</f>
        <v>469.48191530000003</v>
      </c>
      <c r="AG338" s="5">
        <f>[1]Hybrid!AF28</f>
        <v>445.35978870000002</v>
      </c>
      <c r="AH338" s="5">
        <f>[1]Hybrid!AG28</f>
        <v>422.0066228</v>
      </c>
      <c r="AI338" s="5">
        <f>[1]Hybrid!AH28</f>
        <v>399.4384354</v>
      </c>
      <c r="AJ338" s="5">
        <f>[1]Hybrid!AI28</f>
        <v>377.6666793</v>
      </c>
      <c r="AK338" s="5">
        <f>[1]Hybrid!AJ28</f>
        <v>356.69977319999998</v>
      </c>
      <c r="AL338" s="5">
        <f>[1]Hybrid!AK28</f>
        <v>336.54341470000003</v>
      </c>
    </row>
    <row r="339" spans="2:3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2186.533324</v>
      </c>
      <c r="E339" s="5">
        <f>[1]Hybrid!D30</f>
        <v>2141.5221270000002</v>
      </c>
      <c r="F339" s="5">
        <f>[1]Hybrid!E30</f>
        <v>2098.8321230000001</v>
      </c>
      <c r="G339" s="5">
        <f>[1]Hybrid!F30</f>
        <v>2055.175808</v>
      </c>
      <c r="H339" s="5">
        <f>[1]Hybrid!G30</f>
        <v>2008.8419160000001</v>
      </c>
      <c r="I339" s="5">
        <f>[1]Hybrid!H30</f>
        <v>1958.9995610000001</v>
      </c>
      <c r="J339" s="5">
        <f>[1]Hybrid!I30</f>
        <v>1905.330504</v>
      </c>
      <c r="K339" s="5">
        <f>[1]Hybrid!J30</f>
        <v>1847.869993</v>
      </c>
      <c r="L339" s="5">
        <f>[1]Hybrid!K30</f>
        <v>1787.2154270000001</v>
      </c>
      <c r="M339" s="5">
        <f>[1]Hybrid!L30</f>
        <v>1724.331007</v>
      </c>
      <c r="N339" s="5">
        <f>[1]Hybrid!M30</f>
        <v>1659.752303</v>
      </c>
      <c r="O339" s="5">
        <f>[1]Hybrid!N30</f>
        <v>1594.066151</v>
      </c>
      <c r="P339" s="5">
        <f>[1]Hybrid!O30</f>
        <v>1527.724512</v>
      </c>
      <c r="Q339" s="5">
        <f>[1]Hybrid!P30</f>
        <v>1461.1029209999999</v>
      </c>
      <c r="R339" s="5">
        <f>[1]Hybrid!Q30</f>
        <v>1394.5468289999999</v>
      </c>
      <c r="S339" s="5">
        <f>[1]Hybrid!R30</f>
        <v>1328.3939419999999</v>
      </c>
      <c r="T339" s="5">
        <f>[1]Hybrid!S30</f>
        <v>1262.974958</v>
      </c>
      <c r="U339" s="5">
        <f>[1]Hybrid!T30</f>
        <v>1198.6016259999999</v>
      </c>
      <c r="V339" s="5">
        <f>[1]Hybrid!U30</f>
        <v>1135.552582</v>
      </c>
      <c r="W339" s="5">
        <f>[1]Hybrid!V30</f>
        <v>1074.0169619999999</v>
      </c>
      <c r="X339" s="5">
        <f>[1]Hybrid!W30</f>
        <v>1014.240104</v>
      </c>
      <c r="Y339" s="5">
        <f>[1]Hybrid!X30</f>
        <v>956.37931270000001</v>
      </c>
      <c r="Z339" s="5">
        <f>[1]Hybrid!Y30</f>
        <v>900.5523488</v>
      </c>
      <c r="AA339" s="5">
        <f>[1]Hybrid!Z30</f>
        <v>846.84163999999998</v>
      </c>
      <c r="AB339" s="5">
        <f>[1]Hybrid!AA30</f>
        <v>795.22971270000005</v>
      </c>
      <c r="AC339" s="5">
        <f>[1]Hybrid!AB30</f>
        <v>745.81341680000003</v>
      </c>
      <c r="AD339" s="5">
        <f>[1]Hybrid!AC30</f>
        <v>698.62791330000005</v>
      </c>
      <c r="AE339" s="5">
        <f>[1]Hybrid!AD30</f>
        <v>653.69035719999999</v>
      </c>
      <c r="AF339" s="5">
        <f>[1]Hybrid!AE30</f>
        <v>610.99613739999995</v>
      </c>
      <c r="AG339" s="5">
        <f>[1]Hybrid!AF30</f>
        <v>570.52023399999996</v>
      </c>
      <c r="AH339" s="5">
        <f>[1]Hybrid!AG30</f>
        <v>532.22123810000005</v>
      </c>
      <c r="AI339" s="5">
        <f>[1]Hybrid!AH30</f>
        <v>496.04605709999998</v>
      </c>
      <c r="AJ339" s="5">
        <f>[1]Hybrid!AI30</f>
        <v>461.93381479999999</v>
      </c>
      <c r="AK339" s="5">
        <f>[1]Hybrid!AJ30</f>
        <v>429.81836279999999</v>
      </c>
      <c r="AL339" s="5">
        <f>[1]Hybrid!AK30</f>
        <v>399.62959260000002</v>
      </c>
    </row>
    <row r="340" spans="2:3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15.31682839</v>
      </c>
      <c r="E340" s="5">
        <f>[1]Hybrid!D32</f>
        <v>21.449117950000002</v>
      </c>
      <c r="F340" s="5">
        <f>[1]Hybrid!E32</f>
        <v>28.341801650000001</v>
      </c>
      <c r="G340" s="5">
        <f>[1]Hybrid!F32</f>
        <v>36.261510459999997</v>
      </c>
      <c r="H340" s="5">
        <f>[1]Hybrid!G32</f>
        <v>45.60666397</v>
      </c>
      <c r="I340" s="5">
        <f>[1]Hybrid!H32</f>
        <v>56.85955869</v>
      </c>
      <c r="J340" s="5">
        <f>[1]Hybrid!I32</f>
        <v>70.059321319999995</v>
      </c>
      <c r="K340" s="5">
        <f>[1]Hybrid!J32</f>
        <v>84.617635269999994</v>
      </c>
      <c r="L340" s="5">
        <f>[1]Hybrid!K32</f>
        <v>100.0137371</v>
      </c>
      <c r="M340" s="5">
        <f>[1]Hybrid!L32</f>
        <v>115.8355291</v>
      </c>
      <c r="N340" s="5">
        <f>[1]Hybrid!M32</f>
        <v>131.66116</v>
      </c>
      <c r="O340" s="5">
        <f>[1]Hybrid!N32</f>
        <v>147.23711019999999</v>
      </c>
      <c r="P340" s="5">
        <f>[1]Hybrid!O32</f>
        <v>162.45241809999999</v>
      </c>
      <c r="Q340" s="5">
        <f>[1]Hybrid!P32</f>
        <v>177.35320909999999</v>
      </c>
      <c r="R340" s="5">
        <f>[1]Hybrid!Q32</f>
        <v>192.1387359</v>
      </c>
      <c r="S340" s="5">
        <f>[1]Hybrid!R32</f>
        <v>207.14462159999999</v>
      </c>
      <c r="T340" s="5">
        <f>[1]Hybrid!S32</f>
        <v>222.81872809999999</v>
      </c>
      <c r="U340" s="5">
        <f>[1]Hybrid!T32</f>
        <v>239.69156140000001</v>
      </c>
      <c r="V340" s="5">
        <f>[1]Hybrid!U32</f>
        <v>258.34424180000002</v>
      </c>
      <c r="W340" s="5">
        <f>[1]Hybrid!V32</f>
        <v>279.3275127</v>
      </c>
      <c r="X340" s="5">
        <f>[1]Hybrid!W32</f>
        <v>303.28540129999999</v>
      </c>
      <c r="Y340" s="5">
        <f>[1]Hybrid!X32</f>
        <v>330.7833918</v>
      </c>
      <c r="Z340" s="5">
        <f>[1]Hybrid!Y32</f>
        <v>362.34488019999998</v>
      </c>
      <c r="AA340" s="5">
        <f>[1]Hybrid!Z32</f>
        <v>398.44583499999999</v>
      </c>
      <c r="AB340" s="5">
        <f>[1]Hybrid!AA32</f>
        <v>439.24791640000001</v>
      </c>
      <c r="AC340" s="5">
        <f>[1]Hybrid!AB32</f>
        <v>485.30437649999999</v>
      </c>
      <c r="AD340" s="5">
        <f>[1]Hybrid!AC32</f>
        <v>536.97735239999997</v>
      </c>
      <c r="AE340" s="5">
        <f>[1]Hybrid!AD32</f>
        <v>594.58390269999995</v>
      </c>
      <c r="AF340" s="5">
        <f>[1]Hybrid!AE32</f>
        <v>658.40734650000002</v>
      </c>
      <c r="AG340" s="5">
        <f>[1]Hybrid!AF32</f>
        <v>728.7266687</v>
      </c>
      <c r="AH340" s="5">
        <f>[1]Hybrid!AG32</f>
        <v>805.84879880000005</v>
      </c>
      <c r="AI340" s="5">
        <f>[1]Hybrid!AH32</f>
        <v>890.13387680000005</v>
      </c>
      <c r="AJ340" s="5">
        <f>[1]Hybrid!AI32</f>
        <v>982.00741870000002</v>
      </c>
      <c r="AK340" s="5">
        <f>[1]Hybrid!AJ32</f>
        <v>1081.95883</v>
      </c>
      <c r="AL340" s="5">
        <f>[1]Hybrid!AK32</f>
        <v>1190.5301870000001</v>
      </c>
    </row>
    <row r="341" spans="2:3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16.63040414</v>
      </c>
      <c r="E341" s="5">
        <f>[1]Hybrid!D34</f>
        <v>22.463981440000001</v>
      </c>
      <c r="F341" s="5">
        <f>[1]Hybrid!E34</f>
        <v>29.055819830000001</v>
      </c>
      <c r="G341" s="5">
        <f>[1]Hybrid!F34</f>
        <v>36.676043239999998</v>
      </c>
      <c r="H341" s="5">
        <f>[1]Hybrid!G34</f>
        <v>45.721895879999998</v>
      </c>
      <c r="I341" s="5">
        <f>[1]Hybrid!H34</f>
        <v>56.669022509999998</v>
      </c>
      <c r="J341" s="5">
        <f>[1]Hybrid!I34</f>
        <v>69.543381850000003</v>
      </c>
      <c r="K341" s="5">
        <f>[1]Hybrid!J34</f>
        <v>83.742090770000004</v>
      </c>
      <c r="L341" s="5">
        <f>[1]Hybrid!K34</f>
        <v>98.733433460000001</v>
      </c>
      <c r="M341" s="5">
        <f>[1]Hybrid!L34</f>
        <v>114.0989172</v>
      </c>
      <c r="N341" s="5">
        <f>[1]Hybrid!M34</f>
        <v>129.41761249999999</v>
      </c>
      <c r="O341" s="5">
        <f>[1]Hybrid!N34</f>
        <v>144.43813950000001</v>
      </c>
      <c r="P341" s="5">
        <f>[1]Hybrid!O34</f>
        <v>159.0516772</v>
      </c>
      <c r="Q341" s="5">
        <f>[1]Hybrid!P34</f>
        <v>173.3042714</v>
      </c>
      <c r="R341" s="5">
        <f>[1]Hybrid!Q34</f>
        <v>187.39101400000001</v>
      </c>
      <c r="S341" s="5">
        <f>[1]Hybrid!R34</f>
        <v>201.6377525</v>
      </c>
      <c r="T341" s="5">
        <f>[1]Hybrid!S34</f>
        <v>216.4757357</v>
      </c>
      <c r="U341" s="5">
        <f>[1]Hybrid!T34</f>
        <v>232.4112106</v>
      </c>
      <c r="V341" s="5">
        <f>[1]Hybrid!U34</f>
        <v>249.99307719999999</v>
      </c>
      <c r="W341" s="5">
        <f>[1]Hybrid!V34</f>
        <v>269.73443329999998</v>
      </c>
      <c r="X341" s="5">
        <f>[1]Hybrid!W34</f>
        <v>292.22939229999997</v>
      </c>
      <c r="Y341" s="5">
        <f>[1]Hybrid!X34</f>
        <v>317.98980990000001</v>
      </c>
      <c r="Z341" s="5">
        <f>[1]Hybrid!Y34</f>
        <v>347.47991450000001</v>
      </c>
      <c r="AA341" s="5">
        <f>[1]Hybrid!Z34</f>
        <v>381.11126400000001</v>
      </c>
      <c r="AB341" s="5">
        <f>[1]Hybrid!AA34</f>
        <v>418.99261230000002</v>
      </c>
      <c r="AC341" s="5">
        <f>[1]Hybrid!AB34</f>
        <v>461.59285260000001</v>
      </c>
      <c r="AD341" s="5">
        <f>[1]Hybrid!AC34</f>
        <v>509.1962403</v>
      </c>
      <c r="AE341" s="5">
        <f>[1]Hybrid!AD34</f>
        <v>562.04049129999999</v>
      </c>
      <c r="AF341" s="5">
        <f>[1]Hybrid!AE34</f>
        <v>620.32686809999996</v>
      </c>
      <c r="AG341" s="5">
        <f>[1]Hybrid!AF34</f>
        <v>684.24622980000004</v>
      </c>
      <c r="AH341" s="5">
        <f>[1]Hybrid!AG34</f>
        <v>754.00733049999997</v>
      </c>
      <c r="AI341" s="5">
        <f>[1]Hybrid!AH34</f>
        <v>829.85867670000005</v>
      </c>
      <c r="AJ341" s="5">
        <f>[1]Hybrid!AI34</f>
        <v>912.09862269999996</v>
      </c>
      <c r="AK341" s="5">
        <f>[1]Hybrid!AJ34</f>
        <v>1001.073258</v>
      </c>
      <c r="AL341" s="5">
        <f>[1]Hybrid!AK34</f>
        <v>1097.1655519999999</v>
      </c>
    </row>
    <row r="342" spans="2:3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12.93692982</v>
      </c>
      <c r="E342" s="5">
        <f>[1]Hybrid!D36</f>
        <v>16.932327749999999</v>
      </c>
      <c r="F342" s="5">
        <f>[1]Hybrid!E36</f>
        <v>21.470434130000001</v>
      </c>
      <c r="G342" s="5">
        <f>[1]Hybrid!F36</f>
        <v>26.746816389999999</v>
      </c>
      <c r="H342" s="5">
        <f>[1]Hybrid!G36</f>
        <v>33.045062710000003</v>
      </c>
      <c r="I342" s="5">
        <f>[1]Hybrid!H36</f>
        <v>40.701219510000001</v>
      </c>
      <c r="J342" s="5">
        <f>[1]Hybrid!I36</f>
        <v>49.724568509999997</v>
      </c>
      <c r="K342" s="5">
        <f>[1]Hybrid!J36</f>
        <v>59.672918260000003</v>
      </c>
      <c r="L342" s="5">
        <f>[1]Hybrid!K36</f>
        <v>70.157867359999997</v>
      </c>
      <c r="M342" s="5">
        <f>[1]Hybrid!L36</f>
        <v>80.87550032</v>
      </c>
      <c r="N342" s="5">
        <f>[1]Hybrid!M36</f>
        <v>91.525054699999998</v>
      </c>
      <c r="O342" s="5">
        <f>[1]Hybrid!N36</f>
        <v>101.92813390000001</v>
      </c>
      <c r="P342" s="5">
        <f>[1]Hybrid!O36</f>
        <v>112.0084171</v>
      </c>
      <c r="Q342" s="5">
        <f>[1]Hybrid!P36</f>
        <v>121.798953</v>
      </c>
      <c r="R342" s="5">
        <f>[1]Hybrid!Q36</f>
        <v>131.4367398</v>
      </c>
      <c r="S342" s="5">
        <f>[1]Hybrid!R36</f>
        <v>141.1486199</v>
      </c>
      <c r="T342" s="5">
        <f>[1]Hybrid!S36</f>
        <v>151.2323494</v>
      </c>
      <c r="U342" s="5">
        <f>[1]Hybrid!T36</f>
        <v>162.03435289999999</v>
      </c>
      <c r="V342" s="5">
        <f>[1]Hybrid!U36</f>
        <v>173.92643530000001</v>
      </c>
      <c r="W342" s="5">
        <f>[1]Hybrid!V36</f>
        <v>187.2513309</v>
      </c>
      <c r="X342" s="5">
        <f>[1]Hybrid!W36</f>
        <v>202.40205739999999</v>
      </c>
      <c r="Y342" s="5">
        <f>[1]Hybrid!X36</f>
        <v>219.7105905</v>
      </c>
      <c r="Z342" s="5">
        <f>[1]Hybrid!Y36</f>
        <v>239.47158820000001</v>
      </c>
      <c r="AA342" s="5">
        <f>[1]Hybrid!Z36</f>
        <v>261.93906879999997</v>
      </c>
      <c r="AB342" s="5">
        <f>[1]Hybrid!AA36</f>
        <v>287.15827990000003</v>
      </c>
      <c r="AC342" s="5">
        <f>[1]Hybrid!AB36</f>
        <v>315.41260970000002</v>
      </c>
      <c r="AD342" s="5">
        <f>[1]Hybrid!AC36</f>
        <v>346.85811799999999</v>
      </c>
      <c r="AE342" s="5">
        <f>[1]Hybrid!AD36</f>
        <v>381.61731680000003</v>
      </c>
      <c r="AF342" s="5">
        <f>[1]Hybrid!AE36</f>
        <v>419.785687</v>
      </c>
      <c r="AG342" s="5">
        <f>[1]Hybrid!AF36</f>
        <v>461.4483224</v>
      </c>
      <c r="AH342" s="5">
        <f>[1]Hybrid!AG36</f>
        <v>506.69783410000002</v>
      </c>
      <c r="AI342" s="5">
        <f>[1]Hybrid!AH36</f>
        <v>555.64804330000004</v>
      </c>
      <c r="AJ342" s="5">
        <f>[1]Hybrid!AI36</f>
        <v>608.44012520000001</v>
      </c>
      <c r="AK342" s="5">
        <f>[1]Hybrid!AJ36</f>
        <v>665.24093740000001</v>
      </c>
      <c r="AL342" s="5">
        <f>[1]Hybrid!AK36</f>
        <v>726.23572449999995</v>
      </c>
    </row>
    <row r="343" spans="2:3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7.6315558990000003</v>
      </c>
      <c r="E343" s="5">
        <f>[1]Hybrid!D38</f>
        <v>9.6251624230000008</v>
      </c>
      <c r="F343" s="5">
        <f>[1]Hybrid!E38</f>
        <v>11.71526233</v>
      </c>
      <c r="G343" s="5">
        <f>[1]Hybrid!F38</f>
        <v>13.903552250000001</v>
      </c>
      <c r="H343" s="5">
        <f>[1]Hybrid!G38</f>
        <v>16.217390229999999</v>
      </c>
      <c r="I343" s="5">
        <f>[1]Hybrid!H38</f>
        <v>18.696957220000002</v>
      </c>
      <c r="J343" s="5">
        <f>[1]Hybrid!I38</f>
        <v>21.33407588</v>
      </c>
      <c r="K343" s="5">
        <f>[1]Hybrid!J38</f>
        <v>24.051906590000002</v>
      </c>
      <c r="L343" s="5">
        <f>[1]Hybrid!K38</f>
        <v>26.785398520000001</v>
      </c>
      <c r="M343" s="5">
        <f>[1]Hybrid!L38</f>
        <v>29.486486039999999</v>
      </c>
      <c r="N343" s="5">
        <f>[1]Hybrid!M38</f>
        <v>32.099181090000002</v>
      </c>
      <c r="O343" s="5">
        <f>[1]Hybrid!N38</f>
        <v>34.591336169999998</v>
      </c>
      <c r="P343" s="5">
        <f>[1]Hybrid!O38</f>
        <v>36.948206939999999</v>
      </c>
      <c r="Q343" s="5">
        <f>[1]Hybrid!P38</f>
        <v>39.173878520000002</v>
      </c>
      <c r="R343" s="5">
        <f>[1]Hybrid!Q38</f>
        <v>41.289661870000003</v>
      </c>
      <c r="S343" s="5">
        <f>[1]Hybrid!R38</f>
        <v>43.330527609999997</v>
      </c>
      <c r="T343" s="5">
        <f>[1]Hybrid!S38</f>
        <v>45.340737679999997</v>
      </c>
      <c r="U343" s="5">
        <f>[1]Hybrid!T38</f>
        <v>47.369340479999998</v>
      </c>
      <c r="V343" s="5">
        <f>[1]Hybrid!U38</f>
        <v>49.466120850000003</v>
      </c>
      <c r="W343" s="5">
        <f>[1]Hybrid!V38</f>
        <v>51.671577829999997</v>
      </c>
      <c r="X343" s="5">
        <f>[1]Hybrid!W38</f>
        <v>54.035397549999999</v>
      </c>
      <c r="Y343" s="5">
        <f>[1]Hybrid!X38</f>
        <v>56.594418779999998</v>
      </c>
      <c r="Z343" s="5">
        <f>[1]Hybrid!Y38</f>
        <v>59.378715649999997</v>
      </c>
      <c r="AA343" s="5">
        <f>[1]Hybrid!Z38</f>
        <v>62.411638140000001</v>
      </c>
      <c r="AB343" s="5">
        <f>[1]Hybrid!AA38</f>
        <v>65.6828596</v>
      </c>
      <c r="AC343" s="5">
        <f>[1]Hybrid!AB38</f>
        <v>69.222667650000005</v>
      </c>
      <c r="AD343" s="5">
        <f>[1]Hybrid!AC38</f>
        <v>73.041411980000007</v>
      </c>
      <c r="AE343" s="5">
        <f>[1]Hybrid!AD38</f>
        <v>77.145235360000001</v>
      </c>
      <c r="AF343" s="5">
        <f>[1]Hybrid!AE38</f>
        <v>81.536692689999995</v>
      </c>
      <c r="AG343" s="5">
        <f>[1]Hybrid!AF38</f>
        <v>86.216642269999994</v>
      </c>
      <c r="AH343" s="5">
        <f>[1]Hybrid!AG38</f>
        <v>91.186307850000006</v>
      </c>
      <c r="AI343" s="5">
        <f>[1]Hybrid!AH38</f>
        <v>96.448921650000003</v>
      </c>
      <c r="AJ343" s="5">
        <f>[1]Hybrid!AI38</f>
        <v>102.01057059999999</v>
      </c>
      <c r="AK343" s="5">
        <f>[1]Hybrid!AJ38</f>
        <v>107.88018700000001</v>
      </c>
      <c r="AL343" s="5">
        <f>[1]Hybrid!AK38</f>
        <v>114.0688887</v>
      </c>
    </row>
    <row r="344" spans="2:3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4.6168571680000001</v>
      </c>
      <c r="E344" s="5">
        <f>[1]Hybrid!D40</f>
        <v>5.8344010510000004</v>
      </c>
      <c r="F344" s="5">
        <f>[1]Hybrid!E40</f>
        <v>7.1015013529999997</v>
      </c>
      <c r="G344" s="5">
        <f>[1]Hybrid!F40</f>
        <v>8.4167821860000007</v>
      </c>
      <c r="H344" s="5">
        <f>[1]Hybrid!G40</f>
        <v>9.7938895929999994</v>
      </c>
      <c r="I344" s="5">
        <f>[1]Hybrid!H40</f>
        <v>11.25328799</v>
      </c>
      <c r="J344" s="5">
        <f>[1]Hybrid!I40</f>
        <v>12.78620941</v>
      </c>
      <c r="K344" s="5">
        <f>[1]Hybrid!J40</f>
        <v>14.34390462</v>
      </c>
      <c r="L344" s="5">
        <f>[1]Hybrid!K40</f>
        <v>15.886147879999999</v>
      </c>
      <c r="M344" s="5">
        <f>[1]Hybrid!L40</f>
        <v>17.38433169</v>
      </c>
      <c r="N344" s="5">
        <f>[1]Hybrid!M40</f>
        <v>18.806964730000001</v>
      </c>
      <c r="O344" s="5">
        <f>[1]Hybrid!N40</f>
        <v>20.13699695</v>
      </c>
      <c r="P344" s="5">
        <f>[1]Hybrid!O40</f>
        <v>21.367598529999999</v>
      </c>
      <c r="Q344" s="5">
        <f>[1]Hybrid!P40</f>
        <v>22.502484590000002</v>
      </c>
      <c r="R344" s="5">
        <f>[1]Hybrid!Q40</f>
        <v>23.554581370000001</v>
      </c>
      <c r="S344" s="5">
        <f>[1]Hybrid!R40</f>
        <v>24.543666850000001</v>
      </c>
      <c r="T344" s="5">
        <f>[1]Hybrid!S40</f>
        <v>25.493670819999998</v>
      </c>
      <c r="U344" s="5">
        <f>[1]Hybrid!T40</f>
        <v>26.43003371</v>
      </c>
      <c r="V344" s="5">
        <f>[1]Hybrid!U40</f>
        <v>27.37745829</v>
      </c>
      <c r="W344" s="5">
        <f>[1]Hybrid!V40</f>
        <v>28.354835810000001</v>
      </c>
      <c r="X344" s="5">
        <f>[1]Hybrid!W40</f>
        <v>29.38453067</v>
      </c>
      <c r="Y344" s="5">
        <f>[1]Hybrid!X40</f>
        <v>30.481619599999998</v>
      </c>
      <c r="Z344" s="5">
        <f>[1]Hybrid!Y40</f>
        <v>31.6570775</v>
      </c>
      <c r="AA344" s="5">
        <f>[1]Hybrid!Z40</f>
        <v>32.917941509999999</v>
      </c>
      <c r="AB344" s="5">
        <f>[1]Hybrid!AA40</f>
        <v>34.255009280000003</v>
      </c>
      <c r="AC344" s="5">
        <f>[1]Hybrid!AB40</f>
        <v>35.677555400000003</v>
      </c>
      <c r="AD344" s="5">
        <f>[1]Hybrid!AC40</f>
        <v>37.185575669999999</v>
      </c>
      <c r="AE344" s="5">
        <f>[1]Hybrid!AD40</f>
        <v>38.777266480000002</v>
      </c>
      <c r="AF344" s="5">
        <f>[1]Hybrid!AE40</f>
        <v>40.449226019999998</v>
      </c>
      <c r="AG344" s="5">
        <f>[1]Hybrid!AF40</f>
        <v>42.197157330000003</v>
      </c>
      <c r="AH344" s="5">
        <f>[1]Hybrid!AG40</f>
        <v>44.016651770000003</v>
      </c>
      <c r="AI344" s="5">
        <f>[1]Hybrid!AH40</f>
        <v>45.903840449999997</v>
      </c>
      <c r="AJ344" s="5">
        <f>[1]Hybrid!AI40</f>
        <v>47.855759110000001</v>
      </c>
      <c r="AK344" s="5">
        <f>[1]Hybrid!AJ40</f>
        <v>49.870382079999999</v>
      </c>
      <c r="AL344" s="5">
        <f>[1]Hybrid!AK40</f>
        <v>51.946384850000001</v>
      </c>
    </row>
    <row r="345" spans="2:3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2.2631739710000001</v>
      </c>
      <c r="E345" s="5">
        <f>[1]Hybrid!D42</f>
        <v>2.8155767429999998</v>
      </c>
      <c r="F345" s="5">
        <f>[1]Hybrid!E42</f>
        <v>3.3620782660000001</v>
      </c>
      <c r="G345" s="5">
        <f>[1]Hybrid!F42</f>
        <v>3.8927421710000001</v>
      </c>
      <c r="H345" s="5">
        <f>[1]Hybrid!G42</f>
        <v>4.404067092</v>
      </c>
      <c r="I345" s="5">
        <f>[1]Hybrid!H42</f>
        <v>4.8955111459999996</v>
      </c>
      <c r="J345" s="5">
        <f>[1]Hybrid!I42</f>
        <v>5.3625529079999996</v>
      </c>
      <c r="K345" s="5">
        <f>[1]Hybrid!J42</f>
        <v>5.7951926550000001</v>
      </c>
      <c r="L345" s="5">
        <f>[1]Hybrid!K42</f>
        <v>6.187392268</v>
      </c>
      <c r="M345" s="5">
        <f>[1]Hybrid!L42</f>
        <v>6.537121516</v>
      </c>
      <c r="N345" s="5">
        <f>[1]Hybrid!M42</f>
        <v>6.8413150060000003</v>
      </c>
      <c r="O345" s="5">
        <f>[1]Hybrid!N42</f>
        <v>7.0999393890000002</v>
      </c>
      <c r="P345" s="5">
        <f>[1]Hybrid!O42</f>
        <v>7.3144068420000004</v>
      </c>
      <c r="Q345" s="5">
        <f>[1]Hybrid!P42</f>
        <v>7.4875368729999998</v>
      </c>
      <c r="R345" s="5">
        <f>[1]Hybrid!Q42</f>
        <v>7.6232698819999998</v>
      </c>
      <c r="S345" s="5">
        <f>[1]Hybrid!R42</f>
        <v>7.7262240780000004</v>
      </c>
      <c r="T345" s="5">
        <f>[1]Hybrid!S42</f>
        <v>7.8012223860000001</v>
      </c>
      <c r="U345" s="5">
        <f>[1]Hybrid!T42</f>
        <v>7.8528743739999998</v>
      </c>
      <c r="V345" s="5">
        <f>[1]Hybrid!U42</f>
        <v>7.885275365</v>
      </c>
      <c r="W345" s="5">
        <f>[1]Hybrid!V42</f>
        <v>7.901280141</v>
      </c>
      <c r="X345" s="5">
        <f>[1]Hybrid!W42</f>
        <v>7.9041861769999997</v>
      </c>
      <c r="Y345" s="5">
        <f>[1]Hybrid!X42</f>
        <v>7.8960876190000002</v>
      </c>
      <c r="Z345" s="5">
        <f>[1]Hybrid!Y42</f>
        <v>7.8784841170000002</v>
      </c>
      <c r="AA345" s="5">
        <f>[1]Hybrid!Z42</f>
        <v>7.8523697290000003</v>
      </c>
      <c r="AB345" s="5">
        <f>[1]Hybrid!AA42</f>
        <v>7.8169867909999997</v>
      </c>
      <c r="AC345" s="5">
        <f>[1]Hybrid!AB42</f>
        <v>7.7737191149999996</v>
      </c>
      <c r="AD345" s="5">
        <f>[1]Hybrid!AC42</f>
        <v>7.7230591390000001</v>
      </c>
      <c r="AE345" s="5">
        <f>[1]Hybrid!AD42</f>
        <v>7.6654374130000003</v>
      </c>
      <c r="AF345" s="5">
        <f>[1]Hybrid!AE42</f>
        <v>7.6011869689999996</v>
      </c>
      <c r="AG345" s="5">
        <f>[1]Hybrid!AF42</f>
        <v>7.5305592819999996</v>
      </c>
      <c r="AH345" s="5">
        <f>[1]Hybrid!AG42</f>
        <v>7.4537650380000002</v>
      </c>
      <c r="AI345" s="5">
        <f>[1]Hybrid!AH42</f>
        <v>7.3710224289999999</v>
      </c>
      <c r="AJ345" s="5">
        <f>[1]Hybrid!AI42</f>
        <v>7.2825939789999996</v>
      </c>
      <c r="AK345" s="5">
        <f>[1]Hybrid!AJ42</f>
        <v>7.1888008149999996</v>
      </c>
      <c r="AL345" s="5">
        <f>[1]Hybrid!AK42</f>
        <v>7.0900142229999998</v>
      </c>
    </row>
    <row r="346" spans="2:3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4.1089672369999999</v>
      </c>
      <c r="E346" s="5">
        <f>[1]Hybrid!D44</f>
        <v>5.1175531430000003</v>
      </c>
      <c r="F346" s="5">
        <f>[1]Hybrid!E44</f>
        <v>6.0904153680000004</v>
      </c>
      <c r="G346" s="5">
        <f>[1]Hybrid!F44</f>
        <v>7.0065796320000002</v>
      </c>
      <c r="H346" s="5">
        <f>[1]Hybrid!G44</f>
        <v>7.8578602139999996</v>
      </c>
      <c r="I346" s="5">
        <f>[1]Hybrid!H44</f>
        <v>8.6420550400000007</v>
      </c>
      <c r="J346" s="5">
        <f>[1]Hybrid!I44</f>
        <v>9.3512139370000007</v>
      </c>
      <c r="K346" s="5">
        <f>[1]Hybrid!J44</f>
        <v>9.9701738469999999</v>
      </c>
      <c r="L346" s="5">
        <f>[1]Hybrid!K44</f>
        <v>10.49282092</v>
      </c>
      <c r="M346" s="5">
        <f>[1]Hybrid!L44</f>
        <v>10.92110559</v>
      </c>
      <c r="N346" s="5">
        <f>[1]Hybrid!M44</f>
        <v>11.256514989999999</v>
      </c>
      <c r="O346" s="5">
        <f>[1]Hybrid!N44</f>
        <v>11.50483715</v>
      </c>
      <c r="P346" s="5">
        <f>[1]Hybrid!O44</f>
        <v>11.67334619</v>
      </c>
      <c r="Q346" s="5">
        <f>[1]Hybrid!P44</f>
        <v>11.7705182</v>
      </c>
      <c r="R346" s="5">
        <f>[1]Hybrid!Q44</f>
        <v>11.80555828</v>
      </c>
      <c r="S346" s="5">
        <f>[1]Hybrid!R44</f>
        <v>11.78780553</v>
      </c>
      <c r="T346" s="5">
        <f>[1]Hybrid!S44</f>
        <v>11.726157649999999</v>
      </c>
      <c r="U346" s="5">
        <f>[1]Hybrid!T44</f>
        <v>11.628615979999999</v>
      </c>
      <c r="V346" s="5">
        <f>[1]Hybrid!U44</f>
        <v>11.50201786</v>
      </c>
      <c r="W346" s="5">
        <f>[1]Hybrid!V44</f>
        <v>11.351423949999999</v>
      </c>
      <c r="X346" s="5">
        <f>[1]Hybrid!W44</f>
        <v>11.18184422</v>
      </c>
      <c r="Y346" s="5">
        <f>[1]Hybrid!X44</f>
        <v>10.996805159999999</v>
      </c>
      <c r="Z346" s="5">
        <f>[1]Hybrid!Y44</f>
        <v>10.79902749</v>
      </c>
      <c r="AA346" s="5">
        <f>[1]Hybrid!Z44</f>
        <v>10.590589870000001</v>
      </c>
      <c r="AB346" s="5">
        <f>[1]Hybrid!AA44</f>
        <v>10.37208805</v>
      </c>
      <c r="AC346" s="5">
        <f>[1]Hybrid!AB44</f>
        <v>10.145652200000001</v>
      </c>
      <c r="AD346" s="5">
        <f>[1]Hybrid!AC44</f>
        <v>9.9126907180000003</v>
      </c>
      <c r="AE346" s="5">
        <f>[1]Hybrid!AD44</f>
        <v>9.6745229189999993</v>
      </c>
      <c r="AF346" s="5">
        <f>[1]Hybrid!AE44</f>
        <v>9.4323282909999993</v>
      </c>
      <c r="AG346" s="5">
        <f>[1]Hybrid!AF44</f>
        <v>9.1871438029999997</v>
      </c>
      <c r="AH346" s="5">
        <f>[1]Hybrid!AG44</f>
        <v>8.9398906650000001</v>
      </c>
      <c r="AI346" s="5">
        <f>[1]Hybrid!AH44</f>
        <v>8.6914126980000006</v>
      </c>
      <c r="AJ346" s="5">
        <f>[1]Hybrid!AI44</f>
        <v>8.4425075439999997</v>
      </c>
      <c r="AK346" s="5">
        <f>[1]Hybrid!AJ44</f>
        <v>8.1939405860000001</v>
      </c>
      <c r="AL346" s="5">
        <f>[1]Hybrid!AK44</f>
        <v>7.9464419939999997</v>
      </c>
    </row>
    <row r="347" spans="2:3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0.4502916602</v>
      </c>
      <c r="E347" s="5">
        <f>[1]Hybrid!D46</f>
        <v>0.47777468490000002</v>
      </c>
      <c r="F347" s="5">
        <f>[1]Hybrid!E46</f>
        <v>0.50651924459999997</v>
      </c>
      <c r="G347" s="5">
        <f>[1]Hybrid!F46</f>
        <v>0.53560430820000005</v>
      </c>
      <c r="H347" s="5">
        <f>[1]Hybrid!G46</f>
        <v>0.56456175099999995</v>
      </c>
      <c r="I347" s="5">
        <f>[1]Hybrid!H46</f>
        <v>0.59314166180000005</v>
      </c>
      <c r="J347" s="5">
        <f>[1]Hybrid!I46</f>
        <v>0.62129924729999997</v>
      </c>
      <c r="K347" s="5">
        <f>[1]Hybrid!J46</f>
        <v>0.64918489170000004</v>
      </c>
      <c r="L347" s="5">
        <f>[1]Hybrid!K46</f>
        <v>0.67702240999999996</v>
      </c>
      <c r="M347" s="5">
        <f>[1]Hybrid!L46</f>
        <v>0.7050952345</v>
      </c>
      <c r="N347" s="5">
        <f>[1]Hybrid!M46</f>
        <v>0.733214853</v>
      </c>
      <c r="O347" s="5">
        <f>[1]Hybrid!N46</f>
        <v>0.76129411859999996</v>
      </c>
      <c r="P347" s="5">
        <f>[1]Hybrid!O46</f>
        <v>0.78922426050000005</v>
      </c>
      <c r="Q347" s="5">
        <f>[1]Hybrid!P46</f>
        <v>0.81691502599999999</v>
      </c>
      <c r="R347" s="5">
        <f>[1]Hybrid!Q46</f>
        <v>0.84430563879999998</v>
      </c>
      <c r="S347" s="5">
        <f>[1]Hybrid!R46</f>
        <v>0.87135537839999999</v>
      </c>
      <c r="T347" s="5">
        <f>[1]Hybrid!S46</f>
        <v>0.89802717939999999</v>
      </c>
      <c r="U347" s="5">
        <f>[1]Hybrid!T46</f>
        <v>0.9242749281</v>
      </c>
      <c r="V347" s="5">
        <f>[1]Hybrid!U46</f>
        <v>0.95003997809999996</v>
      </c>
      <c r="W347" s="5">
        <f>[1]Hybrid!V46</f>
        <v>0.97511930530000002</v>
      </c>
      <c r="X347" s="5">
        <f>[1]Hybrid!W46</f>
        <v>0.99960952619999999</v>
      </c>
      <c r="Y347" s="5">
        <f>[1]Hybrid!X46</f>
        <v>1.023468826</v>
      </c>
      <c r="Z347" s="5">
        <f>[1]Hybrid!Y46</f>
        <v>1.0466599329999999</v>
      </c>
      <c r="AA347" s="5">
        <f>[1]Hybrid!Z46</f>
        <v>1.069156607</v>
      </c>
      <c r="AB347" s="5">
        <f>[1]Hybrid!AA46</f>
        <v>1.0905254790000001</v>
      </c>
      <c r="AC347" s="5">
        <f>[1]Hybrid!AB46</f>
        <v>1.1111010130000001</v>
      </c>
      <c r="AD347" s="5">
        <f>[1]Hybrid!AC46</f>
        <v>1.1309459310000001</v>
      </c>
      <c r="AE347" s="5">
        <f>[1]Hybrid!AD46</f>
        <v>1.1500866380000001</v>
      </c>
      <c r="AF347" s="5">
        <f>[1]Hybrid!AE46</f>
        <v>1.1685170490000001</v>
      </c>
      <c r="AG347" s="5">
        <f>[1]Hybrid!AF46</f>
        <v>1.186216017</v>
      </c>
      <c r="AH347" s="5">
        <f>[1]Hybrid!AG46</f>
        <v>1.203162327</v>
      </c>
      <c r="AI347" s="5">
        <f>[1]Hybrid!AH46</f>
        <v>1.2193423050000001</v>
      </c>
      <c r="AJ347" s="5">
        <f>[1]Hybrid!AI46</f>
        <v>1.2347494219999999</v>
      </c>
      <c r="AK347" s="5">
        <f>[1]Hybrid!AJ46</f>
        <v>1.2493785610000001</v>
      </c>
      <c r="AL347" s="5">
        <f>[1]Hybrid!AK46</f>
        <v>1.263218916</v>
      </c>
    </row>
    <row r="348" spans="2:3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0.51319015499999998</v>
      </c>
      <c r="E348" s="5">
        <f>[1]Hybrid!D48</f>
        <v>0.53439477459999996</v>
      </c>
      <c r="F348" s="5">
        <f>[1]Hybrid!E48</f>
        <v>0.55703101249999998</v>
      </c>
      <c r="G348" s="5">
        <f>[1]Hybrid!F48</f>
        <v>0.58017912819999995</v>
      </c>
      <c r="H348" s="5">
        <f>[1]Hybrid!G48</f>
        <v>0.60335701279999998</v>
      </c>
      <c r="I348" s="5">
        <f>[1]Hybrid!H48</f>
        <v>0.62629444560000003</v>
      </c>
      <c r="J348" s="5">
        <f>[1]Hybrid!I48</f>
        <v>0.64891915209999995</v>
      </c>
      <c r="K348" s="5">
        <f>[1]Hybrid!J48</f>
        <v>0.67134569160000002</v>
      </c>
      <c r="L348" s="5">
        <f>[1]Hybrid!K48</f>
        <v>0.69376428140000002</v>
      </c>
      <c r="M348" s="5">
        <f>[1]Hybrid!L48</f>
        <v>0.71642729920000003</v>
      </c>
      <c r="N348" s="5">
        <f>[1]Hybrid!M48</f>
        <v>0.73914811629999999</v>
      </c>
      <c r="O348" s="5">
        <f>[1]Hybrid!N48</f>
        <v>0.76183575530000003</v>
      </c>
      <c r="P348" s="5">
        <f>[1]Hybrid!O48</f>
        <v>0.78437772989999999</v>
      </c>
      <c r="Q348" s="5">
        <f>[1]Hybrid!P48</f>
        <v>0.80667739540000005</v>
      </c>
      <c r="R348" s="5">
        <f>[1]Hybrid!Q48</f>
        <v>0.82866491760000005</v>
      </c>
      <c r="S348" s="5">
        <f>[1]Hybrid!R48</f>
        <v>0.85028964669999996</v>
      </c>
      <c r="T348" s="5">
        <f>[1]Hybrid!S48</f>
        <v>0.87150588829999998</v>
      </c>
      <c r="U348" s="5">
        <f>[1]Hybrid!T48</f>
        <v>0.89226162939999998</v>
      </c>
      <c r="V348" s="5">
        <f>[1]Hybrid!U48</f>
        <v>0.91249521820000001</v>
      </c>
      <c r="W348" s="5">
        <f>[1]Hybrid!V48</f>
        <v>0.93201512060000002</v>
      </c>
      <c r="X348" s="5">
        <f>[1]Hybrid!W48</f>
        <v>0.95090259190000004</v>
      </c>
      <c r="Y348" s="5">
        <f>[1]Hybrid!X48</f>
        <v>0.96911410580000001</v>
      </c>
      <c r="Z348" s="5">
        <f>[1]Hybrid!Y48</f>
        <v>0.98661058040000005</v>
      </c>
      <c r="AA348" s="5">
        <f>[1]Hybrid!Z48</f>
        <v>1.003362718</v>
      </c>
      <c r="AB348" s="5">
        <f>[1]Hybrid!AA48</f>
        <v>1.0189789950000001</v>
      </c>
      <c r="AC348" s="5">
        <f>[1]Hybrid!AB48</f>
        <v>1.0337520309999999</v>
      </c>
      <c r="AD348" s="5">
        <f>[1]Hybrid!AC48</f>
        <v>1.0477344319999999</v>
      </c>
      <c r="AE348" s="5">
        <f>[1]Hybrid!AD48</f>
        <v>1.060948928</v>
      </c>
      <c r="AF348" s="5">
        <f>[1]Hybrid!AE48</f>
        <v>1.0733906630000001</v>
      </c>
      <c r="AG348" s="5">
        <f>[1]Hybrid!AF48</f>
        <v>1.0850415010000001</v>
      </c>
      <c r="AH348" s="5">
        <f>[1]Hybrid!AG48</f>
        <v>1.0958826239999999</v>
      </c>
      <c r="AI348" s="5">
        <f>[1]Hybrid!AH48</f>
        <v>1.1059012349999999</v>
      </c>
      <c r="AJ348" s="5">
        <f>[1]Hybrid!AI48</f>
        <v>1.115090709</v>
      </c>
      <c r="AK348" s="5">
        <f>[1]Hybrid!AJ48</f>
        <v>1.123446285</v>
      </c>
      <c r="AL348" s="5">
        <f>[1]Hybrid!AK48</f>
        <v>1.130959491</v>
      </c>
    </row>
    <row r="349" spans="2:3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0.41515657919999999</v>
      </c>
      <c r="E349" s="5">
        <f>[1]Hybrid!D50</f>
        <v>0.42600276500000001</v>
      </c>
      <c r="F349" s="5">
        <f>[1]Hybrid!E50</f>
        <v>0.43800895020000002</v>
      </c>
      <c r="G349" s="5">
        <f>[1]Hybrid!F50</f>
        <v>0.4505135837</v>
      </c>
      <c r="H349" s="5">
        <f>[1]Hybrid!G50</f>
        <v>0.46316019330000002</v>
      </c>
      <c r="I349" s="5">
        <f>[1]Hybrid!H50</f>
        <v>0.4757408239</v>
      </c>
      <c r="J349" s="5">
        <f>[1]Hybrid!I50</f>
        <v>0.488185378</v>
      </c>
      <c r="K349" s="5">
        <f>[1]Hybrid!J50</f>
        <v>0.50055284870000005</v>
      </c>
      <c r="L349" s="5">
        <f>[1]Hybrid!K50</f>
        <v>0.51295821959999999</v>
      </c>
      <c r="M349" s="5">
        <f>[1]Hybrid!L50</f>
        <v>0.52556287410000002</v>
      </c>
      <c r="N349" s="5">
        <f>[1]Hybrid!M50</f>
        <v>0.5382337572</v>
      </c>
      <c r="O349" s="5">
        <f>[1]Hybrid!N50</f>
        <v>0.55090296959999996</v>
      </c>
      <c r="P349" s="5">
        <f>[1]Hybrid!O50</f>
        <v>0.56348733039999999</v>
      </c>
      <c r="Q349" s="5">
        <f>[1]Hybrid!P50</f>
        <v>0.57591347910000001</v>
      </c>
      <c r="R349" s="5">
        <f>[1]Hybrid!Q50</f>
        <v>0.58812578110000002</v>
      </c>
      <c r="S349" s="5">
        <f>[1]Hybrid!R50</f>
        <v>0.60008197600000002</v>
      </c>
      <c r="T349" s="5">
        <f>[1]Hybrid!S50</f>
        <v>0.61174430049999995</v>
      </c>
      <c r="U349" s="5">
        <f>[1]Hybrid!T50</f>
        <v>0.62307226019999995</v>
      </c>
      <c r="V349" s="5">
        <f>[1]Hybrid!U50</f>
        <v>0.63402032850000001</v>
      </c>
      <c r="W349" s="5">
        <f>[1]Hybrid!V50</f>
        <v>0.64445880519999998</v>
      </c>
      <c r="X349" s="5">
        <f>[1]Hybrid!W50</f>
        <v>0.65443729289999997</v>
      </c>
      <c r="Y349" s="5">
        <f>[1]Hybrid!X50</f>
        <v>0.66392434109999998</v>
      </c>
      <c r="Z349" s="5">
        <f>[1]Hybrid!Y50</f>
        <v>0.67289172470000003</v>
      </c>
      <c r="AA349" s="5">
        <f>[1]Hybrid!Z50</f>
        <v>0.68131759719999996</v>
      </c>
      <c r="AB349" s="5">
        <f>[1]Hybrid!AA50</f>
        <v>0.68894762190000003</v>
      </c>
      <c r="AC349" s="5">
        <f>[1]Hybrid!AB50</f>
        <v>0.69596755860000004</v>
      </c>
      <c r="AD349" s="5">
        <f>[1]Hybrid!AC50</f>
        <v>0.70241025010000002</v>
      </c>
      <c r="AE349" s="5">
        <f>[1]Hybrid!AD50</f>
        <v>0.70829094729999997</v>
      </c>
      <c r="AF349" s="5">
        <f>[1]Hybrid!AE50</f>
        <v>0.71360806470000004</v>
      </c>
      <c r="AG349" s="5">
        <f>[1]Hybrid!AF50</f>
        <v>0.7183516258</v>
      </c>
      <c r="AH349" s="5">
        <f>[1]Hybrid!AG50</f>
        <v>0.72251091079999996</v>
      </c>
      <c r="AI349" s="5">
        <f>[1]Hybrid!AH50</f>
        <v>0.72607873609999996</v>
      </c>
      <c r="AJ349" s="5">
        <f>[1]Hybrid!AI50</f>
        <v>0.72905186830000002</v>
      </c>
      <c r="AK349" s="5">
        <f>[1]Hybrid!AJ50</f>
        <v>0.73142872589999997</v>
      </c>
      <c r="AL349" s="5">
        <f>[1]Hybrid!AK50</f>
        <v>0.73320621949999998</v>
      </c>
    </row>
    <row r="350" spans="2:3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0.25270390659999997</v>
      </c>
      <c r="E350" s="5">
        <f>[1]Hybrid!D52</f>
        <v>0.25710867869999998</v>
      </c>
      <c r="F350" s="5">
        <f>[1]Hybrid!E52</f>
        <v>0.26210352120000002</v>
      </c>
      <c r="G350" s="5">
        <f>[1]Hybrid!F52</f>
        <v>0.26730318930000002</v>
      </c>
      <c r="H350" s="5">
        <f>[1]Hybrid!G52</f>
        <v>0.27249816090000001</v>
      </c>
      <c r="I350" s="5">
        <f>[1]Hybrid!H52</f>
        <v>0.2775661109</v>
      </c>
      <c r="J350" s="5">
        <f>[1]Hybrid!I52</f>
        <v>0.28244871849999997</v>
      </c>
      <c r="K350" s="5">
        <f>[1]Hybrid!J52</f>
        <v>0.28714067129999998</v>
      </c>
      <c r="L350" s="5">
        <f>[1]Hybrid!K52</f>
        <v>0.29167845910000001</v>
      </c>
      <c r="M350" s="5">
        <f>[1]Hybrid!L52</f>
        <v>0.29613463540000001</v>
      </c>
      <c r="N350" s="5">
        <f>[1]Hybrid!M52</f>
        <v>0.30044035530000002</v>
      </c>
      <c r="O350" s="5">
        <f>[1]Hybrid!N52</f>
        <v>0.30456310539999998</v>
      </c>
      <c r="P350" s="5">
        <f>[1]Hybrid!O52</f>
        <v>0.30846333259999997</v>
      </c>
      <c r="Q350" s="5">
        <f>[1]Hybrid!P52</f>
        <v>0.3121069917</v>
      </c>
      <c r="R350" s="5">
        <f>[1]Hybrid!Q52</f>
        <v>0.31547056179999999</v>
      </c>
      <c r="S350" s="5">
        <f>[1]Hybrid!R52</f>
        <v>0.31854024520000002</v>
      </c>
      <c r="T350" s="5">
        <f>[1]Hybrid!S52</f>
        <v>0.32130846610000002</v>
      </c>
      <c r="U350" s="5">
        <f>[1]Hybrid!T52</f>
        <v>0.32377024469999999</v>
      </c>
      <c r="V350" s="5">
        <f>[1]Hybrid!U52</f>
        <v>0.3259210515</v>
      </c>
      <c r="W350" s="5">
        <f>[1]Hybrid!V52</f>
        <v>0.32771993310000003</v>
      </c>
      <c r="X350" s="5">
        <f>[1]Hybrid!W52</f>
        <v>0.32920557499999997</v>
      </c>
      <c r="Y350" s="5">
        <f>[1]Hybrid!X52</f>
        <v>0.33038016479999999</v>
      </c>
      <c r="Z350" s="5">
        <f>[1]Hybrid!Y52</f>
        <v>0.33124594149999997</v>
      </c>
      <c r="AA350" s="5">
        <f>[1]Hybrid!Z52</f>
        <v>0.33180591479999999</v>
      </c>
      <c r="AB350" s="5">
        <f>[1]Hybrid!AA52</f>
        <v>0.33196386059999999</v>
      </c>
      <c r="AC350" s="5">
        <f>[1]Hybrid!AB52</f>
        <v>0.33180679400000002</v>
      </c>
      <c r="AD350" s="5">
        <f>[1]Hybrid!AC52</f>
        <v>0.33135884170000002</v>
      </c>
      <c r="AE350" s="5">
        <f>[1]Hybrid!AD52</f>
        <v>0.33063832900000001</v>
      </c>
      <c r="AF350" s="5">
        <f>[1]Hybrid!AE52</f>
        <v>0.3296568231</v>
      </c>
      <c r="AG350" s="5">
        <f>[1]Hybrid!AF52</f>
        <v>0.32842159250000003</v>
      </c>
      <c r="AH350" s="5">
        <f>[1]Hybrid!AG52</f>
        <v>0.32693837749999999</v>
      </c>
      <c r="AI350" s="5">
        <f>[1]Hybrid!AH52</f>
        <v>0.32521342660000002</v>
      </c>
      <c r="AJ350" s="5">
        <f>[1]Hybrid!AI52</f>
        <v>0.32325433129999998</v>
      </c>
      <c r="AK350" s="5">
        <f>[1]Hybrid!AJ52</f>
        <v>0.3210697803</v>
      </c>
      <c r="AL350" s="5">
        <f>[1]Hybrid!AK52</f>
        <v>0.31866870320000001</v>
      </c>
    </row>
    <row r="351" spans="2:3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0.15230978840000001</v>
      </c>
      <c r="E351" s="5">
        <f>[1]Hybrid!D54</f>
        <v>0.1551013527</v>
      </c>
      <c r="F351" s="5">
        <f>[1]Hybrid!E54</f>
        <v>0.15815939600000001</v>
      </c>
      <c r="G351" s="5">
        <f>[1]Hybrid!F54</f>
        <v>0.16123761340000001</v>
      </c>
      <c r="H351" s="5">
        <f>[1]Hybrid!G54</f>
        <v>0.16420069819999999</v>
      </c>
      <c r="I351" s="5">
        <f>[1]Hybrid!H54</f>
        <v>0.1669692747</v>
      </c>
      <c r="J351" s="5">
        <f>[1]Hybrid!I54</f>
        <v>0.16950305939999999</v>
      </c>
      <c r="K351" s="5">
        <f>[1]Hybrid!J54</f>
        <v>0.17179294749999999</v>
      </c>
      <c r="L351" s="5">
        <f>[1]Hybrid!K54</f>
        <v>0.17386020699999999</v>
      </c>
      <c r="M351" s="5">
        <f>[1]Hybrid!L54</f>
        <v>0.17575185600000001</v>
      </c>
      <c r="N351" s="5">
        <f>[1]Hybrid!M54</f>
        <v>0.1774380321</v>
      </c>
      <c r="O351" s="5">
        <f>[1]Hybrid!N54</f>
        <v>0.1789093122</v>
      </c>
      <c r="P351" s="5">
        <f>[1]Hybrid!O54</f>
        <v>0.18015112080000001</v>
      </c>
      <c r="Q351" s="5">
        <f>[1]Hybrid!P54</f>
        <v>0.18115078770000001</v>
      </c>
      <c r="R351" s="5">
        <f>[1]Hybrid!Q54</f>
        <v>0.18190095349999999</v>
      </c>
      <c r="S351" s="5">
        <f>[1]Hybrid!R54</f>
        <v>0.1823998654</v>
      </c>
      <c r="T351" s="5">
        <f>[1]Hybrid!S54</f>
        <v>0.18264995240000001</v>
      </c>
      <c r="U351" s="5">
        <f>[1]Hybrid!T54</f>
        <v>0.18265593920000001</v>
      </c>
      <c r="V351" s="5">
        <f>[1]Hybrid!U54</f>
        <v>0.1824234136</v>
      </c>
      <c r="W351" s="5">
        <f>[1]Hybrid!V54</f>
        <v>0.18194003650000001</v>
      </c>
      <c r="X351" s="5">
        <f>[1]Hybrid!W54</f>
        <v>0.18123272700000001</v>
      </c>
      <c r="Y351" s="5">
        <f>[1]Hybrid!X54</f>
        <v>0.18031015810000001</v>
      </c>
      <c r="Z351" s="5">
        <f>[1]Hybrid!Y54</f>
        <v>0.17918058889999999</v>
      </c>
      <c r="AA351" s="5">
        <f>[1]Hybrid!Z54</f>
        <v>0.17785203890000001</v>
      </c>
      <c r="AB351" s="5">
        <f>[1]Hybrid!AA54</f>
        <v>0.17628640340000001</v>
      </c>
      <c r="AC351" s="5">
        <f>[1]Hybrid!AB54</f>
        <v>0.17452994960000001</v>
      </c>
      <c r="AD351" s="5">
        <f>[1]Hybrid!AC54</f>
        <v>0.17260044329999999</v>
      </c>
      <c r="AE351" s="5">
        <f>[1]Hybrid!AD54</f>
        <v>0.17051353189999999</v>
      </c>
      <c r="AF351" s="5">
        <f>[1]Hybrid!AE54</f>
        <v>0.16828174409999999</v>
      </c>
      <c r="AG351" s="5">
        <f>[1]Hybrid!AF54</f>
        <v>0.1659151717</v>
      </c>
      <c r="AH351" s="5">
        <f>[1]Hybrid!AG54</f>
        <v>0.16342255389999999</v>
      </c>
      <c r="AI351" s="5">
        <f>[1]Hybrid!AH54</f>
        <v>0.1608122746</v>
      </c>
      <c r="AJ351" s="5">
        <f>[1]Hybrid!AI54</f>
        <v>0.15809295840000001</v>
      </c>
      <c r="AK351" s="5">
        <f>[1]Hybrid!AJ54</f>
        <v>0.15527359339999999</v>
      </c>
      <c r="AL351" s="5">
        <f>[1]Hybrid!AK54</f>
        <v>0.15236330670000001</v>
      </c>
    </row>
    <row r="352" spans="2:3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7.5433085900000002E-2</v>
      </c>
      <c r="E352" s="5">
        <f>[1]Hybrid!D56</f>
        <v>7.6481592900000006E-2</v>
      </c>
      <c r="F352" s="5">
        <f>[1]Hybrid!E56</f>
        <v>7.7530963199999997E-2</v>
      </c>
      <c r="G352" s="5">
        <f>[1]Hybrid!F56</f>
        <v>7.84512188E-2</v>
      </c>
      <c r="H352" s="5">
        <f>[1]Hybrid!G56</f>
        <v>7.9172768099999999E-2</v>
      </c>
      <c r="I352" s="5">
        <f>[1]Hybrid!H56</f>
        <v>7.9658329400000005E-2</v>
      </c>
      <c r="J352" s="5">
        <f>[1]Hybrid!I56</f>
        <v>7.9890238299999999E-2</v>
      </c>
      <c r="K352" s="5">
        <f>[1]Hybrid!J56</f>
        <v>7.9864950599999998E-2</v>
      </c>
      <c r="L352" s="5">
        <f>[1]Hybrid!K56</f>
        <v>7.9600424700000005E-2</v>
      </c>
      <c r="M352" s="5">
        <f>[1]Hybrid!L56</f>
        <v>7.9130992299999994E-2</v>
      </c>
      <c r="N352" s="5">
        <f>[1]Hybrid!M56</f>
        <v>7.8466386900000004E-2</v>
      </c>
      <c r="O352" s="5">
        <f>[1]Hybrid!N56</f>
        <v>7.7622702399999993E-2</v>
      </c>
      <c r="P352" s="5">
        <f>[1]Hybrid!O56</f>
        <v>7.6612105200000002E-2</v>
      </c>
      <c r="Q352" s="5">
        <f>[1]Hybrid!P56</f>
        <v>7.5445567099999999E-2</v>
      </c>
      <c r="R352" s="5">
        <f>[1]Hybrid!Q56</f>
        <v>7.4134785600000003E-2</v>
      </c>
      <c r="S352" s="5">
        <f>[1]Hybrid!R56</f>
        <v>7.2692963499999999E-2</v>
      </c>
      <c r="T352" s="5">
        <f>[1]Hybrid!S56</f>
        <v>7.1134644499999997E-2</v>
      </c>
      <c r="U352" s="5">
        <f>[1]Hybrid!T56</f>
        <v>6.94749952E-2</v>
      </c>
      <c r="V352" s="5">
        <f>[1]Hybrid!U56</f>
        <v>6.7728986199999994E-2</v>
      </c>
      <c r="W352" s="5">
        <f>[1]Hybrid!V56</f>
        <v>6.5906655999999994E-2</v>
      </c>
      <c r="X352" s="5">
        <f>[1]Hybrid!W56</f>
        <v>6.4025770800000006E-2</v>
      </c>
      <c r="Y352" s="5">
        <f>[1]Hybrid!X56</f>
        <v>6.2098909700000003E-2</v>
      </c>
      <c r="Z352" s="5">
        <f>[1]Hybrid!Y56</f>
        <v>6.0137384100000003E-2</v>
      </c>
      <c r="AA352" s="5">
        <f>[1]Hybrid!Z56</f>
        <v>5.8151270800000002E-2</v>
      </c>
      <c r="AB352" s="5">
        <f>[1]Hybrid!AA56</f>
        <v>5.6141625799999997E-2</v>
      </c>
      <c r="AC352" s="5">
        <f>[1]Hybrid!AB56</f>
        <v>5.41235984E-2</v>
      </c>
      <c r="AD352" s="5">
        <f>[1]Hybrid!AC56</f>
        <v>5.21069168E-2</v>
      </c>
      <c r="AE352" s="5">
        <f>[1]Hybrid!AD56</f>
        <v>5.01005042E-2</v>
      </c>
      <c r="AF352" s="5">
        <f>[1]Hybrid!AE56</f>
        <v>4.8112031399999998E-2</v>
      </c>
      <c r="AG352" s="5">
        <f>[1]Hybrid!AF56</f>
        <v>4.6147894199999998E-2</v>
      </c>
      <c r="AH352" s="5">
        <f>[1]Hybrid!AG56</f>
        <v>4.4213410500000001E-2</v>
      </c>
      <c r="AI352" s="5">
        <f>[1]Hybrid!AH56</f>
        <v>4.2313100100000001E-2</v>
      </c>
      <c r="AJ352" s="5">
        <f>[1]Hybrid!AI56</f>
        <v>4.0450921200000003E-2</v>
      </c>
      <c r="AK352" s="5">
        <f>[1]Hybrid!AJ56</f>
        <v>3.8630405E-2</v>
      </c>
      <c r="AL352" s="5">
        <f>[1]Hybrid!AK56</f>
        <v>3.6854688099999998E-2</v>
      </c>
    </row>
    <row r="353" spans="1:3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0.13614312840000001</v>
      </c>
      <c r="E353" s="5">
        <f>[1]Hybrid!D58</f>
        <v>0.1381479102</v>
      </c>
      <c r="F353" s="5">
        <f>[1]Hybrid!E58</f>
        <v>0.13992812360000001</v>
      </c>
      <c r="G353" s="5">
        <f>[1]Hybrid!F58</f>
        <v>0.1412367934</v>
      </c>
      <c r="H353" s="5">
        <f>[1]Hybrid!G58</f>
        <v>0.14195330819999999</v>
      </c>
      <c r="I353" s="5">
        <f>[1]Hybrid!H58</f>
        <v>0.1420273688</v>
      </c>
      <c r="J353" s="5">
        <f>[1]Hybrid!I58</f>
        <v>0.14144945510000001</v>
      </c>
      <c r="K353" s="5">
        <f>[1]Hybrid!J58</f>
        <v>0.14023825849999999</v>
      </c>
      <c r="L353" s="5">
        <f>[1]Hybrid!K58</f>
        <v>0.1384587595</v>
      </c>
      <c r="M353" s="5">
        <f>[1]Hybrid!L58</f>
        <v>0.1362065982</v>
      </c>
      <c r="N353" s="5">
        <f>[1]Hybrid!M58</f>
        <v>0.13354173150000001</v>
      </c>
      <c r="O353" s="5">
        <f>[1]Hybrid!N58</f>
        <v>0.13052817720000001</v>
      </c>
      <c r="P353" s="5">
        <f>[1]Hybrid!O58</f>
        <v>0.1272184576</v>
      </c>
      <c r="Q353" s="5">
        <f>[1]Hybrid!P58</f>
        <v>0.1236583466</v>
      </c>
      <c r="R353" s="5">
        <f>[1]Hybrid!Q58</f>
        <v>0.11989068529999999</v>
      </c>
      <c r="S353" s="5">
        <f>[1]Hybrid!R58</f>
        <v>0.1159572447</v>
      </c>
      <c r="T353" s="5">
        <f>[1]Hybrid!S58</f>
        <v>0.11189880419999999</v>
      </c>
      <c r="U353" s="5">
        <f>[1]Hybrid!T58</f>
        <v>0.107754165</v>
      </c>
      <c r="V353" s="5">
        <f>[1]Hybrid!U58</f>
        <v>0.10355895919999999</v>
      </c>
      <c r="W353" s="5">
        <f>[1]Hybrid!V58</f>
        <v>9.9340894700000001E-2</v>
      </c>
      <c r="X353" s="5">
        <f>[1]Hybrid!W58</f>
        <v>9.5131905700000005E-2</v>
      </c>
      <c r="Y353" s="5">
        <f>[1]Hybrid!X58</f>
        <v>9.0956138800000003E-2</v>
      </c>
      <c r="Z353" s="5">
        <f>[1]Hybrid!Y58</f>
        <v>8.6833937799999997E-2</v>
      </c>
      <c r="AA353" s="5">
        <f>[1]Hybrid!Z58</f>
        <v>8.2782176299999996E-2</v>
      </c>
      <c r="AB353" s="5">
        <f>[1]Hybrid!AA58</f>
        <v>7.8808819599999996E-2</v>
      </c>
      <c r="AC353" s="5">
        <f>[1]Hybrid!AB58</f>
        <v>7.4930825500000006E-2</v>
      </c>
      <c r="AD353" s="5">
        <f>[1]Hybrid!AC58</f>
        <v>7.1159542100000001E-2</v>
      </c>
      <c r="AE353" s="5">
        <f>[1]Hybrid!AD58</f>
        <v>6.7504325899999995E-2</v>
      </c>
      <c r="AF353" s="5">
        <f>[1]Hybrid!AE58</f>
        <v>6.3972231899999996E-2</v>
      </c>
      <c r="AG353" s="5">
        <f>[1]Hybrid!AF58</f>
        <v>6.0568129700000001E-2</v>
      </c>
      <c r="AH353" s="5">
        <f>[1]Hybrid!AG58</f>
        <v>5.7295043800000001E-2</v>
      </c>
      <c r="AI353" s="5">
        <f>[1]Hybrid!AH58</f>
        <v>5.41545576E-2</v>
      </c>
      <c r="AJ353" s="5">
        <f>[1]Hybrid!AI58</f>
        <v>5.11471545E-2</v>
      </c>
      <c r="AK353" s="5">
        <f>[1]Hybrid!AJ58</f>
        <v>4.8272446599999998E-2</v>
      </c>
      <c r="AL353" s="5">
        <f>[1]Hybrid!AK58</f>
        <v>4.5529305499999999E-2</v>
      </c>
    </row>
    <row r="355" spans="1:3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</row>
    <row r="356" spans="1:38" x14ac:dyDescent="0.3">
      <c r="A356" t="s">
        <v>27</v>
      </c>
      <c r="B356" t="s">
        <v>70</v>
      </c>
      <c r="C356" s="6">
        <f t="shared" ref="C356:AL356" si="82">C333+C347+C340</f>
        <v>7105.9689965623002</v>
      </c>
      <c r="D356" s="6">
        <f t="shared" si="82"/>
        <v>7168.8964570502003</v>
      </c>
      <c r="E356" s="6">
        <f t="shared" si="82"/>
        <v>7280.5231006349004</v>
      </c>
      <c r="F356" s="6">
        <f t="shared" si="82"/>
        <v>7420.1661728946001</v>
      </c>
      <c r="G356" s="6">
        <f t="shared" si="82"/>
        <v>7575.9456867682002</v>
      </c>
      <c r="H356" s="6">
        <f t="shared" si="82"/>
        <v>7741.7649257210005</v>
      </c>
      <c r="I356" s="6">
        <f t="shared" si="82"/>
        <v>7914.3658653517996</v>
      </c>
      <c r="J356" s="6">
        <f t="shared" si="82"/>
        <v>8092.5942155673001</v>
      </c>
      <c r="K356" s="6">
        <f t="shared" si="82"/>
        <v>8277.0512161617007</v>
      </c>
      <c r="L356" s="6">
        <f t="shared" si="82"/>
        <v>8469.2991155100008</v>
      </c>
      <c r="M356" s="6">
        <f t="shared" si="82"/>
        <v>8671.7229473345014</v>
      </c>
      <c r="N356" s="6">
        <f t="shared" si="82"/>
        <v>8881.0730718529994</v>
      </c>
      <c r="O356" s="6">
        <f t="shared" si="82"/>
        <v>9095.5546623186001</v>
      </c>
      <c r="P356" s="6">
        <f t="shared" si="82"/>
        <v>9313.3131333604997</v>
      </c>
      <c r="Q356" s="6">
        <f t="shared" si="82"/>
        <v>9532.9261971260003</v>
      </c>
      <c r="R356" s="6">
        <f t="shared" si="82"/>
        <v>9753.5227085387996</v>
      </c>
      <c r="S356" s="6">
        <f t="shared" si="82"/>
        <v>9974.6447209784001</v>
      </c>
      <c r="T356" s="6">
        <f t="shared" si="82"/>
        <v>10196.021495279399</v>
      </c>
      <c r="U356" s="6">
        <f t="shared" si="82"/>
        <v>10417.385566328101</v>
      </c>
      <c r="V356" s="6">
        <f t="shared" si="82"/>
        <v>10638.3986917781</v>
      </c>
      <c r="W356" s="6">
        <f t="shared" si="82"/>
        <v>10857.001452005299</v>
      </c>
      <c r="X356" s="6">
        <f t="shared" si="82"/>
        <v>11074.8467608262</v>
      </c>
      <c r="Y356" s="6">
        <f t="shared" si="82"/>
        <v>11291.854450626</v>
      </c>
      <c r="Z356" s="6">
        <f t="shared" si="82"/>
        <v>11507.975490133</v>
      </c>
      <c r="AA356" s="6">
        <f t="shared" si="82"/>
        <v>11723.261541607</v>
      </c>
      <c r="AB356" s="6">
        <f t="shared" si="82"/>
        <v>11932.616941879</v>
      </c>
      <c r="AC356" s="6">
        <f t="shared" si="82"/>
        <v>12140.564707513002</v>
      </c>
      <c r="AD356" s="6">
        <f t="shared" si="82"/>
        <v>12348.141808330998</v>
      </c>
      <c r="AE356" s="6">
        <f t="shared" si="82"/>
        <v>12555.901969338</v>
      </c>
      <c r="AF356" s="6">
        <f t="shared" si="82"/>
        <v>12763.979633549001</v>
      </c>
      <c r="AG356" s="6">
        <f t="shared" si="82"/>
        <v>12972.332674716999</v>
      </c>
      <c r="AH356" s="6">
        <f t="shared" si="82"/>
        <v>13180.955331126999</v>
      </c>
      <c r="AI356" s="6">
        <f t="shared" si="82"/>
        <v>13389.993389105</v>
      </c>
      <c r="AJ356" s="6">
        <f t="shared" si="82"/>
        <v>13599.749568121999</v>
      </c>
      <c r="AK356" s="6">
        <f t="shared" si="82"/>
        <v>13810.611988561001</v>
      </c>
      <c r="AL356" s="6">
        <f t="shared" si="82"/>
        <v>14022.957795916</v>
      </c>
    </row>
    <row r="357" spans="1:38" x14ac:dyDescent="0.3">
      <c r="B357" t="s">
        <v>71</v>
      </c>
      <c r="C357" s="6">
        <f t="shared" ref="C357:AL357" si="83">C334+C348+C341</f>
        <v>8263.1971436354015</v>
      </c>
      <c r="D357" s="6">
        <f t="shared" si="83"/>
        <v>8210.9970712949998</v>
      </c>
      <c r="E357" s="6">
        <f t="shared" si="83"/>
        <v>8213.388734214599</v>
      </c>
      <c r="F357" s="6">
        <f t="shared" si="83"/>
        <v>8249.6256188425014</v>
      </c>
      <c r="G357" s="6">
        <f t="shared" si="83"/>
        <v>8307.5193743681994</v>
      </c>
      <c r="H357" s="6">
        <f t="shared" si="83"/>
        <v>8380.5036448928004</v>
      </c>
      <c r="I357" s="6">
        <f t="shared" si="83"/>
        <v>8464.7960469555983</v>
      </c>
      <c r="J357" s="6">
        <f t="shared" si="83"/>
        <v>8558.6512150021008</v>
      </c>
      <c r="K357" s="6">
        <f t="shared" si="83"/>
        <v>8662.0031184616</v>
      </c>
      <c r="L357" s="6">
        <f t="shared" si="83"/>
        <v>8775.8010037413987</v>
      </c>
      <c r="M357" s="6">
        <f t="shared" si="83"/>
        <v>8901.8735864991995</v>
      </c>
      <c r="N357" s="6">
        <f t="shared" si="83"/>
        <v>9036.8340176162983</v>
      </c>
      <c r="O357" s="6">
        <f t="shared" si="83"/>
        <v>9178.6956062552999</v>
      </c>
      <c r="P357" s="6">
        <f t="shared" si="83"/>
        <v>9325.4255279298995</v>
      </c>
      <c r="Q357" s="6">
        <f t="shared" si="83"/>
        <v>9475.4004387953992</v>
      </c>
      <c r="R357" s="6">
        <f t="shared" si="83"/>
        <v>9627.5232109176013</v>
      </c>
      <c r="S357" s="6">
        <f t="shared" si="83"/>
        <v>9781.1044451467005</v>
      </c>
      <c r="T357" s="6">
        <f t="shared" si="83"/>
        <v>9935.6604585883015</v>
      </c>
      <c r="U357" s="6">
        <f t="shared" si="83"/>
        <v>10090.744554229399</v>
      </c>
      <c r="V357" s="6">
        <f t="shared" si="83"/>
        <v>10245.873400418201</v>
      </c>
      <c r="W357" s="6">
        <f t="shared" si="83"/>
        <v>10399.016178420599</v>
      </c>
      <c r="X357" s="6">
        <f t="shared" si="83"/>
        <v>10551.5258948919</v>
      </c>
      <c r="Y357" s="6">
        <f t="shared" si="83"/>
        <v>10703.189264005799</v>
      </c>
      <c r="Z357" s="6">
        <f t="shared" si="83"/>
        <v>10853.822335080398</v>
      </c>
      <c r="AA357" s="6">
        <f t="shared" si="83"/>
        <v>11003.326296718</v>
      </c>
      <c r="AB357" s="6">
        <f t="shared" si="83"/>
        <v>11147.005491295</v>
      </c>
      <c r="AC357" s="6">
        <f t="shared" si="83"/>
        <v>11288.751114631001</v>
      </c>
      <c r="AD357" s="6">
        <f t="shared" si="83"/>
        <v>11429.363964732</v>
      </c>
      <c r="AE357" s="6">
        <f t="shared" si="83"/>
        <v>11569.241590227999</v>
      </c>
      <c r="AF357" s="6">
        <f t="shared" si="83"/>
        <v>11708.421148762998</v>
      </c>
      <c r="AG357" s="6">
        <f t="shared" si="83"/>
        <v>11846.780521301</v>
      </c>
      <c r="AH357" s="6">
        <f t="shared" si="83"/>
        <v>11984.218173124002</v>
      </c>
      <c r="AI357" s="6">
        <f t="shared" si="83"/>
        <v>12120.754157935</v>
      </c>
      <c r="AJ357" s="6">
        <f t="shared" si="83"/>
        <v>12256.540113408999</v>
      </c>
      <c r="AK357" s="6">
        <f t="shared" si="83"/>
        <v>12391.804094285</v>
      </c>
      <c r="AL357" s="6">
        <f t="shared" si="83"/>
        <v>12526.772491491</v>
      </c>
    </row>
    <row r="358" spans="1:38" x14ac:dyDescent="0.3">
      <c r="B358" t="s">
        <v>72</v>
      </c>
      <c r="C358" s="6">
        <f t="shared" ref="C358:AL358" si="84">C335+C349+C342</f>
        <v>6787.4105911386005</v>
      </c>
      <c r="D358" s="6">
        <f t="shared" si="84"/>
        <v>6667.8720733991995</v>
      </c>
      <c r="E358" s="6">
        <f t="shared" si="84"/>
        <v>6591.9770375149992</v>
      </c>
      <c r="F358" s="6">
        <f t="shared" si="84"/>
        <v>6544.7205990802004</v>
      </c>
      <c r="G358" s="6">
        <f t="shared" si="84"/>
        <v>6517.0997089737002</v>
      </c>
      <c r="H358" s="6">
        <f t="shared" si="84"/>
        <v>6504.0546939032993</v>
      </c>
      <c r="I358" s="6">
        <f t="shared" si="84"/>
        <v>6502.4969053339</v>
      </c>
      <c r="J358" s="6">
        <f t="shared" si="84"/>
        <v>6510.7638068879996</v>
      </c>
      <c r="K358" s="6">
        <f t="shared" si="84"/>
        <v>6528.3560581087004</v>
      </c>
      <c r="L358" s="6">
        <f t="shared" si="84"/>
        <v>6555.5429705795996</v>
      </c>
      <c r="M358" s="6">
        <f t="shared" si="84"/>
        <v>6593.2650581940998</v>
      </c>
      <c r="N358" s="6">
        <f t="shared" si="84"/>
        <v>6638.9841704572</v>
      </c>
      <c r="O358" s="6">
        <f t="shared" si="84"/>
        <v>6691.1352618696001</v>
      </c>
      <c r="P358" s="6">
        <f t="shared" si="84"/>
        <v>6748.1308434303992</v>
      </c>
      <c r="Q358" s="6">
        <f t="shared" si="84"/>
        <v>6808.6654094791002</v>
      </c>
      <c r="R358" s="6">
        <f t="shared" si="84"/>
        <v>6871.7980045811</v>
      </c>
      <c r="S358" s="6">
        <f t="shared" si="84"/>
        <v>6936.8792168760001</v>
      </c>
      <c r="T358" s="6">
        <f t="shared" si="84"/>
        <v>7003.4208327004999</v>
      </c>
      <c r="U358" s="6">
        <f t="shared" si="84"/>
        <v>7070.9838631602006</v>
      </c>
      <c r="V358" s="6">
        <f t="shared" si="84"/>
        <v>7139.1257866284996</v>
      </c>
      <c r="W358" s="6">
        <f t="shared" si="84"/>
        <v>7206.4024907051999</v>
      </c>
      <c r="X358" s="6">
        <f t="shared" si="84"/>
        <v>7273.5971586928999</v>
      </c>
      <c r="Y358" s="6">
        <f t="shared" si="84"/>
        <v>7340.4736008411001</v>
      </c>
      <c r="Z358" s="6">
        <f t="shared" si="84"/>
        <v>7406.8175189247004</v>
      </c>
      <c r="AA358" s="6">
        <f t="shared" si="84"/>
        <v>7472.4685153972005</v>
      </c>
      <c r="AB358" s="6">
        <f t="shared" si="84"/>
        <v>7534.3058095219003</v>
      </c>
      <c r="AC358" s="6">
        <f t="shared" si="84"/>
        <v>7594.7429062586007</v>
      </c>
      <c r="AD358" s="6">
        <f t="shared" si="84"/>
        <v>7654.2180712501004</v>
      </c>
      <c r="AE358" s="6">
        <f t="shared" si="84"/>
        <v>7712.9290797473004</v>
      </c>
      <c r="AF358" s="6">
        <f t="shared" si="84"/>
        <v>7770.8517400646997</v>
      </c>
      <c r="AG358" s="6">
        <f t="shared" si="84"/>
        <v>7827.8597210257994</v>
      </c>
      <c r="AH358" s="6">
        <f t="shared" si="84"/>
        <v>7883.8343880108005</v>
      </c>
      <c r="AI358" s="6">
        <f t="shared" si="84"/>
        <v>7938.7288780360996</v>
      </c>
      <c r="AJ358" s="6">
        <f t="shared" si="84"/>
        <v>7992.5778650683005</v>
      </c>
      <c r="AK358" s="6">
        <f t="shared" si="84"/>
        <v>8045.4672531258993</v>
      </c>
      <c r="AL358" s="6">
        <f t="shared" si="84"/>
        <v>8097.4885037194999</v>
      </c>
    </row>
    <row r="359" spans="1:38" x14ac:dyDescent="0.3">
      <c r="B359" t="s">
        <v>73</v>
      </c>
      <c r="C359" s="6">
        <f t="shared" ref="C359:AL359" si="85">C336+C350+C343</f>
        <v>4165.6835237371006</v>
      </c>
      <c r="D359" s="6">
        <f t="shared" si="85"/>
        <v>4067.0950538055999</v>
      </c>
      <c r="E359" s="6">
        <f t="shared" si="85"/>
        <v>3993.6312061017002</v>
      </c>
      <c r="F359" s="6">
        <f t="shared" si="85"/>
        <v>3936.4376198512</v>
      </c>
      <c r="G359" s="6">
        <f t="shared" si="85"/>
        <v>3890.1103284392998</v>
      </c>
      <c r="H359" s="6">
        <f t="shared" si="85"/>
        <v>3851.4969073909001</v>
      </c>
      <c r="I359" s="6">
        <f t="shared" si="85"/>
        <v>3818.5873303308999</v>
      </c>
      <c r="J359" s="6">
        <f t="shared" si="85"/>
        <v>3790.1536675984999</v>
      </c>
      <c r="K359" s="6">
        <f t="shared" si="85"/>
        <v>3765.5818792612999</v>
      </c>
      <c r="L359" s="6">
        <f t="shared" si="85"/>
        <v>3744.8051909790997</v>
      </c>
      <c r="M359" s="6">
        <f t="shared" si="85"/>
        <v>3728.2304056753997</v>
      </c>
      <c r="N359" s="6">
        <f t="shared" si="85"/>
        <v>3714.5917514452999</v>
      </c>
      <c r="O359" s="6">
        <f t="shared" si="85"/>
        <v>3703.1227222754001</v>
      </c>
      <c r="P359" s="6">
        <f t="shared" si="85"/>
        <v>3693.0233642725998</v>
      </c>
      <c r="Q359" s="6">
        <f t="shared" si="85"/>
        <v>3683.6098045117001</v>
      </c>
      <c r="R359" s="6">
        <f t="shared" si="85"/>
        <v>3674.3688804317999</v>
      </c>
      <c r="S359" s="6">
        <f t="shared" si="85"/>
        <v>3664.9409338552</v>
      </c>
      <c r="T359" s="6">
        <f t="shared" si="85"/>
        <v>3655.0701041461002</v>
      </c>
      <c r="U359" s="6">
        <f t="shared" si="85"/>
        <v>3644.5539437247003</v>
      </c>
      <c r="V359" s="6">
        <f t="shared" si="85"/>
        <v>3633.2119689014999</v>
      </c>
      <c r="W359" s="6">
        <f t="shared" si="85"/>
        <v>3620.4353597631002</v>
      </c>
      <c r="X359" s="6">
        <f t="shared" si="85"/>
        <v>3606.5925821249998</v>
      </c>
      <c r="Y359" s="6">
        <f t="shared" si="85"/>
        <v>3591.6087499447999</v>
      </c>
      <c r="Z359" s="6">
        <f t="shared" si="85"/>
        <v>3575.4131505914997</v>
      </c>
      <c r="AA359" s="6">
        <f t="shared" si="85"/>
        <v>3557.9470280547998</v>
      </c>
      <c r="AB359" s="6">
        <f t="shared" si="85"/>
        <v>3537.9452794606</v>
      </c>
      <c r="AC359" s="6">
        <f t="shared" si="85"/>
        <v>3516.3907874439997</v>
      </c>
      <c r="AD359" s="6">
        <f t="shared" si="85"/>
        <v>3493.4884708216996</v>
      </c>
      <c r="AE359" s="6">
        <f t="shared" si="85"/>
        <v>3469.372789689</v>
      </c>
      <c r="AF359" s="6">
        <f t="shared" si="85"/>
        <v>3444.0978145130998</v>
      </c>
      <c r="AG359" s="6">
        <f t="shared" si="85"/>
        <v>3417.6693458625004</v>
      </c>
      <c r="AH359" s="6">
        <f t="shared" si="85"/>
        <v>3390.0803792275001</v>
      </c>
      <c r="AI359" s="6">
        <f t="shared" si="85"/>
        <v>3361.3368770766001</v>
      </c>
      <c r="AJ359" s="6">
        <f t="shared" si="85"/>
        <v>3331.4680889312999</v>
      </c>
      <c r="AK359" s="6">
        <f t="shared" si="85"/>
        <v>3300.5230067803004</v>
      </c>
      <c r="AL359" s="6">
        <f t="shared" si="85"/>
        <v>3268.5590274032002</v>
      </c>
    </row>
    <row r="360" spans="1:38" x14ac:dyDescent="0.3">
      <c r="B360" t="s">
        <v>74</v>
      </c>
      <c r="C360" s="6">
        <f t="shared" ref="C360:AL360" si="86">C337+C351+C344</f>
        <v>2507.3524895615005</v>
      </c>
      <c r="D360" s="6">
        <f t="shared" si="86"/>
        <v>2450.4827209564</v>
      </c>
      <c r="E360" s="6">
        <f t="shared" si="86"/>
        <v>2407.9146154036998</v>
      </c>
      <c r="F360" s="6">
        <f t="shared" si="86"/>
        <v>2374.0527327489999</v>
      </c>
      <c r="G360" s="6">
        <f t="shared" si="86"/>
        <v>2345.4882297994</v>
      </c>
      <c r="H360" s="6">
        <f t="shared" si="86"/>
        <v>2320.2305472912003</v>
      </c>
      <c r="I360" s="6">
        <f t="shared" si="86"/>
        <v>2297.0170532646998</v>
      </c>
      <c r="J360" s="6">
        <f t="shared" si="86"/>
        <v>2275.0620414694004</v>
      </c>
      <c r="K360" s="6">
        <f t="shared" si="86"/>
        <v>2253.9414695675</v>
      </c>
      <c r="L360" s="6">
        <f t="shared" si="86"/>
        <v>2233.6238160869998</v>
      </c>
      <c r="M360" s="6">
        <f t="shared" si="86"/>
        <v>2214.4108595460002</v>
      </c>
      <c r="N360" s="6">
        <f t="shared" si="86"/>
        <v>2195.6955617620997</v>
      </c>
      <c r="O360" s="6">
        <f t="shared" si="86"/>
        <v>2177.1512142622005</v>
      </c>
      <c r="P360" s="6">
        <f t="shared" si="86"/>
        <v>2158.4170786508002</v>
      </c>
      <c r="Q360" s="6">
        <f t="shared" si="86"/>
        <v>2139.1823383777005</v>
      </c>
      <c r="R360" s="6">
        <f t="shared" si="86"/>
        <v>2119.2236633235002</v>
      </c>
      <c r="S360" s="6">
        <f t="shared" si="86"/>
        <v>2098.4042227154</v>
      </c>
      <c r="T360" s="6">
        <f t="shared" si="86"/>
        <v>2076.6520057723997</v>
      </c>
      <c r="U360" s="6">
        <f t="shared" si="86"/>
        <v>2053.9331086491998</v>
      </c>
      <c r="V360" s="6">
        <f t="shared" si="86"/>
        <v>2030.2313047036</v>
      </c>
      <c r="W360" s="6">
        <f t="shared" si="86"/>
        <v>2005.3184888465</v>
      </c>
      <c r="X360" s="6">
        <f t="shared" si="86"/>
        <v>1979.4474083969999</v>
      </c>
      <c r="Y360" s="6">
        <f t="shared" si="86"/>
        <v>1952.6484177580999</v>
      </c>
      <c r="Z360" s="6">
        <f t="shared" si="86"/>
        <v>1924.9481060889</v>
      </c>
      <c r="AA360" s="6">
        <f t="shared" si="86"/>
        <v>1896.3712015489</v>
      </c>
      <c r="AB360" s="6">
        <f t="shared" si="86"/>
        <v>1866.3817146833999</v>
      </c>
      <c r="AC360" s="6">
        <f t="shared" si="86"/>
        <v>1835.4791553496</v>
      </c>
      <c r="AD360" s="6">
        <f t="shared" si="86"/>
        <v>1803.8107371133001</v>
      </c>
      <c r="AE360" s="6">
        <f t="shared" si="86"/>
        <v>1771.4984250119001</v>
      </c>
      <c r="AF360" s="6">
        <f t="shared" si="86"/>
        <v>1738.6274657641002</v>
      </c>
      <c r="AG360" s="6">
        <f t="shared" si="86"/>
        <v>1705.2556285016999</v>
      </c>
      <c r="AH360" s="6">
        <f t="shared" si="86"/>
        <v>1671.4271433239001</v>
      </c>
      <c r="AI360" s="6">
        <f t="shared" si="86"/>
        <v>1637.1852697245999</v>
      </c>
      <c r="AJ360" s="6">
        <f t="shared" si="86"/>
        <v>1602.5796080683999</v>
      </c>
      <c r="AK360" s="6">
        <f t="shared" si="86"/>
        <v>1567.6673496733997</v>
      </c>
      <c r="AL360" s="6">
        <f t="shared" si="86"/>
        <v>1532.5101221566999</v>
      </c>
    </row>
    <row r="361" spans="1:38" x14ac:dyDescent="0.3">
      <c r="B361" t="s">
        <v>75</v>
      </c>
      <c r="C361" s="6">
        <f t="shared" ref="C361:AL361" si="87">C338+C352+C345</f>
        <v>1245.466605953</v>
      </c>
      <c r="D361" s="6">
        <f t="shared" si="87"/>
        <v>1214.5318220569</v>
      </c>
      <c r="E361" s="6">
        <f t="shared" si="87"/>
        <v>1189.3502253359002</v>
      </c>
      <c r="F361" s="6">
        <f t="shared" si="87"/>
        <v>1166.9557692291999</v>
      </c>
      <c r="G361" s="6">
        <f t="shared" si="87"/>
        <v>1145.5745183898</v>
      </c>
      <c r="H361" s="6">
        <f t="shared" si="87"/>
        <v>1124.1983898601002</v>
      </c>
      <c r="I361" s="6">
        <f t="shared" si="87"/>
        <v>1102.2332884754001</v>
      </c>
      <c r="J361" s="6">
        <f t="shared" si="87"/>
        <v>1079.3331181463002</v>
      </c>
      <c r="K361" s="6">
        <f t="shared" si="87"/>
        <v>1055.3278306056</v>
      </c>
      <c r="L361" s="6">
        <f t="shared" si="87"/>
        <v>1030.3171316926998</v>
      </c>
      <c r="M361" s="6">
        <f t="shared" si="87"/>
        <v>1004.6047801082999</v>
      </c>
      <c r="N361" s="6">
        <f t="shared" si="87"/>
        <v>978.20241919289992</v>
      </c>
      <c r="O361" s="6">
        <f t="shared" si="87"/>
        <v>951.20654039140004</v>
      </c>
      <c r="P361" s="6">
        <f t="shared" si="87"/>
        <v>923.67279094720004</v>
      </c>
      <c r="Q361" s="6">
        <f t="shared" si="87"/>
        <v>895.64883354009999</v>
      </c>
      <c r="R361" s="6">
        <f t="shared" si="87"/>
        <v>867.19676406760004</v>
      </c>
      <c r="S361" s="6">
        <f t="shared" si="87"/>
        <v>838.40145664149998</v>
      </c>
      <c r="T361" s="6">
        <f t="shared" si="87"/>
        <v>809.36752573050001</v>
      </c>
      <c r="U361" s="6">
        <f t="shared" si="87"/>
        <v>780.20984426919995</v>
      </c>
      <c r="V361" s="6">
        <f t="shared" si="87"/>
        <v>751.04314325120004</v>
      </c>
      <c r="W361" s="6">
        <f t="shared" si="87"/>
        <v>721.92472699700011</v>
      </c>
      <c r="X361" s="6">
        <f t="shared" si="87"/>
        <v>693.00756684780004</v>
      </c>
      <c r="Y361" s="6">
        <f t="shared" si="87"/>
        <v>664.38325352870004</v>
      </c>
      <c r="Z361" s="6">
        <f t="shared" si="87"/>
        <v>636.13008520109997</v>
      </c>
      <c r="AA361" s="6">
        <f t="shared" si="87"/>
        <v>608.31359859979989</v>
      </c>
      <c r="AB361" s="6">
        <f t="shared" si="87"/>
        <v>580.89266921679996</v>
      </c>
      <c r="AC361" s="6">
        <f t="shared" si="87"/>
        <v>554.00000791339994</v>
      </c>
      <c r="AD361" s="6">
        <f t="shared" si="87"/>
        <v>527.70395235579997</v>
      </c>
      <c r="AE361" s="6">
        <f t="shared" si="87"/>
        <v>502.0651549172</v>
      </c>
      <c r="AF361" s="6">
        <f t="shared" si="87"/>
        <v>477.13121430040007</v>
      </c>
      <c r="AG361" s="6">
        <f t="shared" si="87"/>
        <v>452.93649587620001</v>
      </c>
      <c r="AH361" s="6">
        <f t="shared" si="87"/>
        <v>429.50460124849997</v>
      </c>
      <c r="AI361" s="6">
        <f t="shared" si="87"/>
        <v>406.85177092909998</v>
      </c>
      <c r="AJ361" s="6">
        <f t="shared" si="87"/>
        <v>384.98972420019999</v>
      </c>
      <c r="AK361" s="6">
        <f t="shared" si="87"/>
        <v>363.92720441999995</v>
      </c>
      <c r="AL361" s="6">
        <f t="shared" si="87"/>
        <v>343.67028361110005</v>
      </c>
    </row>
    <row r="362" spans="1:38" x14ac:dyDescent="0.3">
      <c r="B362" t="s">
        <v>76</v>
      </c>
      <c r="C362" s="6">
        <f t="shared" ref="C362:AL362" si="88">C339+C353+C346</f>
        <v>2242.8616504070001</v>
      </c>
      <c r="D362" s="6">
        <f t="shared" si="88"/>
        <v>2190.7784343653998</v>
      </c>
      <c r="E362" s="6">
        <f t="shared" si="88"/>
        <v>2146.7778280532002</v>
      </c>
      <c r="F362" s="6">
        <f t="shared" si="88"/>
        <v>2105.0624664915999</v>
      </c>
      <c r="G362" s="6">
        <f t="shared" si="88"/>
        <v>2062.3236244253999</v>
      </c>
      <c r="H362" s="6">
        <f t="shared" si="88"/>
        <v>2016.8417295222002</v>
      </c>
      <c r="I362" s="6">
        <f t="shared" si="88"/>
        <v>1967.7836434088001</v>
      </c>
      <c r="J362" s="6">
        <f t="shared" si="88"/>
        <v>1914.8231673921</v>
      </c>
      <c r="K362" s="6">
        <f t="shared" si="88"/>
        <v>1857.9804051055</v>
      </c>
      <c r="L362" s="6">
        <f t="shared" si="88"/>
        <v>1797.8467066795001</v>
      </c>
      <c r="M362" s="6">
        <f t="shared" si="88"/>
        <v>1735.3883191882001</v>
      </c>
      <c r="N362" s="6">
        <f t="shared" si="88"/>
        <v>1671.1423597214998</v>
      </c>
      <c r="O362" s="6">
        <f t="shared" si="88"/>
        <v>1605.7015163271999</v>
      </c>
      <c r="P362" s="6">
        <f t="shared" si="88"/>
        <v>1539.5250766476001</v>
      </c>
      <c r="Q362" s="6">
        <f t="shared" si="88"/>
        <v>1472.9970975465999</v>
      </c>
      <c r="R362" s="6">
        <f t="shared" si="88"/>
        <v>1406.4722779653</v>
      </c>
      <c r="S362" s="6">
        <f t="shared" si="88"/>
        <v>1340.2977047746999</v>
      </c>
      <c r="T362" s="6">
        <f t="shared" si="88"/>
        <v>1274.8130144542001</v>
      </c>
      <c r="U362" s="6">
        <f t="shared" si="88"/>
        <v>1210.3379961449998</v>
      </c>
      <c r="V362" s="6">
        <f t="shared" si="88"/>
        <v>1147.1581588192</v>
      </c>
      <c r="W362" s="6">
        <f t="shared" si="88"/>
        <v>1085.4677268446999</v>
      </c>
      <c r="X362" s="6">
        <f t="shared" si="88"/>
        <v>1025.5170801257</v>
      </c>
      <c r="Y362" s="6">
        <f t="shared" si="88"/>
        <v>967.46707399880006</v>
      </c>
      <c r="Z362" s="6">
        <f t="shared" si="88"/>
        <v>911.43821022779991</v>
      </c>
      <c r="AA362" s="6">
        <f t="shared" si="88"/>
        <v>857.51501204630006</v>
      </c>
      <c r="AB362" s="6">
        <f t="shared" si="88"/>
        <v>805.68060956960005</v>
      </c>
      <c r="AC362" s="6">
        <f t="shared" si="88"/>
        <v>756.03399982550002</v>
      </c>
      <c r="AD362" s="6">
        <f t="shared" si="88"/>
        <v>708.61176356010003</v>
      </c>
      <c r="AE362" s="6">
        <f t="shared" si="88"/>
        <v>663.43238444489998</v>
      </c>
      <c r="AF362" s="6">
        <f t="shared" si="88"/>
        <v>620.49243792289997</v>
      </c>
      <c r="AG362" s="6">
        <f t="shared" si="88"/>
        <v>579.76794593269994</v>
      </c>
      <c r="AH362" s="6">
        <f t="shared" si="88"/>
        <v>541.21842380880003</v>
      </c>
      <c r="AI362" s="6">
        <f t="shared" si="88"/>
        <v>504.79162435559999</v>
      </c>
      <c r="AJ362" s="6">
        <f t="shared" si="88"/>
        <v>470.42746949849999</v>
      </c>
      <c r="AK362" s="6">
        <f t="shared" si="88"/>
        <v>438.06057583259997</v>
      </c>
      <c r="AL362" s="6">
        <f t="shared" si="88"/>
        <v>407.62156389950002</v>
      </c>
    </row>
    <row r="364" spans="1:3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7153.1293370000003</v>
      </c>
      <c r="E364" s="6">
        <f>[1]Hybrid!D19</f>
        <v>7258.5962079999999</v>
      </c>
      <c r="F364" s="6">
        <f>[1]Hybrid!E19</f>
        <v>7391.3178520000001</v>
      </c>
      <c r="G364" s="6">
        <f>[1]Hybrid!F19</f>
        <v>7539.1485720000001</v>
      </c>
      <c r="H364" s="6">
        <f>[1]Hybrid!G19</f>
        <v>7695.5937000000004</v>
      </c>
      <c r="I364" s="6">
        <f>[1]Hybrid!H19</f>
        <v>7856.3300360000003</v>
      </c>
      <c r="J364" s="6">
        <f>[1]Hybrid!I19</f>
        <v>8020.3204450000003</v>
      </c>
      <c r="K364" s="6">
        <f>[1]Hybrid!J19</f>
        <v>8187.1261539999996</v>
      </c>
      <c r="L364" s="6">
        <f>[1]Hybrid!K19</f>
        <v>8356.3430690000005</v>
      </c>
      <c r="M364" s="6">
        <f>[1]Hybrid!L19</f>
        <v>8529.1123260000004</v>
      </c>
      <c r="N364" s="6">
        <f>[1]Hybrid!M19</f>
        <v>8702.2499680000001</v>
      </c>
      <c r="O364" s="6">
        <f>[1]Hybrid!N19</f>
        <v>8874.8043969999999</v>
      </c>
      <c r="P364" s="6">
        <f>[1]Hybrid!O19</f>
        <v>9046.0390320000006</v>
      </c>
      <c r="Q364" s="6">
        <f>[1]Hybrid!P19</f>
        <v>9215.5069509999994</v>
      </c>
      <c r="R364" s="6">
        <f>[1]Hybrid!Q19</f>
        <v>9382.85635</v>
      </c>
      <c r="S364" s="6">
        <f>[1]Hybrid!R19</f>
        <v>9547.6247299999995</v>
      </c>
      <c r="T364" s="6">
        <f>[1]Hybrid!S19</f>
        <v>9709.1338460000006</v>
      </c>
      <c r="U364" s="6">
        <f>[1]Hybrid!T19</f>
        <v>9866.5035709999993</v>
      </c>
      <c r="V364" s="6">
        <f>[1]Hybrid!U19</f>
        <v>10018.74483</v>
      </c>
      <c r="W364" s="6">
        <f>[1]Hybrid!V19</f>
        <v>10163.3812</v>
      </c>
      <c r="X364" s="6">
        <f>[1]Hybrid!W19</f>
        <v>10301.26485</v>
      </c>
      <c r="Y364" s="6">
        <f>[1]Hybrid!X19</f>
        <v>10431.7081</v>
      </c>
      <c r="Z364" s="6">
        <f>[1]Hybrid!Y19</f>
        <v>10553.972159999999</v>
      </c>
      <c r="AA364" s="6">
        <f>[1]Hybrid!Z19</f>
        <v>10667.332189999999</v>
      </c>
      <c r="AB364" s="6">
        <f>[1]Hybrid!AA19</f>
        <v>10766.728649999999</v>
      </c>
      <c r="AC364" s="6">
        <f>[1]Hybrid!AB19</f>
        <v>10855.11757</v>
      </c>
      <c r="AD364" s="6">
        <f>[1]Hybrid!AC19</f>
        <v>10932.596809999999</v>
      </c>
      <c r="AE364" s="6">
        <f>[1]Hybrid!AD19</f>
        <v>10998.93593</v>
      </c>
      <c r="AF364" s="6">
        <f>[1]Hybrid!AE19</f>
        <v>11053.680120000001</v>
      </c>
      <c r="AG364" s="6">
        <f>[1]Hybrid!AF19</f>
        <v>11096.35122</v>
      </c>
      <c r="AH364" s="6">
        <f>[1]Hybrid!AG19</f>
        <v>11126.593580000001</v>
      </c>
      <c r="AI364" s="6">
        <f>[1]Hybrid!AH19</f>
        <v>11144.22991</v>
      </c>
      <c r="AJ364" s="6">
        <f>[1]Hybrid!AI19</f>
        <v>11149.236370000001</v>
      </c>
      <c r="AK364" s="6">
        <f>[1]Hybrid!AJ19</f>
        <v>11141.672689999999</v>
      </c>
      <c r="AL364" s="6">
        <f>[1]Hybrid!AK19</f>
        <v>11121.60858</v>
      </c>
    </row>
    <row r="365" spans="1:3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8193.8534770000006</v>
      </c>
      <c r="E365" s="6">
        <f>[1]Hybrid!D21</f>
        <v>8190.3903579999997</v>
      </c>
      <c r="F365" s="6">
        <f>[1]Hybrid!E21</f>
        <v>8220.0127680000005</v>
      </c>
      <c r="G365" s="6">
        <f>[1]Hybrid!F21</f>
        <v>8270.2631519999995</v>
      </c>
      <c r="H365" s="6">
        <f>[1]Hybrid!G21</f>
        <v>8334.1783919999998</v>
      </c>
      <c r="I365" s="6">
        <f>[1]Hybrid!H21</f>
        <v>8406.9532849999996</v>
      </c>
      <c r="J365" s="6">
        <f>[1]Hybrid!I21</f>
        <v>8486.9905589999998</v>
      </c>
      <c r="K365" s="6">
        <f>[1]Hybrid!J21</f>
        <v>8573.3319350000002</v>
      </c>
      <c r="L365" s="6">
        <f>[1]Hybrid!K21</f>
        <v>8665.1234490000006</v>
      </c>
      <c r="M365" s="6">
        <f>[1]Hybrid!L21</f>
        <v>8763.0238140000001</v>
      </c>
      <c r="N365" s="6">
        <f>[1]Hybrid!M21</f>
        <v>8863.6725650000008</v>
      </c>
      <c r="O365" s="6">
        <f>[1]Hybrid!N21</f>
        <v>8965.8270420000008</v>
      </c>
      <c r="P365" s="6">
        <f>[1]Hybrid!O21</f>
        <v>9068.4641159999992</v>
      </c>
      <c r="Q365" s="6">
        <f>[1]Hybrid!P21</f>
        <v>9170.8611619999992</v>
      </c>
      <c r="R365" s="6">
        <f>[1]Hybrid!Q21</f>
        <v>9272.4244369999997</v>
      </c>
      <c r="S365" s="6">
        <f>[1]Hybrid!R21</f>
        <v>9372.5018230000005</v>
      </c>
      <c r="T365" s="6">
        <f>[1]Hybrid!S21</f>
        <v>9470.2830740000009</v>
      </c>
      <c r="U365" s="6">
        <f>[1]Hybrid!T21</f>
        <v>9564.8055820000009</v>
      </c>
      <c r="V365" s="6">
        <f>[1]Hybrid!U21</f>
        <v>9655.0314199999993</v>
      </c>
      <c r="W365" s="6">
        <f>[1]Hybrid!V21</f>
        <v>9738.5934410000009</v>
      </c>
      <c r="X365" s="6">
        <f>[1]Hybrid!W21</f>
        <v>9816.1512870000006</v>
      </c>
      <c r="Y365" s="6">
        <f>[1]Hybrid!X21</f>
        <v>9886.9917299999997</v>
      </c>
      <c r="Z365" s="6">
        <f>[1]Hybrid!Y21</f>
        <v>9950.3719280000005</v>
      </c>
      <c r="AA365" s="6">
        <f>[1]Hybrid!Z21</f>
        <v>10005.57411</v>
      </c>
      <c r="AB365" s="6">
        <f>[1]Hybrid!AA21</f>
        <v>10048.057650000001</v>
      </c>
      <c r="AC365" s="6">
        <f>[1]Hybrid!AB21</f>
        <v>10080.39921</v>
      </c>
      <c r="AD365" s="6">
        <f>[1]Hybrid!AC21</f>
        <v>10102.67236</v>
      </c>
      <c r="AE365" s="6">
        <f>[1]Hybrid!AD21</f>
        <v>10114.69203</v>
      </c>
      <c r="AF365" s="6">
        <f>[1]Hybrid!AE21</f>
        <v>10116.094419999999</v>
      </c>
      <c r="AG365" s="6">
        <f>[1]Hybrid!AF21</f>
        <v>10106.50345</v>
      </c>
      <c r="AH365" s="6">
        <f>[1]Hybrid!AG21</f>
        <v>10085.65357</v>
      </c>
      <c r="AI365" s="6">
        <f>[1]Hybrid!AH21</f>
        <v>10053.439469999999</v>
      </c>
      <c r="AJ365" s="6">
        <f>[1]Hybrid!AI21</f>
        <v>10009.89905</v>
      </c>
      <c r="AK365" s="6">
        <f>[1]Hybrid!AJ21</f>
        <v>9955.1582340000004</v>
      </c>
      <c r="AL365" s="6">
        <f>[1]Hybrid!AK21</f>
        <v>9889.3710129999999</v>
      </c>
    </row>
    <row r="366" spans="1:3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6654.5199869999997</v>
      </c>
      <c r="E366" s="6">
        <f>[1]Hybrid!D23</f>
        <v>6574.6187069999996</v>
      </c>
      <c r="F366" s="6">
        <f>[1]Hybrid!E23</f>
        <v>6522.812156</v>
      </c>
      <c r="G366" s="6">
        <f>[1]Hybrid!F23</f>
        <v>6489.9023790000001</v>
      </c>
      <c r="H366" s="6">
        <f>[1]Hybrid!G23</f>
        <v>6470.5464709999997</v>
      </c>
      <c r="I366" s="6">
        <f>[1]Hybrid!H23</f>
        <v>6460.9493329999996</v>
      </c>
      <c r="J366" s="6">
        <f>[1]Hybrid!I23</f>
        <v>6459.5763960000004</v>
      </c>
      <c r="K366" s="6">
        <f>[1]Hybrid!J23</f>
        <v>6465.3827039999996</v>
      </c>
      <c r="L366" s="6">
        <f>[1]Hybrid!K23</f>
        <v>6477.4465469999996</v>
      </c>
      <c r="M366" s="6">
        <f>[1]Hybrid!L23</f>
        <v>6495.9157850000001</v>
      </c>
      <c r="N366" s="6">
        <f>[1]Hybrid!M23</f>
        <v>6518.2478449999999</v>
      </c>
      <c r="O366" s="6">
        <f>[1]Hybrid!N23</f>
        <v>6543.3519420000002</v>
      </c>
      <c r="P366" s="6">
        <f>[1]Hybrid!O23</f>
        <v>6570.3008060000002</v>
      </c>
      <c r="Q366" s="6">
        <f>[1]Hybrid!P23</f>
        <v>6598.3925179999997</v>
      </c>
      <c r="R366" s="6">
        <f>[1]Hybrid!Q23</f>
        <v>6627.0411359999998</v>
      </c>
      <c r="S366" s="6">
        <f>[1]Hybrid!R23</f>
        <v>6655.6532719999996</v>
      </c>
      <c r="T366" s="6">
        <f>[1]Hybrid!S23</f>
        <v>6683.5592669999996</v>
      </c>
      <c r="U366" s="6">
        <f>[1]Hybrid!T23</f>
        <v>6710.0119880000002</v>
      </c>
      <c r="V366" s="6">
        <f>[1]Hybrid!U23</f>
        <v>6734.232172</v>
      </c>
      <c r="W366" s="6">
        <f>[1]Hybrid!V23</f>
        <v>6754.5849079999998</v>
      </c>
      <c r="X366" s="6">
        <f>[1]Hybrid!W23</f>
        <v>6771.4236080000001</v>
      </c>
      <c r="Y366" s="6">
        <f>[1]Hybrid!X23</f>
        <v>6784.2197980000001</v>
      </c>
      <c r="Z366" s="6">
        <f>[1]Hybrid!Y23</f>
        <v>6792.4378409999999</v>
      </c>
      <c r="AA366" s="6">
        <f>[1]Hybrid!Z23</f>
        <v>6795.5679140000002</v>
      </c>
      <c r="AB366" s="6">
        <f>[1]Hybrid!AA23</f>
        <v>6790.6665910000002</v>
      </c>
      <c r="AC366" s="6">
        <f>[1]Hybrid!AB23</f>
        <v>6779.3562099999999</v>
      </c>
      <c r="AD366" s="6">
        <f>[1]Hybrid!AC23</f>
        <v>6761.6768380000003</v>
      </c>
      <c r="AE366" s="6">
        <f>[1]Hybrid!AD23</f>
        <v>6737.5237710000001</v>
      </c>
      <c r="AF366" s="6">
        <f>[1]Hybrid!AE23</f>
        <v>6706.6906980000003</v>
      </c>
      <c r="AG366" s="6">
        <f>[1]Hybrid!AF23</f>
        <v>6668.9688079999996</v>
      </c>
      <c r="AH366" s="6">
        <f>[1]Hybrid!AG23</f>
        <v>6624.2214910000002</v>
      </c>
      <c r="AI366" s="6">
        <f>[1]Hybrid!AH23</f>
        <v>6572.4161620000004</v>
      </c>
      <c r="AJ366" s="6">
        <f>[1]Hybrid!AI23</f>
        <v>6513.6162379999996</v>
      </c>
      <c r="AK366" s="6">
        <f>[1]Hybrid!AJ23</f>
        <v>6447.9494439999999</v>
      </c>
      <c r="AL366" s="6">
        <f>[1]Hybrid!AK23</f>
        <v>6375.5720840000004</v>
      </c>
    </row>
    <row r="367" spans="1:3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4059.2107940000001</v>
      </c>
      <c r="E367" s="6">
        <f>[1]Hybrid!D25</f>
        <v>3983.7489350000001</v>
      </c>
      <c r="F367" s="6">
        <f>[1]Hybrid!E25</f>
        <v>3924.4602540000001</v>
      </c>
      <c r="G367" s="6">
        <f>[1]Hybrid!F25</f>
        <v>3875.9394729999999</v>
      </c>
      <c r="H367" s="6">
        <f>[1]Hybrid!G25</f>
        <v>3835.0070190000001</v>
      </c>
      <c r="I367" s="6">
        <f>[1]Hybrid!H25</f>
        <v>3799.424865</v>
      </c>
      <c r="J367" s="6">
        <f>[1]Hybrid!I25</f>
        <v>3768.2511140000001</v>
      </c>
      <c r="K367" s="6">
        <f>[1]Hybrid!J25</f>
        <v>3740.8627980000001</v>
      </c>
      <c r="L367" s="6">
        <f>[1]Hybrid!K25</f>
        <v>3716.7535029999999</v>
      </c>
      <c r="M367" s="6">
        <f>[1]Hybrid!L25</f>
        <v>3696.000364</v>
      </c>
      <c r="N367" s="6">
        <f>[1]Hybrid!M25</f>
        <v>3677.2981960000002</v>
      </c>
      <c r="O367" s="6">
        <f>[1]Hybrid!N25</f>
        <v>3660.0619379999998</v>
      </c>
      <c r="P367" s="6">
        <f>[1]Hybrid!O25</f>
        <v>3643.7683320000001</v>
      </c>
      <c r="Q367" s="6">
        <f>[1]Hybrid!P25</f>
        <v>3628.0150410000001</v>
      </c>
      <c r="R367" s="6">
        <f>[1]Hybrid!Q25</f>
        <v>3612.4876960000001</v>
      </c>
      <c r="S367" s="6">
        <f>[1]Hybrid!R25</f>
        <v>3596.908715</v>
      </c>
      <c r="T367" s="6">
        <f>[1]Hybrid!S25</f>
        <v>3581.0023000000001</v>
      </c>
      <c r="U367" s="6">
        <f>[1]Hybrid!T25</f>
        <v>3564.485467</v>
      </c>
      <c r="V367" s="6">
        <f>[1]Hybrid!U25</f>
        <v>3547.0795349999999</v>
      </c>
      <c r="W367" s="6">
        <f>[1]Hybrid!V25</f>
        <v>3528.1085029999999</v>
      </c>
      <c r="X367" s="6">
        <f>[1]Hybrid!W25</f>
        <v>3507.845002</v>
      </c>
      <c r="Y367" s="6">
        <f>[1]Hybrid!X25</f>
        <v>3486.1609539999999</v>
      </c>
      <c r="Z367" s="6">
        <f>[1]Hybrid!Y25</f>
        <v>3462.9310289999999</v>
      </c>
      <c r="AA367" s="6">
        <f>[1]Hybrid!Z25</f>
        <v>3438.0397440000002</v>
      </c>
      <c r="AB367" s="6">
        <f>[1]Hybrid!AA25</f>
        <v>3410.2432119999999</v>
      </c>
      <c r="AC367" s="6">
        <f>[1]Hybrid!AB25</f>
        <v>3380.3854799999999</v>
      </c>
      <c r="AD367" s="6">
        <f>[1]Hybrid!AC25</f>
        <v>3348.6026740000002</v>
      </c>
      <c r="AE367" s="6">
        <f>[1]Hybrid!AD25</f>
        <v>3314.9736400000002</v>
      </c>
      <c r="AF367" s="6">
        <f>[1]Hybrid!AE25</f>
        <v>3279.5184089999998</v>
      </c>
      <c r="AG367" s="6">
        <f>[1]Hybrid!AF25</f>
        <v>3242.2285280000001</v>
      </c>
      <c r="AH367" s="6">
        <f>[1]Hybrid!AG25</f>
        <v>3203.0965630000001</v>
      </c>
      <c r="AI367" s="6">
        <f>[1]Hybrid!AH25</f>
        <v>3162.1348159999998</v>
      </c>
      <c r="AJ367" s="6">
        <f>[1]Hybrid!AI25</f>
        <v>3119.3800860000001</v>
      </c>
      <c r="AK367" s="6">
        <f>[1]Hybrid!AJ25</f>
        <v>3074.8870310000002</v>
      </c>
      <c r="AL367" s="6">
        <f>[1]Hybrid!AK25</f>
        <v>3028.7159299999998</v>
      </c>
    </row>
    <row r="368" spans="1:3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2445.7135539999999</v>
      </c>
      <c r="E368" s="6">
        <f>[1]Hybrid!D27</f>
        <v>2401.9251129999998</v>
      </c>
      <c r="F368" s="6">
        <f>[1]Hybrid!E27</f>
        <v>2366.7930719999999</v>
      </c>
      <c r="G368" s="6">
        <f>[1]Hybrid!F27</f>
        <v>2336.91021</v>
      </c>
      <c r="H368" s="6">
        <f>[1]Hybrid!G27</f>
        <v>2310.272457</v>
      </c>
      <c r="I368" s="6">
        <f>[1]Hybrid!H27</f>
        <v>2285.4911550000002</v>
      </c>
      <c r="J368" s="6">
        <f>[1]Hybrid!I27</f>
        <v>2261.9914749999998</v>
      </c>
      <c r="K368" s="6">
        <f>[1]Hybrid!J27</f>
        <v>2239.4189179999998</v>
      </c>
      <c r="L368" s="6">
        <f>[1]Hybrid!K27</f>
        <v>2217.5177650000001</v>
      </c>
      <c r="M368" s="6">
        <f>[1]Hybrid!L27</f>
        <v>2196.3848119999998</v>
      </c>
      <c r="N368" s="6">
        <f>[1]Hybrid!M27</f>
        <v>2175.3416419999999</v>
      </c>
      <c r="O368" s="6">
        <f>[1]Hybrid!N27</f>
        <v>2154.1108009999998</v>
      </c>
      <c r="P368" s="6">
        <f>[1]Hybrid!O27</f>
        <v>2132.4444749999998</v>
      </c>
      <c r="Q368" s="6">
        <f>[1]Hybrid!P27</f>
        <v>2110.168228</v>
      </c>
      <c r="R368" s="6">
        <f>[1]Hybrid!Q27</f>
        <v>2087.1701130000001</v>
      </c>
      <c r="S368" s="6">
        <f>[1]Hybrid!R27</f>
        <v>2063.3743639999998</v>
      </c>
      <c r="T368" s="6">
        <f>[1]Hybrid!S27</f>
        <v>2038.7192640000001</v>
      </c>
      <c r="U368" s="6">
        <f>[1]Hybrid!T27</f>
        <v>2013.146536</v>
      </c>
      <c r="V368" s="6">
        <f>[1]Hybrid!U27</f>
        <v>1986.601529</v>
      </c>
      <c r="W368" s="6">
        <f>[1]Hybrid!V27</f>
        <v>1958.8294599999999</v>
      </c>
      <c r="X368" s="6">
        <f>[1]Hybrid!W27</f>
        <v>1930.042976</v>
      </c>
      <c r="Y368" s="6">
        <f>[1]Hybrid!X27</f>
        <v>1900.2559739999999</v>
      </c>
      <c r="Z368" s="6">
        <f>[1]Hybrid!Y27</f>
        <v>1869.4811970000001</v>
      </c>
      <c r="AA368" s="6">
        <f>[1]Hybrid!Z27</f>
        <v>1837.7317849999999</v>
      </c>
      <c r="AB368" s="6">
        <f>[1]Hybrid!AA27</f>
        <v>1804.496936</v>
      </c>
      <c r="AC368" s="6">
        <f>[1]Hybrid!AB27</f>
        <v>1770.22921</v>
      </c>
      <c r="AD368" s="6">
        <f>[1]Hybrid!AC27</f>
        <v>1735.0589190000001</v>
      </c>
      <c r="AE368" s="6">
        <f>[1]Hybrid!AD27</f>
        <v>1699.0942480000001</v>
      </c>
      <c r="AF368" s="6">
        <f>[1]Hybrid!AE27</f>
        <v>1662.414213</v>
      </c>
      <c r="AG368" s="6">
        <f>[1]Hybrid!AF27</f>
        <v>1625.078215</v>
      </c>
      <c r="AH368" s="6">
        <f>[1]Hybrid!AG27</f>
        <v>1587.1384029999999</v>
      </c>
      <c r="AI368" s="6">
        <f>[1]Hybrid!AH27</f>
        <v>1548.6497400000001</v>
      </c>
      <c r="AJ368" s="6">
        <f>[1]Hybrid!AI27</f>
        <v>1509.674984</v>
      </c>
      <c r="AK368" s="6">
        <f>[1]Hybrid!AJ27</f>
        <v>1470.2843580000001</v>
      </c>
      <c r="AL368" s="6">
        <f>[1]Hybrid!AK27</f>
        <v>1430.551643</v>
      </c>
    </row>
    <row r="369" spans="2:3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1212.193215</v>
      </c>
      <c r="E369" s="6">
        <f>[1]Hybrid!D29</f>
        <v>1186.458167</v>
      </c>
      <c r="F369" s="6">
        <f>[1]Hybrid!E29</f>
        <v>1163.5161599999999</v>
      </c>
      <c r="G369" s="6">
        <f>[1]Hybrid!F29</f>
        <v>1141.603325</v>
      </c>
      <c r="H369" s="6">
        <f>[1]Hybrid!G29</f>
        <v>1119.71515</v>
      </c>
      <c r="I369" s="6">
        <f>[1]Hybrid!H29</f>
        <v>1097.221368</v>
      </c>
      <c r="J369" s="6">
        <f>[1]Hybrid!I29</f>
        <v>1073.9221010000001</v>
      </c>
      <c r="K369" s="6">
        <f>[1]Hybrid!J29</f>
        <v>1049.7652149999999</v>
      </c>
      <c r="L369" s="6">
        <f>[1]Hybrid!K29</f>
        <v>1024.783514</v>
      </c>
      <c r="M369" s="6">
        <f>[1]Hybrid!L29</f>
        <v>999.16471779999995</v>
      </c>
      <c r="N369" s="6">
        <f>[1]Hybrid!M29</f>
        <v>972.82016969999995</v>
      </c>
      <c r="O369" s="6">
        <f>[1]Hybrid!N29</f>
        <v>945.79377169999998</v>
      </c>
      <c r="P369" s="6">
        <f>[1]Hybrid!O29</f>
        <v>918.13011459999996</v>
      </c>
      <c r="Q369" s="6">
        <f>[1]Hybrid!P29</f>
        <v>889.90112260000001</v>
      </c>
      <c r="R369" s="6">
        <f>[1]Hybrid!Q29</f>
        <v>861.20777810000004</v>
      </c>
      <c r="S369" s="6">
        <f>[1]Hybrid!R29</f>
        <v>832.17008380000004</v>
      </c>
      <c r="T369" s="6">
        <f>[1]Hybrid!S29</f>
        <v>802.91423020000002</v>
      </c>
      <c r="U369" s="6">
        <f>[1]Hybrid!T29</f>
        <v>773.56236550000006</v>
      </c>
      <c r="V369" s="6">
        <f>[1]Hybrid!U29</f>
        <v>744.22704409999994</v>
      </c>
      <c r="W369" s="6">
        <f>[1]Hybrid!V29</f>
        <v>714.96098270000005</v>
      </c>
      <c r="X369" s="6">
        <f>[1]Hybrid!W29</f>
        <v>685.91153489999999</v>
      </c>
      <c r="Y369" s="6">
        <f>[1]Hybrid!X29</f>
        <v>657.17015660000004</v>
      </c>
      <c r="Z369" s="6">
        <f>[1]Hybrid!Y29</f>
        <v>628.81677409999998</v>
      </c>
      <c r="AA369" s="6">
        <f>[1]Hybrid!Z29</f>
        <v>600.91974470000002</v>
      </c>
      <c r="AB369" s="6">
        <f>[1]Hybrid!AA29</f>
        <v>573.44290269999999</v>
      </c>
      <c r="AC369" s="6">
        <f>[1]Hybrid!AB29</f>
        <v>546.51649120000002</v>
      </c>
      <c r="AD369" s="6">
        <f>[1]Hybrid!AC29</f>
        <v>520.20769519999999</v>
      </c>
      <c r="AE369" s="6">
        <f>[1]Hybrid!AD29</f>
        <v>494.57446399999998</v>
      </c>
      <c r="AF369" s="6">
        <f>[1]Hybrid!AE29</f>
        <v>469.66133730000001</v>
      </c>
      <c r="AG369" s="6">
        <f>[1]Hybrid!AF29</f>
        <v>445.49999279999997</v>
      </c>
      <c r="AH369" s="6">
        <f>[1]Hybrid!AG29</f>
        <v>422.11204839999999</v>
      </c>
      <c r="AI369" s="6">
        <f>[1]Hybrid!AH29</f>
        <v>399.51244819999999</v>
      </c>
      <c r="AJ369" s="6">
        <f>[1]Hybrid!AI29</f>
        <v>377.71209649999997</v>
      </c>
      <c r="AK369" s="6">
        <f>[1]Hybrid!AJ29</f>
        <v>356.71915639999997</v>
      </c>
      <c r="AL369" s="6">
        <f>[1]Hybrid!AK29</f>
        <v>336.53915749999999</v>
      </c>
    </row>
    <row r="370" spans="2:3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2186.533324</v>
      </c>
      <c r="E370" s="6">
        <f>[1]Hybrid!D31</f>
        <v>2141.5221270000002</v>
      </c>
      <c r="F370" s="6">
        <f>[1]Hybrid!E31</f>
        <v>2098.8321230000001</v>
      </c>
      <c r="G370" s="6">
        <f>[1]Hybrid!F31</f>
        <v>2055.175808</v>
      </c>
      <c r="H370" s="6">
        <f>[1]Hybrid!G31</f>
        <v>2008.8419160000001</v>
      </c>
      <c r="I370" s="6">
        <f>[1]Hybrid!H31</f>
        <v>1958.949067</v>
      </c>
      <c r="J370" s="6">
        <f>[1]Hybrid!I31</f>
        <v>1905.4736740000001</v>
      </c>
      <c r="K370" s="6">
        <f>[1]Hybrid!J31</f>
        <v>1848.7116000000001</v>
      </c>
      <c r="L370" s="6">
        <f>[1]Hybrid!K31</f>
        <v>1789.1391389999999</v>
      </c>
      <c r="M370" s="6">
        <f>[1]Hybrid!L31</f>
        <v>1727.4687510000001</v>
      </c>
      <c r="N370" s="6">
        <f>[1]Hybrid!M31</f>
        <v>1663.9870149999999</v>
      </c>
      <c r="O370" s="6">
        <f>[1]Hybrid!N31</f>
        <v>1599.128937</v>
      </c>
      <c r="P370" s="6">
        <f>[1]Hybrid!O31</f>
        <v>1533.2911779999999</v>
      </c>
      <c r="Q370" s="6">
        <f>[1]Hybrid!P31</f>
        <v>1466.8806810000001</v>
      </c>
      <c r="R370" s="6">
        <f>[1]Hybrid!Q31</f>
        <v>1400.3192340000001</v>
      </c>
      <c r="S370" s="6">
        <f>[1]Hybrid!R31</f>
        <v>1334.025519</v>
      </c>
      <c r="T370" s="6">
        <f>[1]Hybrid!S31</f>
        <v>1268.391844</v>
      </c>
      <c r="U370" s="6">
        <f>[1]Hybrid!T31</f>
        <v>1203.7663789999999</v>
      </c>
      <c r="V370" s="6">
        <f>[1]Hybrid!U31</f>
        <v>1140.444923</v>
      </c>
      <c r="W370" s="6">
        <f>[1]Hybrid!V31</f>
        <v>1078.6240829999999</v>
      </c>
      <c r="X370" s="6">
        <f>[1]Hybrid!W31</f>
        <v>1018.554097</v>
      </c>
      <c r="Y370" s="6">
        <f>[1]Hybrid!X31</f>
        <v>960.40025879999996</v>
      </c>
      <c r="Z370" s="6">
        <f>[1]Hybrid!Y31</f>
        <v>904.28861459999996</v>
      </c>
      <c r="AA370" s="6">
        <f>[1]Hybrid!Z31</f>
        <v>850.30945029999998</v>
      </c>
      <c r="AB370" s="6">
        <f>[1]Hybrid!AA31</f>
        <v>798.45152240000004</v>
      </c>
      <c r="AC370" s="6">
        <f>[1]Hybrid!AB31</f>
        <v>748.81270280000001</v>
      </c>
      <c r="AD370" s="6">
        <f>[1]Hybrid!AC31</f>
        <v>701.4277707</v>
      </c>
      <c r="AE370" s="6">
        <f>[1]Hybrid!AD31</f>
        <v>656.311195</v>
      </c>
      <c r="AF370" s="6">
        <f>[1]Hybrid!AE31</f>
        <v>613.45482660000005</v>
      </c>
      <c r="AG370" s="6">
        <f>[1]Hybrid!AF31</f>
        <v>572.83025029999999</v>
      </c>
      <c r="AH370" s="6">
        <f>[1]Hybrid!AG31</f>
        <v>534.39332830000001</v>
      </c>
      <c r="AI370" s="6">
        <f>[1]Hybrid!AH31</f>
        <v>498.08901969999999</v>
      </c>
      <c r="AJ370" s="6">
        <f>[1]Hybrid!AI31</f>
        <v>463.8551554</v>
      </c>
      <c r="AK370" s="6">
        <f>[1]Hybrid!AJ31</f>
        <v>431.6247424</v>
      </c>
      <c r="AL370" s="6">
        <f>[1]Hybrid!AK31</f>
        <v>401.3270852</v>
      </c>
    </row>
    <row r="371" spans="2:3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15.31682839</v>
      </c>
      <c r="E371" s="6">
        <f>[1]Hybrid!D33</f>
        <v>21.449117950000002</v>
      </c>
      <c r="F371" s="6">
        <f>[1]Hybrid!E33</f>
        <v>28.341801650000001</v>
      </c>
      <c r="G371" s="6">
        <f>[1]Hybrid!F33</f>
        <v>36.261510459999997</v>
      </c>
      <c r="H371" s="6">
        <f>[1]Hybrid!G33</f>
        <v>45.60666397</v>
      </c>
      <c r="I371" s="6">
        <f>[1]Hybrid!H33</f>
        <v>56.847127389999997</v>
      </c>
      <c r="J371" s="6">
        <f>[1]Hybrid!I33</f>
        <v>70.519680019999996</v>
      </c>
      <c r="K371" s="6">
        <f>[1]Hybrid!J33</f>
        <v>87.16313701</v>
      </c>
      <c r="L371" s="6">
        <f>[1]Hybrid!K33</f>
        <v>107.282076</v>
      </c>
      <c r="M371" s="6">
        <f>[1]Hybrid!L33</f>
        <v>131.3767953</v>
      </c>
      <c r="N371" s="6">
        <f>[1]Hybrid!M33</f>
        <v>159.7429448</v>
      </c>
      <c r="O371" s="6">
        <f>[1]Hybrid!N33</f>
        <v>192.6691466</v>
      </c>
      <c r="P371" s="6">
        <f>[1]Hybrid!O33</f>
        <v>230.38755810000001</v>
      </c>
      <c r="Q371" s="6">
        <f>[1]Hybrid!P33</f>
        <v>273.10031629999997</v>
      </c>
      <c r="R371" s="6">
        <f>[1]Hybrid!Q33</f>
        <v>320.994821</v>
      </c>
      <c r="S371" s="6">
        <f>[1]Hybrid!R33</f>
        <v>374.25529130000001</v>
      </c>
      <c r="T371" s="6">
        <f>[1]Hybrid!S33</f>
        <v>433.0766443</v>
      </c>
      <c r="U371" s="6">
        <f>[1]Hybrid!T33</f>
        <v>497.68284899999998</v>
      </c>
      <c r="V371" s="6">
        <f>[1]Hybrid!U33</f>
        <v>568.34789320000004</v>
      </c>
      <c r="W371" s="6">
        <f>[1]Hybrid!V33</f>
        <v>645.25479089999999</v>
      </c>
      <c r="X371" s="6">
        <f>[1]Hybrid!W33</f>
        <v>728.99247519999994</v>
      </c>
      <c r="Y371" s="6">
        <f>[1]Hybrid!X33</f>
        <v>820.07523409999999</v>
      </c>
      <c r="Z371" s="6">
        <f>[1]Hybrid!Y33</f>
        <v>919.07593999999995</v>
      </c>
      <c r="AA371" s="6">
        <f>[1]Hybrid!Z33</f>
        <v>1026.6167889999999</v>
      </c>
      <c r="AB371" s="6">
        <f>[1]Hybrid!AA33</f>
        <v>1142.617252</v>
      </c>
      <c r="AC371" s="6">
        <f>[1]Hybrid!AB33</f>
        <v>1268.233285</v>
      </c>
      <c r="AD371" s="6">
        <f>[1]Hybrid!AC33</f>
        <v>1404.202333</v>
      </c>
      <c r="AE371" s="6">
        <f>[1]Hybrid!AD33</f>
        <v>1551.190932</v>
      </c>
      <c r="AF371" s="6">
        <f>[1]Hybrid!AE33</f>
        <v>1709.781448</v>
      </c>
      <c r="AG371" s="6">
        <f>[1]Hybrid!AF33</f>
        <v>1880.495817</v>
      </c>
      <c r="AH371" s="6">
        <f>[1]Hybrid!AG33</f>
        <v>2063.8267169999999</v>
      </c>
      <c r="AI371" s="6">
        <f>[1]Hybrid!AH33</f>
        <v>2260.2598549999998</v>
      </c>
      <c r="AJ371" s="6">
        <f>[1]Hybrid!AI33</f>
        <v>2470.2784019999999</v>
      </c>
      <c r="AK371" s="6">
        <f>[1]Hybrid!AJ33</f>
        <v>2694.349604</v>
      </c>
      <c r="AL371" s="6">
        <f>[1]Hybrid!AK33</f>
        <v>2932.9010290000001</v>
      </c>
    </row>
    <row r="372" spans="2:3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16.63040414</v>
      </c>
      <c r="E372" s="6">
        <f>[1]Hybrid!D35</f>
        <v>22.463981440000001</v>
      </c>
      <c r="F372" s="6">
        <f>[1]Hybrid!E35</f>
        <v>29.055819830000001</v>
      </c>
      <c r="G372" s="6">
        <f>[1]Hybrid!F35</f>
        <v>36.676043239999998</v>
      </c>
      <c r="H372" s="6">
        <f>[1]Hybrid!G35</f>
        <v>45.721895879999998</v>
      </c>
      <c r="I372" s="6">
        <f>[1]Hybrid!H35</f>
        <v>56.657010280000002</v>
      </c>
      <c r="J372" s="6">
        <f>[1]Hybrid!I35</f>
        <v>70.005319200000002</v>
      </c>
      <c r="K372" s="6">
        <f>[1]Hybrid!J35</f>
        <v>86.286751609999996</v>
      </c>
      <c r="L372" s="6">
        <f>[1]Hybrid!K35</f>
        <v>105.9815783</v>
      </c>
      <c r="M372" s="6">
        <f>[1]Hybrid!L35</f>
        <v>129.5601552</v>
      </c>
      <c r="N372" s="6">
        <f>[1]Hybrid!M35</f>
        <v>157.2866137</v>
      </c>
      <c r="O372" s="6">
        <f>[1]Hybrid!N35</f>
        <v>189.4121763</v>
      </c>
      <c r="P372" s="6">
        <f>[1]Hybrid!O35</f>
        <v>226.12696399999999</v>
      </c>
      <c r="Q372" s="6">
        <f>[1]Hybrid!P35</f>
        <v>267.58685609999998</v>
      </c>
      <c r="R372" s="6">
        <f>[1]Hybrid!Q35</f>
        <v>313.9295692</v>
      </c>
      <c r="S372" s="6">
        <f>[1]Hybrid!R35</f>
        <v>365.28679740000001</v>
      </c>
      <c r="T372" s="6">
        <f>[1]Hybrid!S35</f>
        <v>421.797934</v>
      </c>
      <c r="U372" s="6">
        <f>[1]Hybrid!T35</f>
        <v>483.62728529999998</v>
      </c>
      <c r="V372" s="6">
        <f>[1]Hybrid!U35</f>
        <v>550.9830402</v>
      </c>
      <c r="W372" s="6">
        <f>[1]Hybrid!V35</f>
        <v>623.98081669999999</v>
      </c>
      <c r="X372" s="6">
        <f>[1]Hybrid!W35</f>
        <v>703.11671969999998</v>
      </c>
      <c r="Y372" s="6">
        <f>[1]Hybrid!X35</f>
        <v>788.80749109999999</v>
      </c>
      <c r="Z372" s="6">
        <f>[1]Hybrid!Y35</f>
        <v>881.51581529999999</v>
      </c>
      <c r="AA372" s="6">
        <f>[1]Hybrid!Z35</f>
        <v>981.73941509999997</v>
      </c>
      <c r="AB372" s="6">
        <f>[1]Hybrid!AA35</f>
        <v>1089.304981</v>
      </c>
      <c r="AC372" s="6">
        <f>[1]Hybrid!AB35</f>
        <v>1205.1847170000001</v>
      </c>
      <c r="AD372" s="6">
        <f>[1]Hybrid!AC35</f>
        <v>1329.947388</v>
      </c>
      <c r="AE372" s="6">
        <f>[1]Hybrid!AD35</f>
        <v>1464.085574</v>
      </c>
      <c r="AF372" s="6">
        <f>[1]Hybrid!AE35</f>
        <v>1608.0017190000001</v>
      </c>
      <c r="AG372" s="6">
        <f>[1]Hybrid!AF35</f>
        <v>1762.028008</v>
      </c>
      <c r="AH372" s="6">
        <f>[1]Hybrid!AG35</f>
        <v>1926.4535519999999</v>
      </c>
      <c r="AI372" s="6">
        <f>[1]Hybrid!AH35</f>
        <v>2101.5445450000002</v>
      </c>
      <c r="AJ372" s="6">
        <f>[1]Hybrid!AI35</f>
        <v>2287.549407</v>
      </c>
      <c r="AK372" s="6">
        <f>[1]Hybrid!AJ35</f>
        <v>2484.6887259999999</v>
      </c>
      <c r="AL372" s="6">
        <f>[1]Hybrid!AK35</f>
        <v>2693.1361750000001</v>
      </c>
    </row>
    <row r="373" spans="2:3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12.93692982</v>
      </c>
      <c r="E373" s="6">
        <f>[1]Hybrid!D37</f>
        <v>16.932327749999999</v>
      </c>
      <c r="F373" s="6">
        <f>[1]Hybrid!E37</f>
        <v>21.470434130000001</v>
      </c>
      <c r="G373" s="6">
        <f>[1]Hybrid!F37</f>
        <v>26.746816389999999</v>
      </c>
      <c r="H373" s="6">
        <f>[1]Hybrid!G37</f>
        <v>33.045062710000003</v>
      </c>
      <c r="I373" s="6">
        <f>[1]Hybrid!H37</f>
        <v>40.69287258</v>
      </c>
      <c r="J373" s="6">
        <f>[1]Hybrid!I37</f>
        <v>50.056692910000002</v>
      </c>
      <c r="K373" s="6">
        <f>[1]Hybrid!J37</f>
        <v>61.495968019999999</v>
      </c>
      <c r="L373" s="6">
        <f>[1]Hybrid!K37</f>
        <v>75.338043889999994</v>
      </c>
      <c r="M373" s="6">
        <f>[1]Hybrid!L37</f>
        <v>91.899443599999998</v>
      </c>
      <c r="N373" s="6">
        <f>[1]Hybrid!M37</f>
        <v>111.3478302</v>
      </c>
      <c r="O373" s="6">
        <f>[1]Hybrid!N37</f>
        <v>133.83789200000001</v>
      </c>
      <c r="P373" s="6">
        <f>[1]Hybrid!O37</f>
        <v>159.4776622</v>
      </c>
      <c r="Q373" s="6">
        <f>[1]Hybrid!P37</f>
        <v>188.34812439999999</v>
      </c>
      <c r="R373" s="6">
        <f>[1]Hybrid!Q37</f>
        <v>220.51532990000001</v>
      </c>
      <c r="S373" s="6">
        <f>[1]Hybrid!R37</f>
        <v>256.03953360000003</v>
      </c>
      <c r="T373" s="6">
        <f>[1]Hybrid!S37</f>
        <v>294.98495989999998</v>
      </c>
      <c r="U373" s="6">
        <f>[1]Hybrid!T37</f>
        <v>337.43142060000002</v>
      </c>
      <c r="V373" s="6">
        <f>[1]Hybrid!U37</f>
        <v>383.48664359999998</v>
      </c>
      <c r="W373" s="6">
        <f>[1]Hybrid!V37</f>
        <v>433.19161600000001</v>
      </c>
      <c r="X373" s="6">
        <f>[1]Hybrid!W37</f>
        <v>486.84386510000002</v>
      </c>
      <c r="Y373" s="6">
        <f>[1]Hybrid!X37</f>
        <v>544.68184880000001</v>
      </c>
      <c r="Z373" s="6">
        <f>[1]Hybrid!Y37</f>
        <v>606.96969360000003</v>
      </c>
      <c r="AA373" s="6">
        <f>[1]Hybrid!Z37</f>
        <v>673.9885481</v>
      </c>
      <c r="AB373" s="6">
        <f>[1]Hybrid!AA37</f>
        <v>745.56099900000004</v>
      </c>
      <c r="AC373" s="6">
        <f>[1]Hybrid!AB37</f>
        <v>822.2726887</v>
      </c>
      <c r="AD373" s="6">
        <f>[1]Hybrid!AC37</f>
        <v>904.43195149999997</v>
      </c>
      <c r="AE373" s="6">
        <f>[1]Hybrid!AD37</f>
        <v>992.29110530000003</v>
      </c>
      <c r="AF373" s="6">
        <f>[1]Hybrid!AE37</f>
        <v>1086.036263</v>
      </c>
      <c r="AG373" s="6">
        <f>[1]Hybrid!AF37</f>
        <v>1185.7994389999999</v>
      </c>
      <c r="AH373" s="6">
        <f>[1]Hybrid!AG37</f>
        <v>1291.6758359999999</v>
      </c>
      <c r="AI373" s="6">
        <f>[1]Hybrid!AH37</f>
        <v>1403.7372800000001</v>
      </c>
      <c r="AJ373" s="6">
        <f>[1]Hybrid!AI37</f>
        <v>1522.0366280000001</v>
      </c>
      <c r="AK373" s="6">
        <f>[1]Hybrid!AJ37</f>
        <v>1646.6028389999999</v>
      </c>
      <c r="AL373" s="6">
        <f>[1]Hybrid!AK37</f>
        <v>1777.430355</v>
      </c>
    </row>
    <row r="374" spans="2:3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7.6315558990000003</v>
      </c>
      <c r="E374" s="6">
        <f>[1]Hybrid!D39</f>
        <v>9.6251624230000008</v>
      </c>
      <c r="F374" s="6">
        <f>[1]Hybrid!E39</f>
        <v>11.71526233</v>
      </c>
      <c r="G374" s="6">
        <f>[1]Hybrid!F39</f>
        <v>13.903552250000001</v>
      </c>
      <c r="H374" s="6">
        <f>[1]Hybrid!G39</f>
        <v>16.217390229999999</v>
      </c>
      <c r="I374" s="6">
        <f>[1]Hybrid!H39</f>
        <v>18.694381119999999</v>
      </c>
      <c r="J374" s="6">
        <f>[1]Hybrid!I39</f>
        <v>21.383913809999999</v>
      </c>
      <c r="K374" s="6">
        <f>[1]Hybrid!J39</f>
        <v>24.334058859999999</v>
      </c>
      <c r="L374" s="6">
        <f>[1]Hybrid!K39</f>
        <v>27.587031</v>
      </c>
      <c r="M374" s="6">
        <f>[1]Hybrid!L39</f>
        <v>31.186012900000001</v>
      </c>
      <c r="N374" s="6">
        <f>[1]Hybrid!M39</f>
        <v>35.142061589999997</v>
      </c>
      <c r="O374" s="6">
        <f>[1]Hybrid!N39</f>
        <v>39.468001979999997</v>
      </c>
      <c r="P374" s="6">
        <f>[1]Hybrid!O39</f>
        <v>44.169325559999997</v>
      </c>
      <c r="Q374" s="6">
        <f>[1]Hybrid!P39</f>
        <v>49.247841100000002</v>
      </c>
      <c r="R374" s="6">
        <f>[1]Hybrid!Q39</f>
        <v>54.70365031</v>
      </c>
      <c r="S374" s="6">
        <f>[1]Hybrid!R39</f>
        <v>60.536465659999998</v>
      </c>
      <c r="T374" s="6">
        <f>[1]Hybrid!S39</f>
        <v>66.746930809999995</v>
      </c>
      <c r="U374" s="6">
        <f>[1]Hybrid!T39</f>
        <v>73.338161360000001</v>
      </c>
      <c r="V374" s="6">
        <f>[1]Hybrid!U39</f>
        <v>80.317355109999994</v>
      </c>
      <c r="W374" s="6">
        <f>[1]Hybrid!V39</f>
        <v>87.679856060000006</v>
      </c>
      <c r="X374" s="6">
        <f>[1]Hybrid!W39</f>
        <v>95.46204315</v>
      </c>
      <c r="Y374" s="6">
        <f>[1]Hybrid!X39</f>
        <v>103.68982750000001</v>
      </c>
      <c r="Z374" s="6">
        <f>[1]Hybrid!Y39</f>
        <v>112.3925192</v>
      </c>
      <c r="AA374" s="6">
        <f>[1]Hybrid!Z39</f>
        <v>121.6014917</v>
      </c>
      <c r="AB374" s="6">
        <f>[1]Hybrid!AA39</f>
        <v>131.27964600000001</v>
      </c>
      <c r="AC374" s="6">
        <f>[1]Hybrid!AB39</f>
        <v>141.5040401</v>
      </c>
      <c r="AD374" s="6">
        <f>[1]Hybrid!AC39</f>
        <v>152.31261019999999</v>
      </c>
      <c r="AE374" s="6">
        <f>[1]Hybrid!AD39</f>
        <v>163.7379315</v>
      </c>
      <c r="AF374" s="6">
        <f>[1]Hybrid!AE39</f>
        <v>175.8052691</v>
      </c>
      <c r="AG374" s="6">
        <f>[1]Hybrid!AF39</f>
        <v>188.53357360000001</v>
      </c>
      <c r="AH374" s="6">
        <f>[1]Hybrid!AG39</f>
        <v>201.937422</v>
      </c>
      <c r="AI374" s="6">
        <f>[1]Hybrid!AH39</f>
        <v>216.0288889</v>
      </c>
      <c r="AJ374" s="6">
        <f>[1]Hybrid!AI39</f>
        <v>230.8186034</v>
      </c>
      <c r="AK374" s="6">
        <f>[1]Hybrid!AJ39</f>
        <v>246.31569440000001</v>
      </c>
      <c r="AL374" s="6">
        <f>[1]Hybrid!AK39</f>
        <v>262.52678309999999</v>
      </c>
    </row>
    <row r="375" spans="2:3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4.6168571680000001</v>
      </c>
      <c r="E375" s="6">
        <f>[1]Hybrid!D41</f>
        <v>5.8344010510000004</v>
      </c>
      <c r="F375" s="6">
        <f>[1]Hybrid!E41</f>
        <v>7.1015013529999997</v>
      </c>
      <c r="G375" s="6">
        <f>[1]Hybrid!F41</f>
        <v>8.4167821860000007</v>
      </c>
      <c r="H375" s="6">
        <f>[1]Hybrid!G41</f>
        <v>9.7938895929999994</v>
      </c>
      <c r="I375" s="6">
        <f>[1]Hybrid!H41</f>
        <v>11.25183395</v>
      </c>
      <c r="J375" s="6">
        <f>[1]Hybrid!I41</f>
        <v>12.815730090000001</v>
      </c>
      <c r="K375" s="6">
        <f>[1]Hybrid!J41</f>
        <v>14.50899695</v>
      </c>
      <c r="L375" s="6">
        <f>[1]Hybrid!K41</f>
        <v>16.35093358</v>
      </c>
      <c r="M375" s="6">
        <f>[1]Hybrid!L41</f>
        <v>18.360798079999999</v>
      </c>
      <c r="N375" s="6">
        <f>[1]Hybrid!M41</f>
        <v>20.539058799999999</v>
      </c>
      <c r="O375" s="6">
        <f>[1]Hybrid!N41</f>
        <v>22.88660497</v>
      </c>
      <c r="P375" s="6">
        <f>[1]Hybrid!O41</f>
        <v>25.399690929999998</v>
      </c>
      <c r="Q375" s="6">
        <f>[1]Hybrid!P41</f>
        <v>28.072291830000001</v>
      </c>
      <c r="R375" s="6">
        <f>[1]Hybrid!Q41</f>
        <v>30.897496220000001</v>
      </c>
      <c r="S375" s="6">
        <f>[1]Hybrid!R41</f>
        <v>33.868409049999997</v>
      </c>
      <c r="T375" s="6">
        <f>[1]Hybrid!S41</f>
        <v>36.978875119999998</v>
      </c>
      <c r="U375" s="6">
        <f>[1]Hybrid!T41</f>
        <v>40.224146740000002</v>
      </c>
      <c r="V375" s="6">
        <f>[1]Hybrid!U41</f>
        <v>43.601471920000002</v>
      </c>
      <c r="W375" s="6">
        <f>[1]Hybrid!V41</f>
        <v>47.10184872</v>
      </c>
      <c r="X375" s="6">
        <f>[1]Hybrid!W41</f>
        <v>50.736214850000003</v>
      </c>
      <c r="Y375" s="6">
        <f>[1]Hybrid!X41</f>
        <v>54.509750910000001</v>
      </c>
      <c r="Z375" s="6">
        <f>[1]Hybrid!Y41</f>
        <v>58.428567209999997</v>
      </c>
      <c r="AA375" s="6">
        <f>[1]Hybrid!Z41</f>
        <v>62.498846739999998</v>
      </c>
      <c r="AB375" s="6">
        <f>[1]Hybrid!AA41</f>
        <v>66.694044140000003</v>
      </c>
      <c r="AC375" s="6">
        <f>[1]Hybrid!AB41</f>
        <v>71.039793239999995</v>
      </c>
      <c r="AD375" s="6">
        <f>[1]Hybrid!AC41</f>
        <v>75.543208149999998</v>
      </c>
      <c r="AE375" s="6">
        <f>[1]Hybrid!AD41</f>
        <v>80.208779870000001</v>
      </c>
      <c r="AF375" s="6">
        <f>[1]Hybrid!AE41</f>
        <v>85.037237379999993</v>
      </c>
      <c r="AG375" s="6">
        <f>[1]Hybrid!AF41</f>
        <v>90.025740760000005</v>
      </c>
      <c r="AH375" s="6">
        <f>[1]Hybrid!AG41</f>
        <v>95.16863764</v>
      </c>
      <c r="AI375" s="6">
        <f>[1]Hybrid!AH41</f>
        <v>100.45838620000001</v>
      </c>
      <c r="AJ375" s="6">
        <f>[1]Hybrid!AI41</f>
        <v>105.8862883</v>
      </c>
      <c r="AK375" s="6">
        <f>[1]Hybrid!AJ41</f>
        <v>111.44281460000001</v>
      </c>
      <c r="AL375" s="6">
        <f>[1]Hybrid!AK41</f>
        <v>117.1174991</v>
      </c>
    </row>
    <row r="376" spans="2:3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2.2631739710000001</v>
      </c>
      <c r="E376" s="6">
        <f>[1]Hybrid!D43</f>
        <v>2.8155767429999998</v>
      </c>
      <c r="F376" s="6">
        <f>[1]Hybrid!E43</f>
        <v>3.3620782660000001</v>
      </c>
      <c r="G376" s="6">
        <f>[1]Hybrid!F43</f>
        <v>3.8927421710000001</v>
      </c>
      <c r="H376" s="6">
        <f>[1]Hybrid!G43</f>
        <v>4.404067092</v>
      </c>
      <c r="I376" s="6">
        <f>[1]Hybrid!H43</f>
        <v>4.8950895640000001</v>
      </c>
      <c r="J376" s="6">
        <f>[1]Hybrid!I43</f>
        <v>5.3678164639999997</v>
      </c>
      <c r="K376" s="6">
        <f>[1]Hybrid!J43</f>
        <v>5.8244249039999998</v>
      </c>
      <c r="L376" s="6">
        <f>[1]Hybrid!K43</f>
        <v>6.2666959709999999</v>
      </c>
      <c r="M376" s="6">
        <f>[1]Hybrid!L43</f>
        <v>6.6971176659999996</v>
      </c>
      <c r="N376" s="6">
        <f>[1]Hybrid!M43</f>
        <v>7.113881106</v>
      </c>
      <c r="O376" s="6">
        <f>[1]Hybrid!N43</f>
        <v>7.5158838599999997</v>
      </c>
      <c r="P376" s="6">
        <f>[1]Hybrid!O43</f>
        <v>7.9013897220000002</v>
      </c>
      <c r="Q376" s="6">
        <f>[1]Hybrid!P43</f>
        <v>8.2686627609999999</v>
      </c>
      <c r="R376" s="6">
        <f>[1]Hybrid!Q43</f>
        <v>8.6162895069999994</v>
      </c>
      <c r="S376" s="6">
        <f>[1]Hybrid!R43</f>
        <v>8.943294474</v>
      </c>
      <c r="T376" s="6">
        <f>[1]Hybrid!S43</f>
        <v>9.2491358869999996</v>
      </c>
      <c r="U376" s="6">
        <f>[1]Hybrid!T43</f>
        <v>9.5336481259999992</v>
      </c>
      <c r="V376" s="6">
        <f>[1]Hybrid!U43</f>
        <v>9.7969733669999997</v>
      </c>
      <c r="W376" s="6">
        <f>[1]Hybrid!V43</f>
        <v>10.038423010000001</v>
      </c>
      <c r="X376" s="6">
        <f>[1]Hybrid!W43</f>
        <v>10.25968247</v>
      </c>
      <c r="Y376" s="6">
        <f>[1]Hybrid!X43</f>
        <v>10.461630339999999</v>
      </c>
      <c r="Z376" s="6">
        <f>[1]Hybrid!Y43</f>
        <v>10.645138680000001</v>
      </c>
      <c r="AA376" s="6">
        <f>[1]Hybrid!Z43</f>
        <v>10.810963190000001</v>
      </c>
      <c r="AB376" s="6">
        <f>[1]Hybrid!AA43</f>
        <v>10.95686589</v>
      </c>
      <c r="AC376" s="6">
        <f>[1]Hybrid!AB43</f>
        <v>11.085293220000001</v>
      </c>
      <c r="AD376" s="6">
        <f>[1]Hybrid!AC43</f>
        <v>11.197124240000001</v>
      </c>
      <c r="AE376" s="6">
        <f>[1]Hybrid!AD43</f>
        <v>11.29314321</v>
      </c>
      <c r="AF376" s="6">
        <f>[1]Hybrid!AE43</f>
        <v>11.37388035</v>
      </c>
      <c r="AG376" s="6">
        <f>[1]Hybrid!AF43</f>
        <v>11.439586670000001</v>
      </c>
      <c r="AH376" s="6">
        <f>[1]Hybrid!AG43</f>
        <v>11.490295890000001</v>
      </c>
      <c r="AI376" s="6">
        <f>[1]Hybrid!AH43</f>
        <v>11.525934769999999</v>
      </c>
      <c r="AJ376" s="6">
        <f>[1]Hybrid!AI43</f>
        <v>11.546434250000001</v>
      </c>
      <c r="AK376" s="6">
        <f>[1]Hybrid!AJ43</f>
        <v>11.551804840000001</v>
      </c>
      <c r="AL376" s="6">
        <f>[1]Hybrid!AK43</f>
        <v>11.542162319999999</v>
      </c>
    </row>
    <row r="377" spans="2:3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4.1089672369999999</v>
      </c>
      <c r="E377" s="6">
        <f>[1]Hybrid!D45</f>
        <v>5.1175531430000003</v>
      </c>
      <c r="F377" s="6">
        <f>[1]Hybrid!E45</f>
        <v>6.0904153680000004</v>
      </c>
      <c r="G377" s="6">
        <f>[1]Hybrid!F45</f>
        <v>7.0065796320000002</v>
      </c>
      <c r="H377" s="6">
        <f>[1]Hybrid!G45</f>
        <v>7.8578602139999996</v>
      </c>
      <c r="I377" s="6">
        <f>[1]Hybrid!H45</f>
        <v>8.6414688399999999</v>
      </c>
      <c r="J377" s="6">
        <f>[1]Hybrid!I45</f>
        <v>9.360352572</v>
      </c>
      <c r="K377" s="6">
        <f>[1]Hybrid!J45</f>
        <v>10.01822507</v>
      </c>
      <c r="L377" s="6">
        <f>[1]Hybrid!K45</f>
        <v>10.618661060000001</v>
      </c>
      <c r="M377" s="6">
        <f>[1]Hybrid!L45</f>
        <v>11.166581559999999</v>
      </c>
      <c r="N377" s="6">
        <f>[1]Hybrid!M45</f>
        <v>11.66087548</v>
      </c>
      <c r="O377" s="6">
        <f>[1]Hybrid!N45</f>
        <v>12.10155243</v>
      </c>
      <c r="P377" s="6">
        <f>[1]Hybrid!O45</f>
        <v>12.48792832</v>
      </c>
      <c r="Q377" s="6">
        <f>[1]Hybrid!P45</f>
        <v>12.81970375</v>
      </c>
      <c r="R377" s="6">
        <f>[1]Hybrid!Q45</f>
        <v>13.0974591</v>
      </c>
      <c r="S377" s="6">
        <f>[1]Hybrid!R45</f>
        <v>13.32272719</v>
      </c>
      <c r="T377" s="6">
        <f>[1]Hybrid!S45</f>
        <v>13.49782164</v>
      </c>
      <c r="U377" s="6">
        <f>[1]Hybrid!T45</f>
        <v>13.625577699999999</v>
      </c>
      <c r="V377" s="6">
        <f>[1]Hybrid!U45</f>
        <v>13.70911175</v>
      </c>
      <c r="W377" s="6">
        <f>[1]Hybrid!V45</f>
        <v>13.75061835</v>
      </c>
      <c r="X377" s="6">
        <f>[1]Hybrid!W45</f>
        <v>13.75437052</v>
      </c>
      <c r="Y377" s="6">
        <f>[1]Hybrid!X45</f>
        <v>13.72370489</v>
      </c>
      <c r="Z377" s="6">
        <f>[1]Hybrid!Y45</f>
        <v>13.66175892</v>
      </c>
      <c r="AA377" s="6">
        <f>[1]Hybrid!Z45</f>
        <v>13.571371449999999</v>
      </c>
      <c r="AB377" s="6">
        <f>[1]Hybrid!AA45</f>
        <v>13.452963199999999</v>
      </c>
      <c r="AC377" s="6">
        <f>[1]Hybrid!AB45</f>
        <v>13.31038071</v>
      </c>
      <c r="AD377" s="6">
        <f>[1]Hybrid!AC45</f>
        <v>13.14621606</v>
      </c>
      <c r="AE377" s="6">
        <f>[1]Hybrid!AD45</f>
        <v>12.962922949999999</v>
      </c>
      <c r="AF377" s="6">
        <f>[1]Hybrid!AE45</f>
        <v>12.762664579999999</v>
      </c>
      <c r="AG377" s="6">
        <f>[1]Hybrid!AF45</f>
        <v>12.54728854</v>
      </c>
      <c r="AH377" s="6">
        <f>[1]Hybrid!AG45</f>
        <v>12.31838726</v>
      </c>
      <c r="AI377" s="6">
        <f>[1]Hybrid!AH45</f>
        <v>12.077399160000001</v>
      </c>
      <c r="AJ377" s="6">
        <f>[1]Hybrid!AI45</f>
        <v>11.82570269</v>
      </c>
      <c r="AK377" s="6">
        <f>[1]Hybrid!AJ45</f>
        <v>11.56467243</v>
      </c>
      <c r="AL377" s="6">
        <f>[1]Hybrid!AK45</f>
        <v>11.2956909</v>
      </c>
    </row>
    <row r="378" spans="2:3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0.4502916602</v>
      </c>
      <c r="E378" s="6">
        <f>[1]Hybrid!D47</f>
        <v>0.47777468490000002</v>
      </c>
      <c r="F378" s="6">
        <f>[1]Hybrid!E47</f>
        <v>0.50651924459999997</v>
      </c>
      <c r="G378" s="6">
        <f>[1]Hybrid!F47</f>
        <v>0.53560430820000005</v>
      </c>
      <c r="H378" s="6">
        <f>[1]Hybrid!G47</f>
        <v>0.56456175099999995</v>
      </c>
      <c r="I378" s="6">
        <f>[1]Hybrid!H47</f>
        <v>0.59309267249999997</v>
      </c>
      <c r="J378" s="6">
        <f>[1]Hybrid!I47</f>
        <v>0.62116465460000003</v>
      </c>
      <c r="K378" s="6">
        <f>[1]Hybrid!J47</f>
        <v>0.64879079399999995</v>
      </c>
      <c r="L378" s="6">
        <f>[1]Hybrid!K47</f>
        <v>0.67598341319999999</v>
      </c>
      <c r="M378" s="6">
        <f>[1]Hybrid!L47</f>
        <v>0.70288123930000002</v>
      </c>
      <c r="N378" s="6">
        <f>[1]Hybrid!M47</f>
        <v>0.72925843410000002</v>
      </c>
      <c r="O378" s="6">
        <f>[1]Hybrid!N47</f>
        <v>0.75507000069999997</v>
      </c>
      <c r="P378" s="6">
        <f>[1]Hybrid!O47</f>
        <v>0.78028559720000001</v>
      </c>
      <c r="Q378" s="6">
        <f>[1]Hybrid!P47</f>
        <v>0.80489629669999996</v>
      </c>
      <c r="R378" s="6">
        <f>[1]Hybrid!Q47</f>
        <v>0.82889879929999999</v>
      </c>
      <c r="S378" s="6">
        <f>[1]Hybrid!R47</f>
        <v>0.85227841189999998</v>
      </c>
      <c r="T378" s="6">
        <f>[1]Hybrid!S47</f>
        <v>0.87500021080000001</v>
      </c>
      <c r="U378" s="6">
        <f>[1]Hybrid!T47</f>
        <v>0.89701006049999998</v>
      </c>
      <c r="V378" s="6">
        <f>[1]Hybrid!U47</f>
        <v>0.9182423019</v>
      </c>
      <c r="W378" s="6">
        <f>[1]Hybrid!V47</f>
        <v>0.93850396039999995</v>
      </c>
      <c r="X378" s="6">
        <f>[1]Hybrid!W47</f>
        <v>0.9578775692</v>
      </c>
      <c r="Y378" s="6">
        <f>[1]Hybrid!X47</f>
        <v>0.97631671019999999</v>
      </c>
      <c r="Z378" s="6">
        <f>[1]Hybrid!Y47</f>
        <v>0.99376907749999999</v>
      </c>
      <c r="AA378" s="6">
        <f>[1]Hybrid!Z47</f>
        <v>1.0101819759999999</v>
      </c>
      <c r="AB378" s="6">
        <f>[1]Hybrid!AA47</f>
        <v>1.025137103</v>
      </c>
      <c r="AC378" s="6">
        <f>[1]Hybrid!AB47</f>
        <v>1.038882616</v>
      </c>
      <c r="AD378" s="6">
        <f>[1]Hybrid!AC47</f>
        <v>1.051430372</v>
      </c>
      <c r="AE378" s="6">
        <f>[1]Hybrid!AD47</f>
        <v>1.062764547</v>
      </c>
      <c r="AF378" s="6">
        <f>[1]Hybrid!AE47</f>
        <v>1.0728499469999999</v>
      </c>
      <c r="AG378" s="6">
        <f>[1]Hybrid!AF47</f>
        <v>1.081648645</v>
      </c>
      <c r="AH378" s="6">
        <f>[1]Hybrid!AG47</f>
        <v>1.08913225</v>
      </c>
      <c r="AI378" s="6">
        <f>[1]Hybrid!AH47</f>
        <v>1.0952868019999999</v>
      </c>
      <c r="AJ378" s="6">
        <f>[1]Hybrid!AI47</f>
        <v>1.100110951</v>
      </c>
      <c r="AK378" s="6">
        <f>[1]Hybrid!AJ47</f>
        <v>1.103610293</v>
      </c>
      <c r="AL378" s="6">
        <f>[1]Hybrid!AK47</f>
        <v>1.105791301</v>
      </c>
    </row>
    <row r="379" spans="2:3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0.51319015499999998</v>
      </c>
      <c r="E379" s="6">
        <f>[1]Hybrid!D49</f>
        <v>0.53439477459999996</v>
      </c>
      <c r="F379" s="6">
        <f>[1]Hybrid!E49</f>
        <v>0.55703101249999998</v>
      </c>
      <c r="G379" s="6">
        <f>[1]Hybrid!F49</f>
        <v>0.58017912819999995</v>
      </c>
      <c r="H379" s="6">
        <f>[1]Hybrid!G49</f>
        <v>0.60335701279999998</v>
      </c>
      <c r="I379" s="6">
        <f>[1]Hybrid!H49</f>
        <v>0.62624845419999997</v>
      </c>
      <c r="J379" s="6">
        <f>[1]Hybrid!I49</f>
        <v>0.64879508959999999</v>
      </c>
      <c r="K379" s="6">
        <f>[1]Hybrid!J49</f>
        <v>0.6709854435</v>
      </c>
      <c r="L379" s="6">
        <f>[1]Hybrid!K49</f>
        <v>0.69281125619999995</v>
      </c>
      <c r="M379" s="6">
        <f>[1]Hybrid!L49</f>
        <v>0.71438628280000005</v>
      </c>
      <c r="N379" s="6">
        <f>[1]Hybrid!M49</f>
        <v>0.7354838199</v>
      </c>
      <c r="O379" s="6">
        <f>[1]Hybrid!N49</f>
        <v>0.75604728190000003</v>
      </c>
      <c r="P379" s="6">
        <f>[1]Hybrid!O49</f>
        <v>0.77603393860000003</v>
      </c>
      <c r="Q379" s="6">
        <f>[1]Hybrid!P49</f>
        <v>0.79542228709999996</v>
      </c>
      <c r="R379" s="6">
        <f>[1]Hybrid!Q49</f>
        <v>0.81419827140000001</v>
      </c>
      <c r="S379" s="6">
        <f>[1]Hybrid!R49</f>
        <v>0.83233992810000001</v>
      </c>
      <c r="T379" s="6">
        <f>[1]Hybrid!S49</f>
        <v>0.84980911879999999</v>
      </c>
      <c r="U379" s="6">
        <f>[1]Hybrid!T49</f>
        <v>0.86655199100000002</v>
      </c>
      <c r="V379" s="6">
        <f>[1]Hybrid!U49</f>
        <v>0.88250543739999998</v>
      </c>
      <c r="W379" s="6">
        <f>[1]Hybrid!V49</f>
        <v>0.89749183980000002</v>
      </c>
      <c r="X379" s="6">
        <f>[1]Hybrid!W49</f>
        <v>0.91158348889999996</v>
      </c>
      <c r="Y379" s="6">
        <f>[1]Hybrid!X49</f>
        <v>0.92473713349999997</v>
      </c>
      <c r="Z379" s="6">
        <f>[1]Hybrid!Y49</f>
        <v>0.93690507479999996</v>
      </c>
      <c r="AA379" s="6">
        <f>[1]Hybrid!Z49</f>
        <v>0.94803984490000004</v>
      </c>
      <c r="AB379" s="6">
        <f>[1]Hybrid!AA49</f>
        <v>0.95777108789999998</v>
      </c>
      <c r="AC379" s="6">
        <f>[1]Hybrid!AB49</f>
        <v>0.9663198408</v>
      </c>
      <c r="AD379" s="6">
        <f>[1]Hybrid!AC49</f>
        <v>0.97369988220000003</v>
      </c>
      <c r="AE379" s="6">
        <f>[1]Hybrid!AD49</f>
        <v>0.97990288329999997</v>
      </c>
      <c r="AF379" s="6">
        <f>[1]Hybrid!AE49</f>
        <v>0.98490481190000001</v>
      </c>
      <c r="AG379" s="6">
        <f>[1]Hybrid!AF49</f>
        <v>0.98867972500000001</v>
      </c>
      <c r="AH379" s="6">
        <f>[1]Hybrid!AG49</f>
        <v>0.99121013039999994</v>
      </c>
      <c r="AI379" s="6">
        <f>[1]Hybrid!AH49</f>
        <v>0.99249135239999997</v>
      </c>
      <c r="AJ379" s="6">
        <f>[1]Hybrid!AI49</f>
        <v>0.99253035300000003</v>
      </c>
      <c r="AK379" s="6">
        <f>[1]Hybrid!AJ49</f>
        <v>0.99134130030000001</v>
      </c>
      <c r="AL379" s="6">
        <f>[1]Hybrid!AK49</f>
        <v>0.98894065809999998</v>
      </c>
    </row>
    <row r="380" spans="2:3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0.41515657919999999</v>
      </c>
      <c r="E380" s="6">
        <f>[1]Hybrid!D51</f>
        <v>0.42600276500000001</v>
      </c>
      <c r="F380" s="6">
        <f>[1]Hybrid!E51</f>
        <v>0.43800895020000002</v>
      </c>
      <c r="G380" s="6">
        <f>[1]Hybrid!F51</f>
        <v>0.4505135837</v>
      </c>
      <c r="H380" s="6">
        <f>[1]Hybrid!G51</f>
        <v>0.46316019330000002</v>
      </c>
      <c r="I380" s="6">
        <f>[1]Hybrid!H51</f>
        <v>0.4757096884</v>
      </c>
      <c r="J380" s="6">
        <f>[1]Hybrid!I51</f>
        <v>0.48810301909999998</v>
      </c>
      <c r="K380" s="6">
        <f>[1]Hybrid!J51</f>
        <v>0.50031592599999997</v>
      </c>
      <c r="L380" s="6">
        <f>[1]Hybrid!K51</f>
        <v>0.51232918859999999</v>
      </c>
      <c r="M380" s="6">
        <f>[1]Hybrid!L51</f>
        <v>0.5242086171</v>
      </c>
      <c r="N380" s="6">
        <f>[1]Hybrid!M51</f>
        <v>0.5357908495</v>
      </c>
      <c r="O380" s="6">
        <f>[1]Hybrid!N51</f>
        <v>0.54702807689999999</v>
      </c>
      <c r="P380" s="6">
        <f>[1]Hybrid!O51</f>
        <v>0.55788208429999997</v>
      </c>
      <c r="Q380" s="6">
        <f>[1]Hybrid!P51</f>
        <v>0.56832991499999996</v>
      </c>
      <c r="R380" s="6">
        <f>[1]Hybrid!Q51</f>
        <v>0.57835520110000005</v>
      </c>
      <c r="S380" s="6">
        <f>[1]Hybrid!R51</f>
        <v>0.5879381414</v>
      </c>
      <c r="T380" s="6">
        <f>[1]Hybrid!S51</f>
        <v>0.59704988530000003</v>
      </c>
      <c r="U380" s="6">
        <f>[1]Hybrid!T51</f>
        <v>0.60565249860000003</v>
      </c>
      <c r="V380" s="6">
        <f>[1]Hybrid!U51</f>
        <v>0.61370283410000004</v>
      </c>
      <c r="W380" s="6">
        <f>[1]Hybrid!V51</f>
        <v>0.62108346270000003</v>
      </c>
      <c r="X380" s="6">
        <f>[1]Hybrid!W51</f>
        <v>0.62784064689999997</v>
      </c>
      <c r="Y380" s="6">
        <f>[1]Hybrid!X51</f>
        <v>0.63394598020000004</v>
      </c>
      <c r="Z380" s="6">
        <f>[1]Hybrid!Y51</f>
        <v>0.63936877459999997</v>
      </c>
      <c r="AA380" s="6">
        <f>[1]Hybrid!Z51</f>
        <v>0.64407892710000003</v>
      </c>
      <c r="AB380" s="6">
        <f>[1]Hybrid!AA51</f>
        <v>0.64784043329999996</v>
      </c>
      <c r="AC380" s="6">
        <f>[1]Hybrid!AB51</f>
        <v>0.65079637010000002</v>
      </c>
      <c r="AD380" s="6">
        <f>[1]Hybrid!AC51</f>
        <v>0.65295855030000005</v>
      </c>
      <c r="AE380" s="6">
        <f>[1]Hybrid!AD51</f>
        <v>0.65432614820000001</v>
      </c>
      <c r="AF380" s="6">
        <f>[1]Hybrid!AE51</f>
        <v>0.65488916880000003</v>
      </c>
      <c r="AG380" s="6">
        <f>[1]Hybrid!AF51</f>
        <v>0.65463668310000001</v>
      </c>
      <c r="AH380" s="6">
        <f>[1]Hybrid!AG51</f>
        <v>0.65356314569999996</v>
      </c>
      <c r="AI380" s="6">
        <f>[1]Hybrid!AH51</f>
        <v>0.65167120379999999</v>
      </c>
      <c r="AJ380" s="6">
        <f>[1]Hybrid!AI51</f>
        <v>0.64897119150000004</v>
      </c>
      <c r="AK380" s="6">
        <f>[1]Hybrid!AJ51</f>
        <v>0.64547861399999995</v>
      </c>
      <c r="AL380" s="6">
        <f>[1]Hybrid!AK51</f>
        <v>0.64121124360000004</v>
      </c>
    </row>
    <row r="381" spans="2:3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0.25270390659999997</v>
      </c>
      <c r="E381" s="6">
        <f>[1]Hybrid!D53</f>
        <v>0.25710867869999998</v>
      </c>
      <c r="F381" s="6">
        <f>[1]Hybrid!E53</f>
        <v>0.26210352120000002</v>
      </c>
      <c r="G381" s="6">
        <f>[1]Hybrid!F53</f>
        <v>0.26730318930000002</v>
      </c>
      <c r="H381" s="6">
        <f>[1]Hybrid!G53</f>
        <v>0.27249816090000001</v>
      </c>
      <c r="I381" s="6">
        <f>[1]Hybrid!H53</f>
        <v>0.27755032169999999</v>
      </c>
      <c r="J381" s="6">
        <f>[1]Hybrid!I53</f>
        <v>0.28242444709999998</v>
      </c>
      <c r="K381" s="6">
        <f>[1]Hybrid!J53</f>
        <v>0.2871081493</v>
      </c>
      <c r="L381" s="6">
        <f>[1]Hybrid!K53</f>
        <v>0.2915955341</v>
      </c>
      <c r="M381" s="6">
        <f>[1]Hybrid!L53</f>
        <v>0.29592678919999998</v>
      </c>
      <c r="N381" s="6">
        <f>[1]Hybrid!M53</f>
        <v>0.30002396460000003</v>
      </c>
      <c r="O381" s="6">
        <f>[1]Hybrid!N53</f>
        <v>0.30386594770000003</v>
      </c>
      <c r="P381" s="6">
        <f>[1]Hybrid!O53</f>
        <v>0.30743431240000002</v>
      </c>
      <c r="Q381" s="6">
        <f>[1]Hybrid!P53</f>
        <v>0.310718522</v>
      </c>
      <c r="R381" s="6">
        <f>[1]Hybrid!Q53</f>
        <v>0.31371345830000003</v>
      </c>
      <c r="S381" s="6">
        <f>[1]Hybrid!R53</f>
        <v>0.31641535809999999</v>
      </c>
      <c r="T381" s="6">
        <f>[1]Hybrid!S53</f>
        <v>0.31881902849999999</v>
      </c>
      <c r="U381" s="6">
        <f>[1]Hybrid!T53</f>
        <v>0.32091719439999999</v>
      </c>
      <c r="V381" s="6">
        <f>[1]Hybrid!U53</f>
        <v>0.32270154680000002</v>
      </c>
      <c r="W381" s="6">
        <f>[1]Hybrid!V53</f>
        <v>0.32412909470000001</v>
      </c>
      <c r="X381" s="6">
        <f>[1]Hybrid!W53</f>
        <v>0.32523480989999998</v>
      </c>
      <c r="Y381" s="6">
        <f>[1]Hybrid!X53</f>
        <v>0.32601959730000002</v>
      </c>
      <c r="Z381" s="6">
        <f>[1]Hybrid!Y53</f>
        <v>0.32648369849999997</v>
      </c>
      <c r="AA381" s="6">
        <f>[1]Hybrid!Z53</f>
        <v>0.32662734770000001</v>
      </c>
      <c r="AB381" s="6">
        <f>[1]Hybrid!AA53</f>
        <v>0.3263552113</v>
      </c>
      <c r="AC381" s="6">
        <f>[1]Hybrid!AB53</f>
        <v>0.32574519130000001</v>
      </c>
      <c r="AD381" s="6">
        <f>[1]Hybrid!AC53</f>
        <v>0.32481636559999999</v>
      </c>
      <c r="AE381" s="6">
        <f>[1]Hybrid!AD53</f>
        <v>0.32358269789999999</v>
      </c>
      <c r="AF381" s="6">
        <f>[1]Hybrid!AE53</f>
        <v>0.32205285309999998</v>
      </c>
      <c r="AG381" s="6">
        <f>[1]Hybrid!AF53</f>
        <v>0.3202326929</v>
      </c>
      <c r="AH381" s="6">
        <f>[1]Hybrid!AG53</f>
        <v>0.31812774290000001</v>
      </c>
      <c r="AI381" s="6">
        <f>[1]Hybrid!AH53</f>
        <v>0.3157447927</v>
      </c>
      <c r="AJ381" s="6">
        <f>[1]Hybrid!AI53</f>
        <v>0.31309234590000001</v>
      </c>
      <c r="AK381" s="6">
        <f>[1]Hybrid!AJ53</f>
        <v>0.31018011600000001</v>
      </c>
      <c r="AL381" s="6">
        <f>[1]Hybrid!AK53</f>
        <v>0.30701803849999998</v>
      </c>
    </row>
    <row r="382" spans="2:3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0.15230978840000001</v>
      </c>
      <c r="E382" s="6">
        <f>[1]Hybrid!D55</f>
        <v>0.1551013527</v>
      </c>
      <c r="F382" s="6">
        <f>[1]Hybrid!E55</f>
        <v>0.15815939600000001</v>
      </c>
      <c r="G382" s="6">
        <f>[1]Hybrid!F55</f>
        <v>0.16123761340000001</v>
      </c>
      <c r="H382" s="6">
        <f>[1]Hybrid!G55</f>
        <v>0.16420069819999999</v>
      </c>
      <c r="I382" s="6">
        <f>[1]Hybrid!H55</f>
        <v>0.16696039970000001</v>
      </c>
      <c r="J382" s="6">
        <f>[1]Hybrid!I55</f>
        <v>0.16949327450000001</v>
      </c>
      <c r="K382" s="6">
        <f>[1]Hybrid!J55</f>
        <v>0.17179209640000001</v>
      </c>
      <c r="L382" s="6">
        <f>[1]Hybrid!K55</f>
        <v>0.173856072</v>
      </c>
      <c r="M382" s="6">
        <f>[1]Hybrid!L55</f>
        <v>0.1757124005</v>
      </c>
      <c r="N382" s="6">
        <f>[1]Hybrid!M55</f>
        <v>0.17732208769999999</v>
      </c>
      <c r="O382" s="6">
        <f>[1]Hybrid!N55</f>
        <v>0.17867782669999999</v>
      </c>
      <c r="P382" s="6">
        <f>[1]Hybrid!O55</f>
        <v>0.1797734429</v>
      </c>
      <c r="Q382" s="6">
        <f>[1]Hybrid!P55</f>
        <v>0.18060769260000001</v>
      </c>
      <c r="R382" s="6">
        <f>[1]Hybrid!Q55</f>
        <v>0.18118351869999999</v>
      </c>
      <c r="S382" s="6">
        <f>[1]Hybrid!R55</f>
        <v>0.18150598809999999</v>
      </c>
      <c r="T382" s="6">
        <f>[1]Hybrid!S55</f>
        <v>0.1815805358</v>
      </c>
      <c r="U382" s="6">
        <f>[1]Hybrid!T55</f>
        <v>0.18141214289999999</v>
      </c>
      <c r="V382" s="6">
        <f>[1]Hybrid!U55</f>
        <v>0.1810054025</v>
      </c>
      <c r="W382" s="6">
        <f>[1]Hybrid!V55</f>
        <v>0.1803474501</v>
      </c>
      <c r="X382" s="6">
        <f>[1]Hybrid!W55</f>
        <v>0.17946382899999999</v>
      </c>
      <c r="Y382" s="6">
        <f>[1]Hybrid!X55</f>
        <v>0.17836317879999999</v>
      </c>
      <c r="Z382" s="6">
        <f>[1]Hybrid!Y55</f>
        <v>0.17705359330000001</v>
      </c>
      <c r="AA382" s="6">
        <f>[1]Hybrid!Z55</f>
        <v>0.17554277679999999</v>
      </c>
      <c r="AB382" s="6">
        <f>[1]Hybrid!AA55</f>
        <v>0.17379402120000001</v>
      </c>
      <c r="AC382" s="6">
        <f>[1]Hybrid!AB55</f>
        <v>0.1718505065</v>
      </c>
      <c r="AD382" s="6">
        <f>[1]Hybrid!AC55</f>
        <v>0.16972859970000001</v>
      </c>
      <c r="AE382" s="6">
        <f>[1]Hybrid!AD55</f>
        <v>0.16744263849999999</v>
      </c>
      <c r="AF382" s="6">
        <f>[1]Hybrid!AE55</f>
        <v>0.16500432070000001</v>
      </c>
      <c r="AG382" s="6">
        <f>[1]Hybrid!AF55</f>
        <v>0.1624234823</v>
      </c>
      <c r="AH382" s="6">
        <f>[1]Hybrid!AG55</f>
        <v>0.1597091232</v>
      </c>
      <c r="AI382" s="6">
        <f>[1]Hybrid!AH55</f>
        <v>0.15687025830000001</v>
      </c>
      <c r="AJ382" s="6">
        <f>[1]Hybrid!AI55</f>
        <v>0.15391635340000001</v>
      </c>
      <c r="AK382" s="6">
        <f>[1]Hybrid!AJ55</f>
        <v>0.15085731990000001</v>
      </c>
      <c r="AL382" s="6">
        <f>[1]Hybrid!AK55</f>
        <v>0.14770320789999999</v>
      </c>
    </row>
    <row r="383" spans="2:3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7.5433085900000002E-2</v>
      </c>
      <c r="E383" s="6">
        <f>[1]Hybrid!D57</f>
        <v>7.6481592900000006E-2</v>
      </c>
      <c r="F383" s="6">
        <f>[1]Hybrid!E57</f>
        <v>7.7530963199999997E-2</v>
      </c>
      <c r="G383" s="6">
        <f>[1]Hybrid!F57</f>
        <v>7.84512188E-2</v>
      </c>
      <c r="H383" s="6">
        <f>[1]Hybrid!G57</f>
        <v>7.9172768099999999E-2</v>
      </c>
      <c r="I383" s="6">
        <f>[1]Hybrid!H57</f>
        <v>7.9655241900000007E-2</v>
      </c>
      <c r="J383" s="6">
        <f>[1]Hybrid!I57</f>
        <v>7.98928312E-2</v>
      </c>
      <c r="K383" s="6">
        <f>[1]Hybrid!J57</f>
        <v>7.9891195299999995E-2</v>
      </c>
      <c r="L383" s="6">
        <f>[1]Hybrid!K57</f>
        <v>7.9662434700000007E-2</v>
      </c>
      <c r="M383" s="6">
        <f>[1]Hybrid!L57</f>
        <v>7.9231122799999998E-2</v>
      </c>
      <c r="N383" s="6">
        <f>[1]Hybrid!M57</f>
        <v>7.8598305600000001E-2</v>
      </c>
      <c r="O383" s="6">
        <f>[1]Hybrid!N57</f>
        <v>7.7775520700000003E-2</v>
      </c>
      <c r="P383" s="6">
        <f>[1]Hybrid!O57</f>
        <v>7.6773929399999996E-2</v>
      </c>
      <c r="Q383" s="6">
        <f>[1]Hybrid!P57</f>
        <v>7.5606583099999999E-2</v>
      </c>
      <c r="R383" s="6">
        <f>[1]Hybrid!Q57</f>
        <v>7.4288629100000003E-2</v>
      </c>
      <c r="S383" s="6">
        <f>[1]Hybrid!R57</f>
        <v>7.2836526200000001E-2</v>
      </c>
      <c r="T383" s="6">
        <f>[1]Hybrid!S57</f>
        <v>7.1267008699999995E-2</v>
      </c>
      <c r="U383" s="6">
        <f>[1]Hybrid!T57</f>
        <v>6.9596250499999998E-2</v>
      </c>
      <c r="V383" s="6">
        <f>[1]Hybrid!U57</f>
        <v>6.7839407300000001E-2</v>
      </c>
      <c r="W383" s="6">
        <f>[1]Hybrid!V57</f>
        <v>6.6006396300000006E-2</v>
      </c>
      <c r="X383" s="6">
        <f>[1]Hybrid!W57</f>
        <v>6.4114810199999997E-2</v>
      </c>
      <c r="Y383" s="6">
        <f>[1]Hybrid!X57</f>
        <v>6.2177409400000001E-2</v>
      </c>
      <c r="Z383" s="6">
        <f>[1]Hybrid!Y57</f>
        <v>6.0205785999999997E-2</v>
      </c>
      <c r="AA383" s="6">
        <f>[1]Hybrid!Z57</f>
        <v>5.8210358500000003E-2</v>
      </c>
      <c r="AB383" s="6">
        <f>[1]Hybrid!AA57</f>
        <v>5.6192559699999999E-2</v>
      </c>
      <c r="AC383" s="6">
        <f>[1]Hybrid!AB57</f>
        <v>5.4167476999999999E-2</v>
      </c>
      <c r="AD383" s="6">
        <f>[1]Hybrid!AC57</f>
        <v>5.2144808299999998E-2</v>
      </c>
      <c r="AE383" s="6">
        <f>[1]Hybrid!AD57</f>
        <v>5.0133309100000002E-2</v>
      </c>
      <c r="AF383" s="6">
        <f>[1]Hybrid!AE57</f>
        <v>4.8140439899999998E-2</v>
      </c>
      <c r="AG383" s="6">
        <f>[1]Hybrid!AF57</f>
        <v>4.6172405399999998E-2</v>
      </c>
      <c r="AH383" s="6">
        <f>[1]Hybrid!AG57</f>
        <v>4.4234384600000003E-2</v>
      </c>
      <c r="AI383" s="6">
        <f>[1]Hybrid!AH57</f>
        <v>4.2330813500000002E-2</v>
      </c>
      <c r="AJ383" s="6">
        <f>[1]Hybrid!AI57</f>
        <v>4.0465609200000002E-2</v>
      </c>
      <c r="AK383" s="6">
        <f>[1]Hybrid!AJ57</f>
        <v>3.8642284800000003E-2</v>
      </c>
      <c r="AL383" s="6">
        <f>[1]Hybrid!AK57</f>
        <v>3.6863965999999998E-2</v>
      </c>
    </row>
    <row r="384" spans="2:3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0.13614312840000001</v>
      </c>
      <c r="E384" s="6">
        <f>[1]Hybrid!D59</f>
        <v>0.1381479102</v>
      </c>
      <c r="F384" s="6">
        <f>[1]Hybrid!E59</f>
        <v>0.13992812360000001</v>
      </c>
      <c r="G384" s="6">
        <f>[1]Hybrid!F59</f>
        <v>0.1412367934</v>
      </c>
      <c r="H384" s="6">
        <f>[1]Hybrid!G59</f>
        <v>0.14195330819999999</v>
      </c>
      <c r="I384" s="6">
        <f>[1]Hybrid!H59</f>
        <v>0.1420231267</v>
      </c>
      <c r="J384" s="6">
        <f>[1]Hybrid!I59</f>
        <v>0.14146141800000001</v>
      </c>
      <c r="K384" s="6">
        <f>[1]Hybrid!J59</f>
        <v>0.14030908610000001</v>
      </c>
      <c r="L384" s="6">
        <f>[1]Hybrid!K59</f>
        <v>0.1386215713</v>
      </c>
      <c r="M384" s="6">
        <f>[1]Hybrid!L59</f>
        <v>0.13647380319999999</v>
      </c>
      <c r="N384" s="6">
        <f>[1]Hybrid!M59</f>
        <v>0.13390490769999999</v>
      </c>
      <c r="O384" s="6">
        <f>[1]Hybrid!N59</f>
        <v>0.1309659078</v>
      </c>
      <c r="P384" s="6">
        <f>[1]Hybrid!O59</f>
        <v>0.12770426109999999</v>
      </c>
      <c r="Q384" s="6">
        <f>[1]Hybrid!P59</f>
        <v>0.1241679156</v>
      </c>
      <c r="R384" s="6">
        <f>[1]Hybrid!Q59</f>
        <v>0.1204057303</v>
      </c>
      <c r="S384" s="6">
        <f>[1]Hybrid!R59</f>
        <v>0.1164660071</v>
      </c>
      <c r="T384" s="6">
        <f>[1]Hybrid!S59</f>
        <v>0.1123945509</v>
      </c>
      <c r="U384" s="6">
        <f>[1]Hybrid!T59</f>
        <v>0.1082331602</v>
      </c>
      <c r="V384" s="6">
        <f>[1]Hybrid!U59</f>
        <v>0.1040188978</v>
      </c>
      <c r="W384" s="6">
        <f>[1]Hybrid!V59</f>
        <v>9.9780110800000002E-2</v>
      </c>
      <c r="X384" s="6">
        <f>[1]Hybrid!W59</f>
        <v>9.5549165399999997E-2</v>
      </c>
      <c r="Y384" s="6">
        <f>[1]Hybrid!X59</f>
        <v>9.1350904699999999E-2</v>
      </c>
      <c r="Z384" s="6">
        <f>[1]Hybrid!Y59</f>
        <v>8.7206402700000005E-2</v>
      </c>
      <c r="AA384" s="6">
        <f>[1]Hybrid!Z59</f>
        <v>8.3133235999999999E-2</v>
      </c>
      <c r="AB384" s="6">
        <f>[1]Hybrid!AA59</f>
        <v>7.9139943300000001E-2</v>
      </c>
      <c r="AC384" s="6">
        <f>[1]Hybrid!AB59</f>
        <v>7.5243622999999996E-2</v>
      </c>
      <c r="AD384" s="6">
        <f>[1]Hybrid!AC59</f>
        <v>7.1455644400000004E-2</v>
      </c>
      <c r="AE384" s="6">
        <f>[1]Hybrid!AD59</f>
        <v>6.7785187199999999E-2</v>
      </c>
      <c r="AF384" s="6">
        <f>[1]Hybrid!AE59</f>
        <v>6.4239051699999994E-2</v>
      </c>
      <c r="AG384" s="6">
        <f>[1]Hybrid!AF59</f>
        <v>6.08218575E-2</v>
      </c>
      <c r="AH384" s="6">
        <f>[1]Hybrid!AG59</f>
        <v>5.7536428799999997E-2</v>
      </c>
      <c r="AI384" s="6">
        <f>[1]Hybrid!AH59</f>
        <v>5.4384208599999997E-2</v>
      </c>
      <c r="AJ384" s="6">
        <f>[1]Hybrid!AI59</f>
        <v>5.1365591199999998E-2</v>
      </c>
      <c r="AK384" s="6">
        <f>[1]Hybrid!AJ59</f>
        <v>4.8480134500000001E-2</v>
      </c>
      <c r="AL384" s="6">
        <f>[1]Hybrid!AK59</f>
        <v>4.57266749E-2</v>
      </c>
    </row>
    <row r="386" spans="1:3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</row>
    <row r="387" spans="1:3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89">D364+D371+D378</f>
        <v>7168.8964570502003</v>
      </c>
      <c r="E387" s="6">
        <f t="shared" si="89"/>
        <v>7280.5231006349004</v>
      </c>
      <c r="F387" s="6">
        <f t="shared" si="89"/>
        <v>7420.1661728946001</v>
      </c>
      <c r="G387" s="6">
        <f t="shared" si="89"/>
        <v>7575.9456867682002</v>
      </c>
      <c r="H387" s="6">
        <f t="shared" si="89"/>
        <v>7741.7649257210005</v>
      </c>
      <c r="I387" s="6">
        <f t="shared" si="89"/>
        <v>7913.7702560625003</v>
      </c>
      <c r="J387" s="6">
        <f t="shared" si="89"/>
        <v>8091.4612896746003</v>
      </c>
      <c r="K387" s="6">
        <f t="shared" si="89"/>
        <v>8274.9380818040008</v>
      </c>
      <c r="L387" s="6">
        <f t="shared" si="89"/>
        <v>8464.3011284132008</v>
      </c>
      <c r="M387" s="6">
        <f t="shared" si="89"/>
        <v>8661.192002539301</v>
      </c>
      <c r="N387" s="6">
        <f t="shared" si="89"/>
        <v>8862.7221712340997</v>
      </c>
      <c r="O387" s="6">
        <f t="shared" si="89"/>
        <v>9068.2286136006987</v>
      </c>
      <c r="P387" s="6">
        <f t="shared" si="89"/>
        <v>9277.2068756972003</v>
      </c>
      <c r="Q387" s="6">
        <f t="shared" si="89"/>
        <v>9489.4121635967003</v>
      </c>
      <c r="R387" s="6">
        <f t="shared" si="89"/>
        <v>9704.6800697993003</v>
      </c>
      <c r="S387" s="6">
        <f t="shared" si="89"/>
        <v>9922.732299711899</v>
      </c>
      <c r="T387" s="6">
        <f t="shared" si="89"/>
        <v>10143.085490510801</v>
      </c>
      <c r="U387" s="6">
        <f t="shared" si="89"/>
        <v>10365.0834300605</v>
      </c>
      <c r="V387" s="6">
        <f t="shared" si="89"/>
        <v>10588.010965501899</v>
      </c>
      <c r="W387" s="6">
        <f t="shared" si="89"/>
        <v>10809.574494860401</v>
      </c>
      <c r="X387" s="6">
        <f t="shared" si="89"/>
        <v>11031.215202769201</v>
      </c>
      <c r="Y387" s="6">
        <f t="shared" si="89"/>
        <v>11252.7596508102</v>
      </c>
      <c r="Z387" s="6">
        <f t="shared" si="89"/>
        <v>11474.0418690775</v>
      </c>
      <c r="AA387" s="6">
        <f t="shared" si="89"/>
        <v>11694.959160975999</v>
      </c>
      <c r="AB387" s="6">
        <f t="shared" si="89"/>
        <v>11910.371039103</v>
      </c>
      <c r="AC387" s="6">
        <f t="shared" si="89"/>
        <v>12124.389737616</v>
      </c>
      <c r="AD387" s="6">
        <f t="shared" si="89"/>
        <v>12337.850573371998</v>
      </c>
      <c r="AE387" s="6">
        <f t="shared" si="89"/>
        <v>12551.189626546999</v>
      </c>
      <c r="AF387" s="6">
        <f t="shared" si="89"/>
        <v>12764.534417947001</v>
      </c>
      <c r="AG387" s="6">
        <f t="shared" si="89"/>
        <v>12977.928685645</v>
      </c>
      <c r="AH387" s="6">
        <f t="shared" si="89"/>
        <v>13191.50942925</v>
      </c>
      <c r="AI387" s="6">
        <f t="shared" si="89"/>
        <v>13405.585051802</v>
      </c>
      <c r="AJ387" s="6">
        <f t="shared" si="89"/>
        <v>13620.614882951</v>
      </c>
      <c r="AK387" s="6">
        <f t="shared" si="89"/>
        <v>13837.125904292998</v>
      </c>
      <c r="AL387" s="6">
        <f t="shared" si="89"/>
        <v>14055.615400301002</v>
      </c>
    </row>
    <row r="388" spans="1:38" x14ac:dyDescent="0.3">
      <c r="B388" t="s">
        <v>71</v>
      </c>
      <c r="C388" s="6">
        <f t="shared" ref="C388:AL388" si="90">C365+C372+C379</f>
        <v>8263.1971436354015</v>
      </c>
      <c r="D388" s="6">
        <f t="shared" si="90"/>
        <v>8210.9970712949998</v>
      </c>
      <c r="E388" s="6">
        <f t="shared" si="90"/>
        <v>8213.3887342146008</v>
      </c>
      <c r="F388" s="6">
        <f t="shared" si="90"/>
        <v>8249.6256188425014</v>
      </c>
      <c r="G388" s="6">
        <f t="shared" si="90"/>
        <v>8307.5193743681994</v>
      </c>
      <c r="H388" s="6">
        <f t="shared" si="90"/>
        <v>8380.5036448928004</v>
      </c>
      <c r="I388" s="6">
        <f t="shared" si="90"/>
        <v>8464.2365437341996</v>
      </c>
      <c r="J388" s="6">
        <f t="shared" si="90"/>
        <v>8557.6446732896002</v>
      </c>
      <c r="K388" s="6">
        <f t="shared" si="90"/>
        <v>8660.2896720534991</v>
      </c>
      <c r="L388" s="6">
        <f t="shared" si="90"/>
        <v>8771.7978385562001</v>
      </c>
      <c r="M388" s="6">
        <f t="shared" si="90"/>
        <v>8893.2983554828006</v>
      </c>
      <c r="N388" s="6">
        <f t="shared" si="90"/>
        <v>9021.6946625199016</v>
      </c>
      <c r="O388" s="6">
        <f t="shared" si="90"/>
        <v>9155.9952655819015</v>
      </c>
      <c r="P388" s="6">
        <f t="shared" si="90"/>
        <v>9295.3671139385988</v>
      </c>
      <c r="Q388" s="6">
        <f t="shared" si="90"/>
        <v>9439.2434403870993</v>
      </c>
      <c r="R388" s="6">
        <f t="shared" si="90"/>
        <v>9587.1682044713998</v>
      </c>
      <c r="S388" s="6">
        <f t="shared" si="90"/>
        <v>9738.6209603281004</v>
      </c>
      <c r="T388" s="6">
        <f t="shared" si="90"/>
        <v>9892.9308171188004</v>
      </c>
      <c r="U388" s="6">
        <f t="shared" si="90"/>
        <v>10049.299419290999</v>
      </c>
      <c r="V388" s="6">
        <f t="shared" si="90"/>
        <v>10206.896965637399</v>
      </c>
      <c r="W388" s="6">
        <f t="shared" si="90"/>
        <v>10363.4717495398</v>
      </c>
      <c r="X388" s="6">
        <f t="shared" si="90"/>
        <v>10520.1795901889</v>
      </c>
      <c r="Y388" s="6">
        <f t="shared" si="90"/>
        <v>10676.723958233501</v>
      </c>
      <c r="Z388" s="6">
        <f t="shared" si="90"/>
        <v>10832.824648374799</v>
      </c>
      <c r="AA388" s="6">
        <f t="shared" si="90"/>
        <v>10988.2615649449</v>
      </c>
      <c r="AB388" s="6">
        <f t="shared" si="90"/>
        <v>11138.3204020879</v>
      </c>
      <c r="AC388" s="6">
        <f t="shared" si="90"/>
        <v>11286.550246840799</v>
      </c>
      <c r="AD388" s="6">
        <f t="shared" si="90"/>
        <v>11433.593447882202</v>
      </c>
      <c r="AE388" s="6">
        <f t="shared" si="90"/>
        <v>11579.757506883301</v>
      </c>
      <c r="AF388" s="6">
        <f t="shared" si="90"/>
        <v>11725.081043811899</v>
      </c>
      <c r="AG388" s="6">
        <f t="shared" si="90"/>
        <v>11869.520137725</v>
      </c>
      <c r="AH388" s="6">
        <f t="shared" si="90"/>
        <v>12013.098332130401</v>
      </c>
      <c r="AI388" s="6">
        <f t="shared" si="90"/>
        <v>12155.976506352399</v>
      </c>
      <c r="AJ388" s="6">
        <f t="shared" si="90"/>
        <v>12298.440987353</v>
      </c>
      <c r="AK388" s="6">
        <f t="shared" si="90"/>
        <v>12440.8383013003</v>
      </c>
      <c r="AL388" s="6">
        <f t="shared" si="90"/>
        <v>12583.4961286581</v>
      </c>
    </row>
    <row r="389" spans="1:38" x14ac:dyDescent="0.3">
      <c r="B389" t="s">
        <v>72</v>
      </c>
      <c r="C389" s="6">
        <f t="shared" ref="C389:AL389" si="91">C366+C373+C380</f>
        <v>6787.4105911386005</v>
      </c>
      <c r="D389" s="6">
        <f t="shared" si="91"/>
        <v>6667.8720733991995</v>
      </c>
      <c r="E389" s="6">
        <f t="shared" si="91"/>
        <v>6591.9770375149992</v>
      </c>
      <c r="F389" s="6">
        <f t="shared" si="91"/>
        <v>6544.7205990802004</v>
      </c>
      <c r="G389" s="6">
        <f t="shared" si="91"/>
        <v>6517.0997089737002</v>
      </c>
      <c r="H389" s="6">
        <f t="shared" si="91"/>
        <v>6504.0546939032993</v>
      </c>
      <c r="I389" s="6">
        <f t="shared" si="91"/>
        <v>6502.117915268399</v>
      </c>
      <c r="J389" s="6">
        <f t="shared" si="91"/>
        <v>6510.1211919291</v>
      </c>
      <c r="K389" s="6">
        <f t="shared" si="91"/>
        <v>6527.3789879460001</v>
      </c>
      <c r="L389" s="6">
        <f t="shared" si="91"/>
        <v>6553.2969200786001</v>
      </c>
      <c r="M389" s="6">
        <f t="shared" si="91"/>
        <v>6588.3394372171006</v>
      </c>
      <c r="N389" s="6">
        <f t="shared" si="91"/>
        <v>6630.1314660495</v>
      </c>
      <c r="O389" s="6">
        <f t="shared" si="91"/>
        <v>6677.7368620769003</v>
      </c>
      <c r="P389" s="6">
        <f t="shared" si="91"/>
        <v>6730.3363502843004</v>
      </c>
      <c r="Q389" s="6">
        <f t="shared" si="91"/>
        <v>6787.3089723149997</v>
      </c>
      <c r="R389" s="6">
        <f t="shared" si="91"/>
        <v>6848.1348211011</v>
      </c>
      <c r="S389" s="6">
        <f t="shared" si="91"/>
        <v>6912.2807437413994</v>
      </c>
      <c r="T389" s="6">
        <f t="shared" si="91"/>
        <v>6979.1412767852999</v>
      </c>
      <c r="U389" s="6">
        <f t="shared" si="91"/>
        <v>7048.0490610985999</v>
      </c>
      <c r="V389" s="6">
        <f t="shared" si="91"/>
        <v>7118.3325184341002</v>
      </c>
      <c r="W389" s="6">
        <f t="shared" si="91"/>
        <v>7188.3976074626999</v>
      </c>
      <c r="X389" s="6">
        <f t="shared" si="91"/>
        <v>7258.8953137468998</v>
      </c>
      <c r="Y389" s="6">
        <f t="shared" si="91"/>
        <v>7329.5355927802002</v>
      </c>
      <c r="Z389" s="6">
        <f t="shared" si="91"/>
        <v>7400.0469033746003</v>
      </c>
      <c r="AA389" s="6">
        <f t="shared" si="91"/>
        <v>7470.2005410271004</v>
      </c>
      <c r="AB389" s="6">
        <f t="shared" si="91"/>
        <v>7536.8754304333006</v>
      </c>
      <c r="AC389" s="6">
        <f t="shared" si="91"/>
        <v>7602.2796950700995</v>
      </c>
      <c r="AD389" s="6">
        <f t="shared" si="91"/>
        <v>7666.7617480503004</v>
      </c>
      <c r="AE389" s="6">
        <f t="shared" si="91"/>
        <v>7730.4692024482001</v>
      </c>
      <c r="AF389" s="6">
        <f t="shared" si="91"/>
        <v>7793.3818501688002</v>
      </c>
      <c r="AG389" s="6">
        <f t="shared" si="91"/>
        <v>7855.4228836830998</v>
      </c>
      <c r="AH389" s="6">
        <f t="shared" si="91"/>
        <v>7916.5508901457006</v>
      </c>
      <c r="AI389" s="6">
        <f t="shared" si="91"/>
        <v>7976.8051132038008</v>
      </c>
      <c r="AJ389" s="6">
        <f t="shared" si="91"/>
        <v>8036.3018371914995</v>
      </c>
      <c r="AK389" s="6">
        <f t="shared" si="91"/>
        <v>8095.1977616140002</v>
      </c>
      <c r="AL389" s="6">
        <f t="shared" si="91"/>
        <v>8153.6436502436</v>
      </c>
    </row>
    <row r="390" spans="1:38" x14ac:dyDescent="0.3">
      <c r="B390" t="s">
        <v>73</v>
      </c>
      <c r="C390" s="6">
        <f t="shared" ref="C390:AL390" si="92">C367+C374+C381</f>
        <v>4165.6835237371006</v>
      </c>
      <c r="D390" s="6">
        <f t="shared" si="92"/>
        <v>4067.0950538055999</v>
      </c>
      <c r="E390" s="6">
        <f t="shared" si="92"/>
        <v>3993.6312061017002</v>
      </c>
      <c r="F390" s="6">
        <f t="shared" si="92"/>
        <v>3936.4376198512</v>
      </c>
      <c r="G390" s="6">
        <f t="shared" si="92"/>
        <v>3890.1103284392998</v>
      </c>
      <c r="H390" s="6">
        <f t="shared" si="92"/>
        <v>3851.4969073909001</v>
      </c>
      <c r="I390" s="6">
        <f t="shared" si="92"/>
        <v>3818.3967964416997</v>
      </c>
      <c r="J390" s="6">
        <f t="shared" si="92"/>
        <v>3789.9174522571002</v>
      </c>
      <c r="K390" s="6">
        <f t="shared" si="92"/>
        <v>3765.4839650092999</v>
      </c>
      <c r="L390" s="6">
        <f t="shared" si="92"/>
        <v>3744.6321295340999</v>
      </c>
      <c r="M390" s="6">
        <f t="shared" si="92"/>
        <v>3727.4823036892003</v>
      </c>
      <c r="N390" s="6">
        <f t="shared" si="92"/>
        <v>3712.7402815546002</v>
      </c>
      <c r="O390" s="6">
        <f t="shared" si="92"/>
        <v>3699.8338059276998</v>
      </c>
      <c r="P390" s="6">
        <f t="shared" si="92"/>
        <v>3688.2450918723998</v>
      </c>
      <c r="Q390" s="6">
        <f t="shared" si="92"/>
        <v>3677.5736006220004</v>
      </c>
      <c r="R390" s="6">
        <f t="shared" si="92"/>
        <v>3667.5050597682998</v>
      </c>
      <c r="S390" s="6">
        <f t="shared" si="92"/>
        <v>3657.7615960181001</v>
      </c>
      <c r="T390" s="6">
        <f t="shared" si="92"/>
        <v>3648.0680498385</v>
      </c>
      <c r="U390" s="6">
        <f t="shared" si="92"/>
        <v>3638.1445455543999</v>
      </c>
      <c r="V390" s="6">
        <f t="shared" si="92"/>
        <v>3627.7195916567998</v>
      </c>
      <c r="W390" s="6">
        <f t="shared" si="92"/>
        <v>3616.1124881546998</v>
      </c>
      <c r="X390" s="6">
        <f t="shared" si="92"/>
        <v>3603.6322799598997</v>
      </c>
      <c r="Y390" s="6">
        <f t="shared" si="92"/>
        <v>3590.1768010972996</v>
      </c>
      <c r="Z390" s="6">
        <f t="shared" si="92"/>
        <v>3575.6500318984999</v>
      </c>
      <c r="AA390" s="6">
        <f t="shared" si="92"/>
        <v>3559.9678630477001</v>
      </c>
      <c r="AB390" s="6">
        <f t="shared" si="92"/>
        <v>3541.8492132112997</v>
      </c>
      <c r="AC390" s="6">
        <f t="shared" si="92"/>
        <v>3522.2152652913001</v>
      </c>
      <c r="AD390" s="6">
        <f t="shared" si="92"/>
        <v>3501.2401005656002</v>
      </c>
      <c r="AE390" s="6">
        <f t="shared" si="92"/>
        <v>3479.0351541978998</v>
      </c>
      <c r="AF390" s="6">
        <f t="shared" si="92"/>
        <v>3455.6457309530997</v>
      </c>
      <c r="AG390" s="6">
        <f t="shared" si="92"/>
        <v>3431.0823342929002</v>
      </c>
      <c r="AH390" s="6">
        <f t="shared" si="92"/>
        <v>3405.3521127428999</v>
      </c>
      <c r="AI390" s="6">
        <f t="shared" si="92"/>
        <v>3378.4794496926997</v>
      </c>
      <c r="AJ390" s="6">
        <f t="shared" si="92"/>
        <v>3350.5117817459</v>
      </c>
      <c r="AK390" s="6">
        <f t="shared" si="92"/>
        <v>3321.5129055160005</v>
      </c>
      <c r="AL390" s="6">
        <f t="shared" si="92"/>
        <v>3291.5497311384997</v>
      </c>
    </row>
    <row r="391" spans="1:38" x14ac:dyDescent="0.3">
      <c r="B391" t="s">
        <v>74</v>
      </c>
      <c r="C391" s="6">
        <f t="shared" ref="C391:AL391" si="93">C368+C375+C382</f>
        <v>2507.3524895615005</v>
      </c>
      <c r="D391" s="6">
        <f t="shared" si="93"/>
        <v>2450.4827209564</v>
      </c>
      <c r="E391" s="6">
        <f t="shared" si="93"/>
        <v>2407.9146154036998</v>
      </c>
      <c r="F391" s="6">
        <f t="shared" si="93"/>
        <v>2374.0527327489999</v>
      </c>
      <c r="G391" s="6">
        <f t="shared" si="93"/>
        <v>2345.4882297994</v>
      </c>
      <c r="H391" s="6">
        <f t="shared" si="93"/>
        <v>2320.2305472912003</v>
      </c>
      <c r="I391" s="6">
        <f t="shared" si="93"/>
        <v>2296.9099493497006</v>
      </c>
      <c r="J391" s="6">
        <f t="shared" si="93"/>
        <v>2274.9766983645</v>
      </c>
      <c r="K391" s="6">
        <f t="shared" si="93"/>
        <v>2254.0997070464</v>
      </c>
      <c r="L391" s="6">
        <f t="shared" si="93"/>
        <v>2234.042554652</v>
      </c>
      <c r="M391" s="6">
        <f t="shared" si="93"/>
        <v>2214.9213224804998</v>
      </c>
      <c r="N391" s="6">
        <f t="shared" si="93"/>
        <v>2196.0580228876997</v>
      </c>
      <c r="O391" s="6">
        <f t="shared" si="93"/>
        <v>2177.1760837966999</v>
      </c>
      <c r="P391" s="6">
        <f t="shared" si="93"/>
        <v>2158.0239393728998</v>
      </c>
      <c r="Q391" s="6">
        <f t="shared" si="93"/>
        <v>2138.4211275225998</v>
      </c>
      <c r="R391" s="6">
        <f t="shared" si="93"/>
        <v>2118.2487927387001</v>
      </c>
      <c r="S391" s="6">
        <f t="shared" si="93"/>
        <v>2097.4242790380999</v>
      </c>
      <c r="T391" s="6">
        <f t="shared" si="93"/>
        <v>2075.8797196558003</v>
      </c>
      <c r="U391" s="6">
        <f t="shared" si="93"/>
        <v>2053.5520948829003</v>
      </c>
      <c r="V391" s="6">
        <f t="shared" si="93"/>
        <v>2030.3840063225</v>
      </c>
      <c r="W391" s="6">
        <f t="shared" si="93"/>
        <v>2006.1116561700999</v>
      </c>
      <c r="X391" s="6">
        <f t="shared" si="93"/>
        <v>1980.9586546789999</v>
      </c>
      <c r="Y391" s="6">
        <f t="shared" si="93"/>
        <v>1954.9440880888001</v>
      </c>
      <c r="Z391" s="6">
        <f t="shared" si="93"/>
        <v>1928.0868178032999</v>
      </c>
      <c r="AA391" s="6">
        <f t="shared" si="93"/>
        <v>1900.4061745168001</v>
      </c>
      <c r="AB391" s="6">
        <f t="shared" si="93"/>
        <v>1871.3647741611999</v>
      </c>
      <c r="AC391" s="6">
        <f t="shared" si="93"/>
        <v>1841.4408537465001</v>
      </c>
      <c r="AD391" s="6">
        <f t="shared" si="93"/>
        <v>1810.7718557497001</v>
      </c>
      <c r="AE391" s="6">
        <f t="shared" si="93"/>
        <v>1779.4704705085001</v>
      </c>
      <c r="AF391" s="6">
        <f t="shared" si="93"/>
        <v>1747.6164547007002</v>
      </c>
      <c r="AG391" s="6">
        <f t="shared" si="93"/>
        <v>1715.2663792423</v>
      </c>
      <c r="AH391" s="6">
        <f t="shared" si="93"/>
        <v>1682.4667497631999</v>
      </c>
      <c r="AI391" s="6">
        <f t="shared" si="93"/>
        <v>1649.2649964582999</v>
      </c>
      <c r="AJ391" s="6">
        <f t="shared" si="93"/>
        <v>1615.7151886534</v>
      </c>
      <c r="AK391" s="6">
        <f t="shared" si="93"/>
        <v>1581.8780299199002</v>
      </c>
      <c r="AL391" s="6">
        <f t="shared" si="93"/>
        <v>1547.8168453078999</v>
      </c>
    </row>
    <row r="392" spans="1:38" x14ac:dyDescent="0.3">
      <c r="B392" t="s">
        <v>75</v>
      </c>
      <c r="C392" s="6">
        <f t="shared" ref="C392:AL392" si="94">C369+C376+C383</f>
        <v>1245.466605953</v>
      </c>
      <c r="D392" s="6">
        <f t="shared" si="94"/>
        <v>1214.5318220569</v>
      </c>
      <c r="E392" s="6">
        <f t="shared" si="94"/>
        <v>1189.3502253359002</v>
      </c>
      <c r="F392" s="6">
        <f t="shared" si="94"/>
        <v>1166.9557692291999</v>
      </c>
      <c r="G392" s="6">
        <f t="shared" si="94"/>
        <v>1145.5745183898</v>
      </c>
      <c r="H392" s="6">
        <f t="shared" si="94"/>
        <v>1124.1983898601002</v>
      </c>
      <c r="I392" s="6">
        <f t="shared" si="94"/>
        <v>1102.1961128058999</v>
      </c>
      <c r="J392" s="6">
        <f t="shared" si="94"/>
        <v>1079.3698102952001</v>
      </c>
      <c r="K392" s="6">
        <f t="shared" si="94"/>
        <v>1055.6695310992998</v>
      </c>
      <c r="L392" s="6">
        <f t="shared" si="94"/>
        <v>1031.1298724056999</v>
      </c>
      <c r="M392" s="6">
        <f t="shared" si="94"/>
        <v>1005.9410665888</v>
      </c>
      <c r="N392" s="6">
        <f t="shared" si="94"/>
        <v>980.01264911160001</v>
      </c>
      <c r="O392" s="6">
        <f t="shared" si="94"/>
        <v>953.38743108070003</v>
      </c>
      <c r="P392" s="6">
        <f t="shared" si="94"/>
        <v>926.10827825139995</v>
      </c>
      <c r="Q392" s="6">
        <f t="shared" si="94"/>
        <v>898.24539194409999</v>
      </c>
      <c r="R392" s="6">
        <f t="shared" si="94"/>
        <v>869.89835623610008</v>
      </c>
      <c r="S392" s="6">
        <f t="shared" si="94"/>
        <v>841.1862148002001</v>
      </c>
      <c r="T392" s="6">
        <f t="shared" si="94"/>
        <v>812.23463309570002</v>
      </c>
      <c r="U392" s="6">
        <f t="shared" si="94"/>
        <v>783.16560987650007</v>
      </c>
      <c r="V392" s="6">
        <f t="shared" si="94"/>
        <v>754.09185687429988</v>
      </c>
      <c r="W392" s="6">
        <f t="shared" si="94"/>
        <v>725.06541210630007</v>
      </c>
      <c r="X392" s="6">
        <f t="shared" si="94"/>
        <v>696.23533218019998</v>
      </c>
      <c r="Y392" s="6">
        <f t="shared" si="94"/>
        <v>667.69396434939995</v>
      </c>
      <c r="Z392" s="6">
        <f t="shared" si="94"/>
        <v>639.5221185659999</v>
      </c>
      <c r="AA392" s="6">
        <f t="shared" si="94"/>
        <v>611.78891824850007</v>
      </c>
      <c r="AB392" s="6">
        <f t="shared" si="94"/>
        <v>584.45596114969999</v>
      </c>
      <c r="AC392" s="6">
        <f t="shared" si="94"/>
        <v>557.65595189700002</v>
      </c>
      <c r="AD392" s="6">
        <f t="shared" si="94"/>
        <v>531.45696424829998</v>
      </c>
      <c r="AE392" s="6">
        <f t="shared" si="94"/>
        <v>505.91774051909994</v>
      </c>
      <c r="AF392" s="6">
        <f t="shared" si="94"/>
        <v>481.0833580899</v>
      </c>
      <c r="AG392" s="6">
        <f t="shared" si="94"/>
        <v>456.98575187539996</v>
      </c>
      <c r="AH392" s="6">
        <f t="shared" si="94"/>
        <v>433.64657867459999</v>
      </c>
      <c r="AI392" s="6">
        <f t="shared" si="94"/>
        <v>411.08071378349996</v>
      </c>
      <c r="AJ392" s="6">
        <f t="shared" si="94"/>
        <v>389.29899635919998</v>
      </c>
      <c r="AK392" s="6">
        <f t="shared" si="94"/>
        <v>368.30960352479997</v>
      </c>
      <c r="AL392" s="6">
        <f t="shared" si="94"/>
        <v>348.11818378599997</v>
      </c>
    </row>
    <row r="393" spans="1:38" x14ac:dyDescent="0.3">
      <c r="B393" t="s">
        <v>76</v>
      </c>
      <c r="C393" s="6">
        <f t="shared" ref="C393:AL393" si="95">C370+C377+C384</f>
        <v>2242.8616504070001</v>
      </c>
      <c r="D393" s="6">
        <f t="shared" si="95"/>
        <v>2190.7784343653998</v>
      </c>
      <c r="E393" s="6">
        <f t="shared" si="95"/>
        <v>2146.7778280532002</v>
      </c>
      <c r="F393" s="6">
        <f t="shared" si="95"/>
        <v>2105.0624664915999</v>
      </c>
      <c r="G393" s="6">
        <f t="shared" si="95"/>
        <v>2062.3236244253999</v>
      </c>
      <c r="H393" s="6">
        <f t="shared" si="95"/>
        <v>2016.8417295222002</v>
      </c>
      <c r="I393" s="6">
        <f t="shared" si="95"/>
        <v>1967.7325589667</v>
      </c>
      <c r="J393" s="6">
        <f t="shared" si="95"/>
        <v>1914.9754879900001</v>
      </c>
      <c r="K393" s="6">
        <f t="shared" si="95"/>
        <v>1858.8701341561</v>
      </c>
      <c r="L393" s="6">
        <f t="shared" si="95"/>
        <v>1799.8964216313</v>
      </c>
      <c r="M393" s="6">
        <f t="shared" si="95"/>
        <v>1738.7718063632001</v>
      </c>
      <c r="N393" s="6">
        <f t="shared" si="95"/>
        <v>1675.7817953877</v>
      </c>
      <c r="O393" s="6">
        <f t="shared" si="95"/>
        <v>1611.3614553378</v>
      </c>
      <c r="P393" s="6">
        <f t="shared" si="95"/>
        <v>1545.9068105811</v>
      </c>
      <c r="Q393" s="6">
        <f t="shared" si="95"/>
        <v>1479.8245526656001</v>
      </c>
      <c r="R393" s="6">
        <f t="shared" si="95"/>
        <v>1413.5370988303</v>
      </c>
      <c r="S393" s="6">
        <f t="shared" si="95"/>
        <v>1347.4647121971</v>
      </c>
      <c r="T393" s="6">
        <f t="shared" si="95"/>
        <v>1282.0020601909</v>
      </c>
      <c r="U393" s="6">
        <f t="shared" si="95"/>
        <v>1217.5001898601997</v>
      </c>
      <c r="V393" s="6">
        <f t="shared" si="95"/>
        <v>1154.2580536477999</v>
      </c>
      <c r="W393" s="6">
        <f t="shared" si="95"/>
        <v>1092.4744814608</v>
      </c>
      <c r="X393" s="6">
        <f t="shared" si="95"/>
        <v>1032.4040166853999</v>
      </c>
      <c r="Y393" s="6">
        <f t="shared" si="95"/>
        <v>974.21531459469998</v>
      </c>
      <c r="Z393" s="6">
        <f t="shared" si="95"/>
        <v>918.03757992269993</v>
      </c>
      <c r="AA393" s="6">
        <f t="shared" si="95"/>
        <v>863.96395498599998</v>
      </c>
      <c r="AB393" s="6">
        <f t="shared" si="95"/>
        <v>811.98362554330004</v>
      </c>
      <c r="AC393" s="6">
        <f t="shared" si="95"/>
        <v>762.19832713300002</v>
      </c>
      <c r="AD393" s="6">
        <f t="shared" si="95"/>
        <v>714.6454424044</v>
      </c>
      <c r="AE393" s="6">
        <f t="shared" si="95"/>
        <v>669.34190313720001</v>
      </c>
      <c r="AF393" s="6">
        <f t="shared" si="95"/>
        <v>626.28173023170007</v>
      </c>
      <c r="AG393" s="6">
        <f t="shared" si="95"/>
        <v>585.43836069749989</v>
      </c>
      <c r="AH393" s="6">
        <f t="shared" si="95"/>
        <v>546.76925198879997</v>
      </c>
      <c r="AI393" s="6">
        <f t="shared" si="95"/>
        <v>510.22080306860005</v>
      </c>
      <c r="AJ393" s="6">
        <f t="shared" si="95"/>
        <v>475.73222368120003</v>
      </c>
      <c r="AK393" s="6">
        <f t="shared" si="95"/>
        <v>443.23789496449996</v>
      </c>
      <c r="AL393" s="6">
        <f t="shared" si="95"/>
        <v>412.66850277489999</v>
      </c>
    </row>
    <row r="395" spans="1:3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</row>
    <row r="396" spans="1:3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6.7493338969999996</v>
      </c>
      <c r="E396" s="6">
        <f>[1]Results!H104</f>
        <v>11.52650792</v>
      </c>
      <c r="F396" s="6">
        <f>[1]Results!I104</f>
        <v>15.976075059999999</v>
      </c>
      <c r="G396" s="6">
        <f>[1]Results!J104</f>
        <v>20.355510389999999</v>
      </c>
      <c r="H396" s="6">
        <f>[1]Results!K104</f>
        <v>24.811958050000001</v>
      </c>
      <c r="I396" s="6">
        <f>[1]Results!L104</f>
        <v>29.35505942</v>
      </c>
      <c r="J396" s="6">
        <f>[1]Results!M104</f>
        <v>33.94605498</v>
      </c>
      <c r="K396" s="6">
        <f>[1]Results!N104</f>
        <v>38.388349730000002</v>
      </c>
      <c r="L396" s="6">
        <f>[1]Results!O104</f>
        <v>42.44040201</v>
      </c>
      <c r="M396" s="6">
        <f>[1]Results!P104</f>
        <v>45.660988089999996</v>
      </c>
      <c r="N396" s="6">
        <f>[1]Results!Q104</f>
        <v>51.848541009999998</v>
      </c>
      <c r="O396" s="6">
        <f>[1]Results!R104</f>
        <v>59.522182649999998</v>
      </c>
      <c r="P396" s="6">
        <f>[1]Results!S104</f>
        <v>67.918820499999995</v>
      </c>
      <c r="Q396" s="6">
        <f>[1]Results!T104</f>
        <v>76.638600049999994</v>
      </c>
      <c r="R396" s="6">
        <f>[1]Results!U104</f>
        <v>85.465893019999996</v>
      </c>
      <c r="S396" s="6">
        <f>[1]Results!V104</f>
        <v>94.286972019999993</v>
      </c>
      <c r="T396" s="6">
        <f>[1]Results!W104</f>
        <v>103.04942149999999</v>
      </c>
      <c r="U396" s="6">
        <f>[1]Results!X104</f>
        <v>111.73616010000001</v>
      </c>
      <c r="V396" s="6">
        <f>[1]Results!Y104</f>
        <v>120.34606549999999</v>
      </c>
      <c r="W396" s="6">
        <f>[1]Results!Z104</f>
        <v>128.85808069999999</v>
      </c>
      <c r="X396" s="6">
        <f>[1]Results!AA104</f>
        <v>137.331119</v>
      </c>
      <c r="Y396" s="6">
        <f>[1]Results!AB104</f>
        <v>145.7445209</v>
      </c>
      <c r="Z396" s="6">
        <f>[1]Results!AC104</f>
        <v>154.10280299999999</v>
      </c>
      <c r="AA396" s="6">
        <f>[1]Results!AD104</f>
        <v>162.40940710000001</v>
      </c>
      <c r="AB396" s="6">
        <f>[1]Results!AE104</f>
        <v>170.5951158</v>
      </c>
      <c r="AC396" s="6">
        <f>[1]Results!AF104</f>
        <v>178.77201030000001</v>
      </c>
      <c r="AD396" s="6">
        <f>[1]Results!AG104</f>
        <v>186.90361669999999</v>
      </c>
      <c r="AE396" s="6">
        <f>[1]Results!AH104</f>
        <v>194.99153749999999</v>
      </c>
      <c r="AF396" s="6">
        <f>[1]Results!AI104</f>
        <v>203.03717259999999</v>
      </c>
      <c r="AG396" s="6">
        <f>[1]Results!AJ104</f>
        <v>211.04157739999999</v>
      </c>
      <c r="AH396" s="6">
        <f>[1]Results!AK104</f>
        <v>219.00534099999999</v>
      </c>
      <c r="AI396" s="6">
        <f>[1]Results!AL104</f>
        <v>226.92858279999999</v>
      </c>
      <c r="AJ396" s="6">
        <f>[1]Results!AM104</f>
        <v>234.81105819999999</v>
      </c>
      <c r="AK396" s="6">
        <f>[1]Results!AN104</f>
        <v>242.6522808</v>
      </c>
      <c r="AL396" s="6">
        <f>[1]Results!AO104</f>
        <v>250.45169469999999</v>
      </c>
    </row>
    <row r="397" spans="1:38" x14ac:dyDescent="0.3">
      <c r="B397" t="s">
        <v>40</v>
      </c>
      <c r="C397" s="6">
        <f>[1]Results!F105</f>
        <v>68.80476281</v>
      </c>
      <c r="D397" s="6">
        <f>[1]Results!G105</f>
        <v>76.167450889999998</v>
      </c>
      <c r="E397" s="6">
        <f>[1]Results!H105</f>
        <v>82.782693910000006</v>
      </c>
      <c r="F397" s="6">
        <f>[1]Results!I105</f>
        <v>88.094278410000001</v>
      </c>
      <c r="G397" s="6">
        <f>[1]Results!J105</f>
        <v>92.631675340000001</v>
      </c>
      <c r="H397" s="6">
        <f>[1]Results!K105</f>
        <v>96.718088940000001</v>
      </c>
      <c r="I397" s="6">
        <f>[1]Results!L105</f>
        <v>99.914339709999993</v>
      </c>
      <c r="J397" s="6">
        <f>[1]Results!M105</f>
        <v>102.9790369</v>
      </c>
      <c r="K397" s="6">
        <f>[1]Results!N105</f>
        <v>106.08246200000001</v>
      </c>
      <c r="L397" s="6">
        <f>[1]Results!O105</f>
        <v>109.3952621</v>
      </c>
      <c r="M397" s="6">
        <f>[1]Results!P105</f>
        <v>114.27456429999999</v>
      </c>
      <c r="N397" s="6">
        <f>[1]Results!Q105</f>
        <v>117.5494308</v>
      </c>
      <c r="O397" s="6">
        <f>[1]Results!R105</f>
        <v>120.5528362</v>
      </c>
      <c r="P397" s="6">
        <f>[1]Results!S105</f>
        <v>123.4260555</v>
      </c>
      <c r="Q397" s="6">
        <f>[1]Results!T105</f>
        <v>126.23196830000001</v>
      </c>
      <c r="R397" s="6">
        <f>[1]Results!U105</f>
        <v>128.9965617</v>
      </c>
      <c r="S397" s="6">
        <f>[1]Results!V105</f>
        <v>131.72990050000001</v>
      </c>
      <c r="T397" s="6">
        <f>[1]Results!W105</f>
        <v>134.43751270000001</v>
      </c>
      <c r="U397" s="6">
        <f>[1]Results!X105</f>
        <v>137.12415619999999</v>
      </c>
      <c r="V397" s="6">
        <f>[1]Results!Y105</f>
        <v>139.79537289999999</v>
      </c>
      <c r="W397" s="6">
        <f>[1]Results!Z105</f>
        <v>141.7695866</v>
      </c>
      <c r="X397" s="6">
        <f>[1]Results!AA105</f>
        <v>144.42350189999999</v>
      </c>
      <c r="Y397" s="6">
        <f>[1]Results!AB105</f>
        <v>147.0759449</v>
      </c>
      <c r="Z397" s="6">
        <f>[1]Results!AC105</f>
        <v>149.7296819</v>
      </c>
      <c r="AA397" s="6">
        <f>[1]Results!AD105</f>
        <v>152.38665560000001</v>
      </c>
      <c r="AB397" s="6">
        <f>[1]Results!AE105</f>
        <v>153.1727286</v>
      </c>
      <c r="AC397" s="6">
        <f>[1]Results!AF105</f>
        <v>154.95319720000001</v>
      </c>
      <c r="AD397" s="6">
        <f>[1]Results!AG105</f>
        <v>156.73525459999999</v>
      </c>
      <c r="AE397" s="6">
        <f>[1]Results!AH105</f>
        <v>158.5194927</v>
      </c>
      <c r="AF397" s="6">
        <f>[1]Results!AI105</f>
        <v>160.30642</v>
      </c>
      <c r="AG397" s="6">
        <f>[1]Results!AJ105</f>
        <v>162.09641310000001</v>
      </c>
      <c r="AH397" s="6">
        <f>[1]Results!AK105</f>
        <v>163.88965039999999</v>
      </c>
      <c r="AI397" s="6">
        <f>[1]Results!AL105</f>
        <v>165.6860925</v>
      </c>
      <c r="AJ397" s="6">
        <f>[1]Results!AM105</f>
        <v>167.48551850000001</v>
      </c>
      <c r="AK397" s="6">
        <f>[1]Results!AN105</f>
        <v>169.28758099999999</v>
      </c>
      <c r="AL397" s="6">
        <f>[1]Results!AO105</f>
        <v>171.09189280000001</v>
      </c>
    </row>
    <row r="398" spans="1:38" x14ac:dyDescent="0.3">
      <c r="B398" t="s">
        <v>41</v>
      </c>
      <c r="C398" s="6">
        <f>[1]Results!F106</f>
        <v>408.28039699999999</v>
      </c>
      <c r="D398" s="6">
        <f>[1]Results!G106</f>
        <v>423.60722529999998</v>
      </c>
      <c r="E398" s="6">
        <f>[1]Results!H106</f>
        <v>438.27328180000001</v>
      </c>
      <c r="F398" s="6">
        <f>[1]Results!I106</f>
        <v>450.44654270000001</v>
      </c>
      <c r="G398" s="6">
        <f>[1]Results!J106</f>
        <v>461.3056618</v>
      </c>
      <c r="H398" s="6">
        <f>[1]Results!K106</f>
        <v>471.47086289999999</v>
      </c>
      <c r="I398" s="6">
        <f>[1]Results!L106</f>
        <v>479.50501780000002</v>
      </c>
      <c r="J398" s="6">
        <f>[1]Results!M106</f>
        <v>487.35355370000002</v>
      </c>
      <c r="K398" s="6">
        <f>[1]Results!N106</f>
        <v>495.2337794</v>
      </c>
      <c r="L398" s="6">
        <f>[1]Results!O106</f>
        <v>503.35240290000002</v>
      </c>
      <c r="M398" s="6">
        <f>[1]Results!P106</f>
        <v>514.98354459999996</v>
      </c>
      <c r="N398" s="6">
        <f>[1]Results!Q106</f>
        <v>523.15588349999996</v>
      </c>
      <c r="O398" s="6">
        <f>[1]Results!R106</f>
        <v>531.08457999999996</v>
      </c>
      <c r="P398" s="6">
        <f>[1]Results!S106</f>
        <v>538.90364820000002</v>
      </c>
      <c r="Q398" s="6">
        <f>[1]Results!T106</f>
        <v>546.66012679999994</v>
      </c>
      <c r="R398" s="6">
        <f>[1]Results!U106</f>
        <v>554.36317240000005</v>
      </c>
      <c r="S398" s="6">
        <f>[1]Results!V106</f>
        <v>562.00968599999999</v>
      </c>
      <c r="T398" s="6">
        <f>[1]Results!W106</f>
        <v>569.59945919999996</v>
      </c>
      <c r="U398" s="6">
        <f>[1]Results!X106</f>
        <v>577.13864469999999</v>
      </c>
      <c r="V398" s="6">
        <f>[1]Results!Y106</f>
        <v>584.63882230000002</v>
      </c>
      <c r="W398" s="6">
        <f>[1]Results!Z106</f>
        <v>590.18431999999996</v>
      </c>
      <c r="X398" s="6">
        <f>[1]Results!AA106</f>
        <v>597.63931739999998</v>
      </c>
      <c r="Y398" s="6">
        <f>[1]Results!AB106</f>
        <v>605.09106989999998</v>
      </c>
      <c r="Z398" s="6">
        <f>[1]Results!AC106</f>
        <v>612.54704240000001</v>
      </c>
      <c r="AA398" s="6">
        <f>[1]Results!AD106</f>
        <v>620.01240069999994</v>
      </c>
      <c r="AB398" s="6">
        <f>[1]Results!AE106</f>
        <v>622.22472300000004</v>
      </c>
      <c r="AC398" s="6">
        <f>[1]Results!AF106</f>
        <v>627.22788030000004</v>
      </c>
      <c r="AD398" s="6">
        <f>[1]Results!AG106</f>
        <v>632.23440040000003</v>
      </c>
      <c r="AE398" s="6">
        <f>[1]Results!AH106</f>
        <v>637.24564899999996</v>
      </c>
      <c r="AF398" s="6">
        <f>[1]Results!AI106</f>
        <v>642.26287060000004</v>
      </c>
      <c r="AG398" s="6">
        <f>[1]Results!AJ106</f>
        <v>647.28707459999998</v>
      </c>
      <c r="AH398" s="6">
        <f>[1]Results!AK106</f>
        <v>652.31882280000002</v>
      </c>
      <c r="AI398" s="6">
        <f>[1]Results!AL106</f>
        <v>657.35812710000005</v>
      </c>
      <c r="AJ398" s="6">
        <f>[1]Results!AM106</f>
        <v>662.40451189999999</v>
      </c>
      <c r="AK398" s="6">
        <f>[1]Results!AN106</f>
        <v>667.4571459</v>
      </c>
      <c r="AL398" s="6">
        <f>[1]Results!AO106</f>
        <v>672.51507030000005</v>
      </c>
    </row>
    <row r="399" spans="1:38" x14ac:dyDescent="0.3">
      <c r="B399" t="s">
        <v>42</v>
      </c>
      <c r="C399" s="6">
        <f>[1]Results!F107</f>
        <v>954.38155940000001</v>
      </c>
      <c r="D399" s="6">
        <f>[1]Results!G107</f>
        <v>948.00346160000004</v>
      </c>
      <c r="E399" s="6">
        <f>[1]Results!H107</f>
        <v>942.13795349999998</v>
      </c>
      <c r="F399" s="6">
        <f>[1]Results!I107</f>
        <v>939.04726029999995</v>
      </c>
      <c r="G399" s="6">
        <f>[1]Results!J107</f>
        <v>937.25237819999995</v>
      </c>
      <c r="H399" s="6">
        <f>[1]Results!K107</f>
        <v>935.99759019999999</v>
      </c>
      <c r="I399" s="6">
        <f>[1]Results!L107</f>
        <v>934.9598866</v>
      </c>
      <c r="J399" s="6">
        <f>[1]Results!M107</f>
        <v>934.01264079999999</v>
      </c>
      <c r="K399" s="6">
        <f>[1]Results!N107</f>
        <v>933.13893719999999</v>
      </c>
      <c r="L399" s="6">
        <f>[1]Results!O107</f>
        <v>932.33597029999999</v>
      </c>
      <c r="M399" s="6">
        <f>[1]Results!P107</f>
        <v>931.5103239</v>
      </c>
      <c r="N399" s="6">
        <f>[1]Results!Q107</f>
        <v>929.0477664</v>
      </c>
      <c r="O399" s="6">
        <f>[1]Results!R107</f>
        <v>925.83033539999997</v>
      </c>
      <c r="P399" s="6">
        <f>[1]Results!S107</f>
        <v>922.25818070000003</v>
      </c>
      <c r="Q399" s="6">
        <f>[1]Results!T107</f>
        <v>918.50374120000004</v>
      </c>
      <c r="R399" s="6">
        <f>[1]Results!U107</f>
        <v>914.63435340000001</v>
      </c>
      <c r="S399" s="6">
        <f>[1]Results!V107</f>
        <v>910.6727932</v>
      </c>
      <c r="T399" s="6">
        <f>[1]Results!W107</f>
        <v>906.63054279999994</v>
      </c>
      <c r="U399" s="6">
        <f>[1]Results!X107</f>
        <v>902.52064399999995</v>
      </c>
      <c r="V399" s="6">
        <f>[1]Results!Y107</f>
        <v>898.3595143</v>
      </c>
      <c r="W399" s="6">
        <f>[1]Results!Z107</f>
        <v>894.16459629999997</v>
      </c>
      <c r="X399" s="6">
        <f>[1]Results!AA107</f>
        <v>889.95107959999996</v>
      </c>
      <c r="Y399" s="6">
        <f>[1]Results!AB107</f>
        <v>885.73188830000004</v>
      </c>
      <c r="Z399" s="6">
        <f>[1]Results!AC107</f>
        <v>881.51644599999997</v>
      </c>
      <c r="AA399" s="6">
        <f>[1]Results!AD107</f>
        <v>877.31155090000004</v>
      </c>
      <c r="AB399" s="6">
        <f>[1]Results!AE107</f>
        <v>873.12224719999995</v>
      </c>
      <c r="AC399" s="6">
        <f>[1]Results!AF107</f>
        <v>868.95134229999996</v>
      </c>
      <c r="AD399" s="6">
        <f>[1]Results!AG107</f>
        <v>864.80222920000006</v>
      </c>
      <c r="AE399" s="6">
        <f>[1]Results!AH107</f>
        <v>860.6773776</v>
      </c>
      <c r="AF399" s="6">
        <f>[1]Results!AI107</f>
        <v>856.5787507</v>
      </c>
      <c r="AG399" s="6">
        <f>[1]Results!AJ107</f>
        <v>852.50763459999996</v>
      </c>
      <c r="AH399" s="6">
        <f>[1]Results!AK107</f>
        <v>848.46444269999995</v>
      </c>
      <c r="AI399" s="6">
        <f>[1]Results!AL107</f>
        <v>844.44870609999998</v>
      </c>
      <c r="AJ399" s="6">
        <f>[1]Results!AM107</f>
        <v>840.45925509999995</v>
      </c>
      <c r="AK399" s="6">
        <f>[1]Results!AN107</f>
        <v>836.49444749999998</v>
      </c>
      <c r="AL399" s="6">
        <f>[1]Results!AO107</f>
        <v>832.55251280000004</v>
      </c>
    </row>
    <row r="400" spans="1:38" x14ac:dyDescent="0.3">
      <c r="B400" t="s">
        <v>43</v>
      </c>
      <c r="C400" s="6">
        <f>[1]Results!F108</f>
        <v>878.79999729999997</v>
      </c>
      <c r="D400" s="6">
        <f>[1]Results!G108</f>
        <v>869.4310534</v>
      </c>
      <c r="E400" s="6">
        <f>[1]Results!H108</f>
        <v>861.858431</v>
      </c>
      <c r="F400" s="6">
        <f>[1]Results!I108</f>
        <v>855.53037819999997</v>
      </c>
      <c r="G400" s="6">
        <f>[1]Results!J108</f>
        <v>849.93818480000004</v>
      </c>
      <c r="H400" s="6">
        <f>[1]Results!K108</f>
        <v>844.74919220000004</v>
      </c>
      <c r="I400" s="6">
        <f>[1]Results!L108</f>
        <v>839.77586359999998</v>
      </c>
      <c r="J400" s="6">
        <f>[1]Results!M108</f>
        <v>834.92609489999995</v>
      </c>
      <c r="K400" s="6">
        <f>[1]Results!N108</f>
        <v>830.17551979999996</v>
      </c>
      <c r="L400" s="6">
        <f>[1]Results!O108</f>
        <v>825.52036169999997</v>
      </c>
      <c r="M400" s="6">
        <f>[1]Results!P108</f>
        <v>820.9478441</v>
      </c>
      <c r="N400" s="6">
        <f>[1]Results!Q108</f>
        <v>816.47642099999996</v>
      </c>
      <c r="O400" s="6">
        <f>[1]Results!R108</f>
        <v>812.08238029999995</v>
      </c>
      <c r="P400" s="6">
        <f>[1]Results!S108</f>
        <v>807.73844740000004</v>
      </c>
      <c r="Q400" s="6">
        <f>[1]Results!T108</f>
        <v>803.42177830000003</v>
      </c>
      <c r="R400" s="6">
        <f>[1]Results!U108</f>
        <v>799.11441079999997</v>
      </c>
      <c r="S400" s="6">
        <f>[1]Results!V108</f>
        <v>794.80195370000001</v>
      </c>
      <c r="T400" s="6">
        <f>[1]Results!W108</f>
        <v>790.47556959999997</v>
      </c>
      <c r="U400" s="6">
        <f>[1]Results!X108</f>
        <v>786.13338699999997</v>
      </c>
      <c r="V400" s="6">
        <f>[1]Results!Y108</f>
        <v>781.77950480000004</v>
      </c>
      <c r="W400" s="6">
        <f>[1]Results!Z108</f>
        <v>777.42122810000001</v>
      </c>
      <c r="X400" s="6">
        <f>[1]Results!AA108</f>
        <v>773.06635930000004</v>
      </c>
      <c r="Y400" s="6">
        <f>[1]Results!AB108</f>
        <v>768.72224510000001</v>
      </c>
      <c r="Z400" s="6">
        <f>[1]Results!AC108</f>
        <v>764.39427699999999</v>
      </c>
      <c r="AA400" s="6">
        <f>[1]Results!AD108</f>
        <v>760.08632350000005</v>
      </c>
      <c r="AB400" s="6">
        <f>[1]Results!AE108</f>
        <v>755.80094059999999</v>
      </c>
      <c r="AC400" s="6">
        <f>[1]Results!AF108</f>
        <v>751.53944969999998</v>
      </c>
      <c r="AD400" s="6">
        <f>[1]Results!AG108</f>
        <v>747.30388430000005</v>
      </c>
      <c r="AE400" s="6">
        <f>[1]Results!AH108</f>
        <v>743.09549570000001</v>
      </c>
      <c r="AF400" s="6">
        <f>[1]Results!AI108</f>
        <v>738.9152583</v>
      </c>
      <c r="AG400" s="6">
        <f>[1]Results!AJ108</f>
        <v>734.76382409999997</v>
      </c>
      <c r="AH400" s="6">
        <f>[1]Results!AK108</f>
        <v>730.6414006</v>
      </c>
      <c r="AI400" s="6">
        <f>[1]Results!AL108</f>
        <v>726.54770410000003</v>
      </c>
      <c r="AJ400" s="6">
        <f>[1]Results!AM108</f>
        <v>722.4820254</v>
      </c>
      <c r="AK400" s="6">
        <f>[1]Results!AN108</f>
        <v>718.44334600000002</v>
      </c>
      <c r="AL400" s="6">
        <f>[1]Results!AO108</f>
        <v>714.43053950000001</v>
      </c>
    </row>
    <row r="401" spans="1:38" x14ac:dyDescent="0.3">
      <c r="B401" t="s">
        <v>44</v>
      </c>
      <c r="C401" s="6">
        <f>[1]Results!F109</f>
        <v>139.85209269999999</v>
      </c>
      <c r="D401" s="6">
        <f>[1]Results!G109</f>
        <v>138.03691000000001</v>
      </c>
      <c r="E401" s="6">
        <f>[1]Results!H109</f>
        <v>136.32928910000001</v>
      </c>
      <c r="F401" s="6">
        <f>[1]Results!I109</f>
        <v>134.75853810000001</v>
      </c>
      <c r="G401" s="6">
        <f>[1]Results!J109</f>
        <v>133.34486999999999</v>
      </c>
      <c r="H401" s="6">
        <f>[1]Results!K109</f>
        <v>132.08580910000001</v>
      </c>
      <c r="I401" s="6">
        <f>[1]Results!L109</f>
        <v>130.95852350000001</v>
      </c>
      <c r="J401" s="6">
        <f>[1]Results!M109</f>
        <v>129.90665150000001</v>
      </c>
      <c r="K401" s="6">
        <f>[1]Results!N109</f>
        <v>128.79741540000001</v>
      </c>
      <c r="L401" s="6">
        <f>[1]Results!O109</f>
        <v>127.51132990000001</v>
      </c>
      <c r="M401" s="6">
        <f>[1]Results!P109</f>
        <v>125.9598031</v>
      </c>
      <c r="N401" s="6">
        <f>[1]Results!Q109</f>
        <v>124.1091862</v>
      </c>
      <c r="O401" s="6">
        <f>[1]Results!R109</f>
        <v>122.0060616</v>
      </c>
      <c r="P401" s="6">
        <f>[1]Results!S109</f>
        <v>119.7575575</v>
      </c>
      <c r="Q401" s="6">
        <f>[1]Results!T109</f>
        <v>117.49676030000001</v>
      </c>
      <c r="R401" s="6">
        <f>[1]Results!U109</f>
        <v>115.3489848</v>
      </c>
      <c r="S401" s="6">
        <f>[1]Results!V109</f>
        <v>113.40852169999999</v>
      </c>
      <c r="T401" s="6">
        <f>[1]Results!W109</f>
        <v>111.7179332</v>
      </c>
      <c r="U401" s="6">
        <f>[1]Results!X109</f>
        <v>110.2723821</v>
      </c>
      <c r="V401" s="6">
        <f>[1]Results!Y109</f>
        <v>109.037042</v>
      </c>
      <c r="W401" s="6">
        <f>[1]Results!Z109</f>
        <v>107.9654244</v>
      </c>
      <c r="X401" s="6">
        <f>[1]Results!AA109</f>
        <v>107.0136523</v>
      </c>
      <c r="Y401" s="6">
        <f>[1]Results!AB109</f>
        <v>106.1450066</v>
      </c>
      <c r="Z401" s="6">
        <f>[1]Results!AC109</f>
        <v>105.3321108</v>
      </c>
      <c r="AA401" s="6">
        <f>[1]Results!AD109</f>
        <v>104.5555047</v>
      </c>
      <c r="AB401" s="6">
        <f>[1]Results!AE109</f>
        <v>103.80115189999999</v>
      </c>
      <c r="AC401" s="6">
        <f>[1]Results!AF109</f>
        <v>103.0595637</v>
      </c>
      <c r="AD401" s="6">
        <f>[1]Results!AG109</f>
        <v>102.32289470000001</v>
      </c>
      <c r="AE401" s="6">
        <f>[1]Results!AH109</f>
        <v>101.58457900000001</v>
      </c>
      <c r="AF401" s="6">
        <f>[1]Results!AI109</f>
        <v>100.8390821</v>
      </c>
      <c r="AG401" s="6">
        <f>[1]Results!AJ109</f>
        <v>100.0823678</v>
      </c>
      <c r="AH401" s="6">
        <f>[1]Results!AK109</f>
        <v>99.312575699999996</v>
      </c>
      <c r="AI401" s="6">
        <f>[1]Results!AL109</f>
        <v>98.530226650000003</v>
      </c>
      <c r="AJ401" s="6">
        <f>[1]Results!AM109</f>
        <v>97.737842259999994</v>
      </c>
      <c r="AK401" s="6">
        <f>[1]Results!AN109</f>
        <v>96.939363099999994</v>
      </c>
      <c r="AL401" s="6">
        <f>[1]Results!AO109</f>
        <v>96.139200750000001</v>
      </c>
    </row>
    <row r="402" spans="1:38" x14ac:dyDescent="0.3">
      <c r="B402" t="s">
        <v>45</v>
      </c>
      <c r="C402" s="6">
        <f>[1]Results!F110</f>
        <v>3.874567114</v>
      </c>
      <c r="D402" s="6">
        <f>[1]Results!G110</f>
        <v>3.730938305</v>
      </c>
      <c r="E402" s="6">
        <f>[1]Results!H110</f>
        <v>3.5999494350000001</v>
      </c>
      <c r="F402" s="6">
        <f>[1]Results!I110</f>
        <v>3.4839117819999998</v>
      </c>
      <c r="G402" s="6">
        <f>[1]Results!J110</f>
        <v>3.3849327169999999</v>
      </c>
      <c r="H402" s="6">
        <f>[1]Results!K110</f>
        <v>3.3034984359999999</v>
      </c>
      <c r="I402" s="6">
        <f>[1]Results!L110</f>
        <v>3.2380987339999998</v>
      </c>
      <c r="J402" s="6">
        <f>[1]Results!M110</f>
        <v>3.181815796</v>
      </c>
      <c r="K402" s="6">
        <f>[1]Results!N110</f>
        <v>3.1178136109999999</v>
      </c>
      <c r="L402" s="6">
        <f>[1]Results!O110</f>
        <v>3.0364466810000001</v>
      </c>
      <c r="M402" s="6">
        <f>[1]Results!P110</f>
        <v>2.9348133829999998</v>
      </c>
      <c r="N402" s="6">
        <f>[1]Results!Q110</f>
        <v>2.815428185</v>
      </c>
      <c r="O402" s="6">
        <f>[1]Results!R110</f>
        <v>2.6848759320000002</v>
      </c>
      <c r="P402" s="6">
        <f>[1]Results!S110</f>
        <v>2.5510584600000001</v>
      </c>
      <c r="Q402" s="6">
        <f>[1]Results!T110</f>
        <v>2.4213330819999999</v>
      </c>
      <c r="R402" s="6">
        <f>[1]Results!U110</f>
        <v>2.301597503</v>
      </c>
      <c r="S402" s="6">
        <f>[1]Results!V110</f>
        <v>2.1960409379999999</v>
      </c>
      <c r="T402" s="6">
        <f>[1]Results!W110</f>
        <v>2.1066555990000002</v>
      </c>
      <c r="U402" s="6">
        <f>[1]Results!X110</f>
        <v>2.0333827420000001</v>
      </c>
      <c r="V402" s="6">
        <f>[1]Results!Y110</f>
        <v>1.974637022</v>
      </c>
      <c r="W402" s="6">
        <f>[1]Results!Z110</f>
        <v>1.927954626</v>
      </c>
      <c r="X402" s="6">
        <f>[1]Results!AA110</f>
        <v>1.8907300119999999</v>
      </c>
      <c r="Y402" s="6">
        <f>[1]Results!AB110</f>
        <v>1.86047534</v>
      </c>
      <c r="Z402" s="6">
        <f>[1]Results!AC110</f>
        <v>1.8351097789999999</v>
      </c>
      <c r="AA402" s="6">
        <f>[1]Results!AD110</f>
        <v>1.8129816480000001</v>
      </c>
      <c r="AB402" s="6">
        <f>[1]Results!AE110</f>
        <v>1.792754956</v>
      </c>
      <c r="AC402" s="6">
        <f>[1]Results!AF110</f>
        <v>1.7734733650000001</v>
      </c>
      <c r="AD402" s="6">
        <f>[1]Results!AG110</f>
        <v>1.754300229</v>
      </c>
      <c r="AE402" s="6">
        <f>[1]Results!AH110</f>
        <v>1.734547139</v>
      </c>
      <c r="AF402" s="6">
        <f>[1]Results!AI110</f>
        <v>1.7136846830000001</v>
      </c>
      <c r="AG402" s="6">
        <f>[1]Results!AJ110</f>
        <v>1.6913966680000001</v>
      </c>
      <c r="AH402" s="6">
        <f>[1]Results!AK110</f>
        <v>1.667620069</v>
      </c>
      <c r="AI402" s="6">
        <f>[1]Results!AL110</f>
        <v>1.6425216170000001</v>
      </c>
      <c r="AJ402" s="6">
        <f>[1]Results!AM110</f>
        <v>1.6164267539999999</v>
      </c>
      <c r="AK402" s="6">
        <f>[1]Results!AN110</f>
        <v>1.589747633</v>
      </c>
      <c r="AL402" s="6">
        <f>[1]Results!AO110</f>
        <v>1.5628984990000001</v>
      </c>
    </row>
    <row r="404" spans="1:3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</row>
    <row r="405" spans="1:3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6.7493338969999996</v>
      </c>
      <c r="E405" s="6">
        <f>[1]Results!H112</f>
        <v>11.52650792</v>
      </c>
      <c r="F405" s="6">
        <f>[1]Results!I112</f>
        <v>15.976075059999999</v>
      </c>
      <c r="G405" s="6">
        <f>[1]Results!J112</f>
        <v>20.355510389999999</v>
      </c>
      <c r="H405" s="6">
        <f>[1]Results!K112</f>
        <v>24.811958050000001</v>
      </c>
      <c r="I405" s="6">
        <f>[1]Results!L112</f>
        <v>29.355985619999998</v>
      </c>
      <c r="J405" s="6">
        <f>[1]Results!M112</f>
        <v>34.001711499999999</v>
      </c>
      <c r="K405" s="6">
        <f>[1]Results!N112</f>
        <v>38.725180090000002</v>
      </c>
      <c r="L405" s="6">
        <f>[1]Results!O112</f>
        <v>43.499713880000002</v>
      </c>
      <c r="M405" s="6">
        <f>[1]Results!P112</f>
        <v>48.341898870000001</v>
      </c>
      <c r="N405" s="6">
        <f>[1]Results!Q112</f>
        <v>53.150139279999998</v>
      </c>
      <c r="O405" s="6">
        <f>[1]Results!R112</f>
        <v>57.946896170000002</v>
      </c>
      <c r="P405" s="6">
        <f>[1]Results!S112</f>
        <v>62.71727748</v>
      </c>
      <c r="Q405" s="6">
        <f>[1]Results!T112</f>
        <v>67.447874310000003</v>
      </c>
      <c r="R405" s="6">
        <f>[1]Results!U112</f>
        <v>72.126736489999999</v>
      </c>
      <c r="S405" s="6">
        <f>[1]Results!V112</f>
        <v>76.744140139999999</v>
      </c>
      <c r="T405" s="6">
        <f>[1]Results!W112</f>
        <v>81.294173549999996</v>
      </c>
      <c r="U405" s="6">
        <f>[1]Results!X112</f>
        <v>85.777464039999998</v>
      </c>
      <c r="V405" s="6">
        <f>[1]Results!Y112</f>
        <v>90.203582690000005</v>
      </c>
      <c r="W405" s="6">
        <f>[1]Results!Z112</f>
        <v>94.562905860000001</v>
      </c>
      <c r="X405" s="6">
        <f>[1]Results!AA112</f>
        <v>98.933812430000003</v>
      </c>
      <c r="Y405" s="6">
        <f>[1]Results!AB112</f>
        <v>103.31290319999999</v>
      </c>
      <c r="Z405" s="6">
        <f>[1]Results!AC112</f>
        <v>107.7174895</v>
      </c>
      <c r="AA405" s="6">
        <f>[1]Results!AD112</f>
        <v>112.15701079999999</v>
      </c>
      <c r="AB405" s="6">
        <f>[1]Results!AE112</f>
        <v>116.55961069999999</v>
      </c>
      <c r="AC405" s="6">
        <f>[1]Results!AF112</f>
        <v>121.0331721</v>
      </c>
      <c r="AD405" s="6">
        <f>[1]Results!AG112</f>
        <v>125.5329311</v>
      </c>
      <c r="AE405" s="6">
        <f>[1]Results!AH112</f>
        <v>130.05117469999999</v>
      </c>
      <c r="AF405" s="6">
        <f>[1]Results!AI112</f>
        <v>134.58001049999999</v>
      </c>
      <c r="AG405" s="6">
        <f>[1]Results!AJ112</f>
        <v>139.1121756</v>
      </c>
      <c r="AH405" s="6">
        <f>[1]Results!AK112</f>
        <v>143.64127350000001</v>
      </c>
      <c r="AI405" s="6">
        <f>[1]Results!AL112</f>
        <v>148.16164509999999</v>
      </c>
      <c r="AJ405" s="6">
        <f>[1]Results!AM112</f>
        <v>152.66814239999999</v>
      </c>
      <c r="AK405" s="6">
        <f>[1]Results!AN112</f>
        <v>157.15597690000001</v>
      </c>
      <c r="AL405" s="6">
        <f>[1]Results!AO112</f>
        <v>161.6207881</v>
      </c>
    </row>
    <row r="406" spans="1:38" x14ac:dyDescent="0.3">
      <c r="B406" t="s">
        <v>40</v>
      </c>
      <c r="C406" s="6">
        <f>[1]Results!F113</f>
        <v>68.80476281</v>
      </c>
      <c r="D406" s="6">
        <f>[1]Results!G113</f>
        <v>76.167450889999998</v>
      </c>
      <c r="E406" s="6">
        <f>[1]Results!H113</f>
        <v>82.782693910000006</v>
      </c>
      <c r="F406" s="6">
        <f>[1]Results!I113</f>
        <v>88.094278410000001</v>
      </c>
      <c r="G406" s="6">
        <f>[1]Results!J113</f>
        <v>92.631675340000001</v>
      </c>
      <c r="H406" s="6">
        <f>[1]Results!K113</f>
        <v>96.718088940000001</v>
      </c>
      <c r="I406" s="6">
        <f>[1]Results!L113</f>
        <v>99.914093519999994</v>
      </c>
      <c r="J406" s="6">
        <f>[1]Results!M113</f>
        <v>102.94675169999999</v>
      </c>
      <c r="K406" s="6">
        <f>[1]Results!N113</f>
        <v>105.88089979999999</v>
      </c>
      <c r="L406" s="6">
        <f>[1]Results!O113</f>
        <v>108.75832870000001</v>
      </c>
      <c r="M406" s="6">
        <f>[1]Results!P113</f>
        <v>112.64400860000001</v>
      </c>
      <c r="N406" s="6">
        <f>[1]Results!Q113</f>
        <v>115.486242</v>
      </c>
      <c r="O406" s="6">
        <f>[1]Results!R113</f>
        <v>118.3344092</v>
      </c>
      <c r="P406" s="6">
        <f>[1]Results!S113</f>
        <v>121.1995005</v>
      </c>
      <c r="Q406" s="6">
        <f>[1]Results!T113</f>
        <v>124.090839</v>
      </c>
      <c r="R406" s="6">
        <f>[1]Results!U113</f>
        <v>127.0168894</v>
      </c>
      <c r="S406" s="6">
        <f>[1]Results!V113</f>
        <v>129.98513019999999</v>
      </c>
      <c r="T406" s="6">
        <f>[1]Results!W113</f>
        <v>133.00126019999999</v>
      </c>
      <c r="U406" s="6">
        <f>[1]Results!X113</f>
        <v>136.06735549999999</v>
      </c>
      <c r="V406" s="6">
        <f>[1]Results!Y113</f>
        <v>139.17985039999999</v>
      </c>
      <c r="W406" s="6">
        <f>[1]Results!Z113</f>
        <v>141.64361450000001</v>
      </c>
      <c r="X406" s="6">
        <f>[1]Results!AA113</f>
        <v>144.811916</v>
      </c>
      <c r="Y406" s="6">
        <f>[1]Results!AB113</f>
        <v>147.98120349999999</v>
      </c>
      <c r="Z406" s="6">
        <f>[1]Results!AC113</f>
        <v>151.135954</v>
      </c>
      <c r="AA406" s="6">
        <f>[1]Results!AD113</f>
        <v>154.2662334</v>
      </c>
      <c r="AB406" s="6">
        <f>[1]Results!AE113</f>
        <v>155.49655440000001</v>
      </c>
      <c r="AC406" s="6">
        <f>[1]Results!AF113</f>
        <v>157.68849560000001</v>
      </c>
      <c r="AD406" s="6">
        <f>[1]Results!AG113</f>
        <v>159.85151440000001</v>
      </c>
      <c r="AE406" s="6">
        <f>[1]Results!AH113</f>
        <v>161.9916278</v>
      </c>
      <c r="AF406" s="6">
        <f>[1]Results!AI113</f>
        <v>164.11562409999999</v>
      </c>
      <c r="AG406" s="6">
        <f>[1]Results!AJ113</f>
        <v>166.2296073</v>
      </c>
      <c r="AH406" s="6">
        <f>[1]Results!AK113</f>
        <v>168.33857380000001</v>
      </c>
      <c r="AI406" s="6">
        <f>[1]Results!AL113</f>
        <v>170.4466065</v>
      </c>
      <c r="AJ406" s="6">
        <f>[1]Results!AM113</f>
        <v>172.55726920000001</v>
      </c>
      <c r="AK406" s="6">
        <f>[1]Results!AN113</f>
        <v>174.67392709999999</v>
      </c>
      <c r="AL406" s="6">
        <f>[1]Results!AO113</f>
        <v>176.7997704</v>
      </c>
    </row>
    <row r="407" spans="1:38" x14ac:dyDescent="0.3">
      <c r="B407" t="s">
        <v>41</v>
      </c>
      <c r="C407" s="6">
        <f>[1]Results!F114</f>
        <v>408.28039699999999</v>
      </c>
      <c r="D407" s="6">
        <f>[1]Results!G114</f>
        <v>423.60722529999998</v>
      </c>
      <c r="E407" s="6">
        <f>[1]Results!H114</f>
        <v>438.27328180000001</v>
      </c>
      <c r="F407" s="6">
        <f>[1]Results!I114</f>
        <v>450.44654270000001</v>
      </c>
      <c r="G407" s="6">
        <f>[1]Results!J114</f>
        <v>461.3056618</v>
      </c>
      <c r="H407" s="6">
        <f>[1]Results!K114</f>
        <v>471.47086289999999</v>
      </c>
      <c r="I407" s="6">
        <f>[1]Results!L114</f>
        <v>479.50487120000003</v>
      </c>
      <c r="J407" s="6">
        <f>[1]Results!M114</f>
        <v>487.3173903</v>
      </c>
      <c r="K407" s="6">
        <f>[1]Results!N114</f>
        <v>495.00559529999998</v>
      </c>
      <c r="L407" s="6">
        <f>[1]Results!O114</f>
        <v>502.62859959999997</v>
      </c>
      <c r="M407" s="6">
        <f>[1]Results!P114</f>
        <v>513.13684149999995</v>
      </c>
      <c r="N407" s="6">
        <f>[1]Results!Q114</f>
        <v>520.73628929999995</v>
      </c>
      <c r="O407" s="6">
        <f>[1]Results!R114</f>
        <v>528.34840120000001</v>
      </c>
      <c r="P407" s="6">
        <f>[1]Results!S114</f>
        <v>535.98547680000001</v>
      </c>
      <c r="Q407" s="6">
        <f>[1]Results!T114</f>
        <v>543.65829380000002</v>
      </c>
      <c r="R407" s="6">
        <f>[1]Results!U114</f>
        <v>551.37712839999995</v>
      </c>
      <c r="S407" s="6">
        <f>[1]Results!V114</f>
        <v>559.1514535</v>
      </c>
      <c r="T407" s="6">
        <f>[1]Results!W114</f>
        <v>566.98884069999997</v>
      </c>
      <c r="U407" s="6">
        <f>[1]Results!X114</f>
        <v>574.89270060000001</v>
      </c>
      <c r="V407" s="6">
        <f>[1]Results!Y114</f>
        <v>582.85981879999997</v>
      </c>
      <c r="W407" s="6">
        <f>[1]Results!Z114</f>
        <v>588.95219380000003</v>
      </c>
      <c r="X407" s="6">
        <f>[1]Results!AA114</f>
        <v>597.00033570000005</v>
      </c>
      <c r="Y407" s="6">
        <f>[1]Results!AB114</f>
        <v>605.05945259999999</v>
      </c>
      <c r="Z407" s="6">
        <f>[1]Results!AC114</f>
        <v>613.11090909999996</v>
      </c>
      <c r="AA407" s="6">
        <f>[1]Results!AD114</f>
        <v>621.14273649999996</v>
      </c>
      <c r="AB407" s="6">
        <f>[1]Results!AE114</f>
        <v>623.88851920000002</v>
      </c>
      <c r="AC407" s="6">
        <f>[1]Results!AF114</f>
        <v>629.38715560000003</v>
      </c>
      <c r="AD407" s="6">
        <f>[1]Results!AG114</f>
        <v>634.85363219999999</v>
      </c>
      <c r="AE407" s="6">
        <f>[1]Results!AH114</f>
        <v>640.29532189999998</v>
      </c>
      <c r="AF407" s="6">
        <f>[1]Results!AI114</f>
        <v>645.72026719999997</v>
      </c>
      <c r="AG407" s="6">
        <f>[1]Results!AJ114</f>
        <v>651.13558599999999</v>
      </c>
      <c r="AH407" s="6">
        <f>[1]Results!AK114</f>
        <v>656.54704909999998</v>
      </c>
      <c r="AI407" s="6">
        <f>[1]Results!AL114</f>
        <v>661.95933190000005</v>
      </c>
      <c r="AJ407" s="6">
        <f>[1]Results!AM114</f>
        <v>667.37648179999997</v>
      </c>
      <c r="AK407" s="6">
        <f>[1]Results!AN114</f>
        <v>672.80230329999995</v>
      </c>
      <c r="AL407" s="6">
        <f>[1]Results!AO114</f>
        <v>678.24041350000005</v>
      </c>
    </row>
    <row r="408" spans="1:38" x14ac:dyDescent="0.3">
      <c r="B408" t="s">
        <v>42</v>
      </c>
      <c r="C408" s="6">
        <f>[1]Results!F115</f>
        <v>954.38155940000001</v>
      </c>
      <c r="D408" s="6">
        <f>[1]Results!G115</f>
        <v>948.00346160000004</v>
      </c>
      <c r="E408" s="6">
        <f>[1]Results!H115</f>
        <v>942.13795349999998</v>
      </c>
      <c r="F408" s="6">
        <f>[1]Results!I115</f>
        <v>939.04726029999995</v>
      </c>
      <c r="G408" s="6">
        <f>[1]Results!J115</f>
        <v>937.25237819999995</v>
      </c>
      <c r="H408" s="6">
        <f>[1]Results!K115</f>
        <v>935.99759019999999</v>
      </c>
      <c r="I408" s="6">
        <f>[1]Results!L115</f>
        <v>934.95947609999996</v>
      </c>
      <c r="J408" s="6">
        <f>[1]Results!M115</f>
        <v>934.00196129999995</v>
      </c>
      <c r="K408" s="6">
        <f>[1]Results!N115</f>
        <v>933.0679715</v>
      </c>
      <c r="L408" s="6">
        <f>[1]Results!O115</f>
        <v>932.13314030000004</v>
      </c>
      <c r="M408" s="6">
        <f>[1]Results!P115</f>
        <v>931.18805769999994</v>
      </c>
      <c r="N408" s="6">
        <f>[1]Results!Q115</f>
        <v>930.22859849999998</v>
      </c>
      <c r="O408" s="6">
        <f>[1]Results!R115</f>
        <v>929.25336460000005</v>
      </c>
      <c r="P408" s="6">
        <f>[1]Results!S115</f>
        <v>928.26350449999995</v>
      </c>
      <c r="Q408" s="6">
        <f>[1]Results!T115</f>
        <v>927.26061010000001</v>
      </c>
      <c r="R408" s="6">
        <f>[1]Results!U115</f>
        <v>926.24561789999996</v>
      </c>
      <c r="S408" s="6">
        <f>[1]Results!V115</f>
        <v>925.21809370000005</v>
      </c>
      <c r="T408" s="6">
        <f>[1]Results!W115</f>
        <v>924.17556609999997</v>
      </c>
      <c r="U408" s="6">
        <f>[1]Results!X115</f>
        <v>923.1133347</v>
      </c>
      <c r="V408" s="6">
        <f>[1]Results!Y115</f>
        <v>922.02536859999998</v>
      </c>
      <c r="W408" s="6">
        <f>[1]Results!Z115</f>
        <v>920.90458999999998</v>
      </c>
      <c r="X408" s="6">
        <f>[1]Results!AA115</f>
        <v>919.75300819999995</v>
      </c>
      <c r="Y408" s="6">
        <f>[1]Results!AB115</f>
        <v>918.57604830000002</v>
      </c>
      <c r="Z408" s="6">
        <f>[1]Results!AC115</f>
        <v>917.37981460000003</v>
      </c>
      <c r="AA408" s="6">
        <f>[1]Results!AD115</f>
        <v>916.16964840000003</v>
      </c>
      <c r="AB408" s="6">
        <f>[1]Results!AE115</f>
        <v>914.94392970000001</v>
      </c>
      <c r="AC408" s="6">
        <f>[1]Results!AF115</f>
        <v>913.70929260000003</v>
      </c>
      <c r="AD408" s="6">
        <f>[1]Results!AG115</f>
        <v>912.468839</v>
      </c>
      <c r="AE408" s="6">
        <f>[1]Results!AH115</f>
        <v>911.22165649999999</v>
      </c>
      <c r="AF408" s="6">
        <f>[1]Results!AI115</f>
        <v>909.9658925</v>
      </c>
      <c r="AG408" s="6">
        <f>[1]Results!AJ115</f>
        <v>908.70016380000004</v>
      </c>
      <c r="AH408" s="6">
        <f>[1]Results!AK115</f>
        <v>907.4239073</v>
      </c>
      <c r="AI408" s="6">
        <f>[1]Results!AL115</f>
        <v>906.13717299999996</v>
      </c>
      <c r="AJ408" s="6">
        <f>[1]Results!AM115</f>
        <v>904.84023049999996</v>
      </c>
      <c r="AK408" s="6">
        <f>[1]Results!AN115</f>
        <v>903.53323160000002</v>
      </c>
      <c r="AL408" s="6">
        <f>[1]Results!AO115</f>
        <v>902.21609309999997</v>
      </c>
    </row>
    <row r="409" spans="1:38" x14ac:dyDescent="0.3">
      <c r="B409" t="s">
        <v>43</v>
      </c>
      <c r="C409" s="6">
        <f>[1]Results!F116</f>
        <v>878.79999729999997</v>
      </c>
      <c r="D409" s="6">
        <f>[1]Results!G116</f>
        <v>869.4310534</v>
      </c>
      <c r="E409" s="6">
        <f>[1]Results!H116</f>
        <v>861.858431</v>
      </c>
      <c r="F409" s="6">
        <f>[1]Results!I116</f>
        <v>855.53037819999997</v>
      </c>
      <c r="G409" s="6">
        <f>[1]Results!J116</f>
        <v>849.93818480000004</v>
      </c>
      <c r="H409" s="6">
        <f>[1]Results!K116</f>
        <v>844.74919220000004</v>
      </c>
      <c r="I409" s="6">
        <f>[1]Results!L116</f>
        <v>839.77592240000001</v>
      </c>
      <c r="J409" s="6">
        <f>[1]Results!M116</f>
        <v>834.9212685</v>
      </c>
      <c r="K409" s="6">
        <f>[1]Results!N116</f>
        <v>830.1377549</v>
      </c>
      <c r="L409" s="6">
        <f>[1]Results!O116</f>
        <v>825.40272809999999</v>
      </c>
      <c r="M409" s="6">
        <f>[1]Results!P116</f>
        <v>820.70573060000004</v>
      </c>
      <c r="N409" s="6">
        <f>[1]Results!Q116</f>
        <v>816.04210660000001</v>
      </c>
      <c r="O409" s="6">
        <f>[1]Results!R116</f>
        <v>811.40937150000002</v>
      </c>
      <c r="P409" s="6">
        <f>[1]Results!S116</f>
        <v>806.80718609999997</v>
      </c>
      <c r="Q409" s="6">
        <f>[1]Results!T116</f>
        <v>802.23613620000003</v>
      </c>
      <c r="R409" s="6">
        <f>[1]Results!U116</f>
        <v>797.69719859999998</v>
      </c>
      <c r="S409" s="6">
        <f>[1]Results!V116</f>
        <v>793.19129459999999</v>
      </c>
      <c r="T409" s="6">
        <f>[1]Results!W116</f>
        <v>788.71888360000003</v>
      </c>
      <c r="U409" s="6">
        <f>[1]Results!X116</f>
        <v>784.27958609999996</v>
      </c>
      <c r="V409" s="6">
        <f>[1]Results!Y116</f>
        <v>779.87203620000003</v>
      </c>
      <c r="W409" s="6">
        <f>[1]Results!Z116</f>
        <v>775.49389199999996</v>
      </c>
      <c r="X409" s="6">
        <f>[1]Results!AA116</f>
        <v>771.14262929999995</v>
      </c>
      <c r="Y409" s="6">
        <f>[1]Results!AB116</f>
        <v>766.81630419999999</v>
      </c>
      <c r="Z409" s="6">
        <f>[1]Results!AC116</f>
        <v>762.51301850000004</v>
      </c>
      <c r="AA409" s="6">
        <f>[1]Results!AD116</f>
        <v>758.23155650000001</v>
      </c>
      <c r="AB409" s="6">
        <f>[1]Results!AE116</f>
        <v>753.97103340000001</v>
      </c>
      <c r="AC409" s="6">
        <f>[1]Results!AF116</f>
        <v>749.73126460000003</v>
      </c>
      <c r="AD409" s="6">
        <f>[1]Results!AG116</f>
        <v>745.51358379999999</v>
      </c>
      <c r="AE409" s="6">
        <f>[1]Results!AH116</f>
        <v>741.3187954</v>
      </c>
      <c r="AF409" s="6">
        <f>[1]Results!AI116</f>
        <v>737.14757970000005</v>
      </c>
      <c r="AG409" s="6">
        <f>[1]Results!AJ116</f>
        <v>733.00050999999996</v>
      </c>
      <c r="AH409" s="6">
        <f>[1]Results!AK116</f>
        <v>728.87806869999997</v>
      </c>
      <c r="AI409" s="6">
        <f>[1]Results!AL116</f>
        <v>724.78065700000002</v>
      </c>
      <c r="AJ409" s="6">
        <f>[1]Results!AM116</f>
        <v>720.70860630000004</v>
      </c>
      <c r="AK409" s="6">
        <f>[1]Results!AN116</f>
        <v>716.66219090000004</v>
      </c>
      <c r="AL409" s="6">
        <f>[1]Results!AO116</f>
        <v>712.64162980000003</v>
      </c>
    </row>
    <row r="410" spans="1:38" x14ac:dyDescent="0.3">
      <c r="B410" t="s">
        <v>44</v>
      </c>
      <c r="C410" s="6">
        <f>[1]Results!F117</f>
        <v>139.85209269999999</v>
      </c>
      <c r="D410" s="6">
        <f>[1]Results!G117</f>
        <v>138.03691000000001</v>
      </c>
      <c r="E410" s="6">
        <f>[1]Results!H117</f>
        <v>136.32928910000001</v>
      </c>
      <c r="F410" s="6">
        <f>[1]Results!I117</f>
        <v>134.75853810000001</v>
      </c>
      <c r="G410" s="6">
        <f>[1]Results!J117</f>
        <v>133.34486999999999</v>
      </c>
      <c r="H410" s="6">
        <f>[1]Results!K117</f>
        <v>132.08580910000001</v>
      </c>
      <c r="I410" s="6">
        <f>[1]Results!L117</f>
        <v>130.95836320000001</v>
      </c>
      <c r="J410" s="6">
        <f>[1]Results!M117</f>
        <v>129.9309647</v>
      </c>
      <c r="K410" s="6">
        <f>[1]Results!N117</f>
        <v>128.97352119999999</v>
      </c>
      <c r="L410" s="6">
        <f>[1]Results!O117</f>
        <v>128.0620491</v>
      </c>
      <c r="M410" s="6">
        <f>[1]Results!P117</f>
        <v>127.1793442</v>
      </c>
      <c r="N410" s="6">
        <f>[1]Results!Q117</f>
        <v>126.3129326</v>
      </c>
      <c r="O410" s="6">
        <f>[1]Results!R117</f>
        <v>125.4538084</v>
      </c>
      <c r="P410" s="6">
        <f>[1]Results!S117</f>
        <v>124.5942714</v>
      </c>
      <c r="Q410" s="6">
        <f>[1]Results!T117</f>
        <v>123.7267848</v>
      </c>
      <c r="R410" s="6">
        <f>[1]Results!U117</f>
        <v>122.8437638</v>
      </c>
      <c r="S410" s="6">
        <f>[1]Results!V117</f>
        <v>121.938284</v>
      </c>
      <c r="T410" s="6">
        <f>[1]Results!W117</f>
        <v>121.00534399999999</v>
      </c>
      <c r="U410" s="6">
        <f>[1]Results!X117</f>
        <v>120.04369490000001</v>
      </c>
      <c r="V410" s="6">
        <f>[1]Results!Y117</f>
        <v>119.0571577</v>
      </c>
      <c r="W410" s="6">
        <f>[1]Results!Z117</f>
        <v>118.0541206</v>
      </c>
      <c r="X410" s="6">
        <f>[1]Results!AA117</f>
        <v>117.0476129</v>
      </c>
      <c r="Y410" s="6">
        <f>[1]Results!AB117</f>
        <v>116.05086679999999</v>
      </c>
      <c r="Z410" s="6">
        <f>[1]Results!AC117</f>
        <v>115.0753716</v>
      </c>
      <c r="AA410" s="6">
        <f>[1]Results!AD117</f>
        <v>114.12874360000001</v>
      </c>
      <c r="AB410" s="6">
        <f>[1]Results!AE117</f>
        <v>113.21344139999999</v>
      </c>
      <c r="AC410" s="6">
        <f>[1]Results!AF117</f>
        <v>112.32955680000001</v>
      </c>
      <c r="AD410" s="6">
        <f>[1]Results!AG117</f>
        <v>111.47340060000001</v>
      </c>
      <c r="AE410" s="6">
        <f>[1]Results!AH117</f>
        <v>110.6400445</v>
      </c>
      <c r="AF410" s="6">
        <f>[1]Results!AI117</f>
        <v>109.82441110000001</v>
      </c>
      <c r="AG410" s="6">
        <f>[1]Results!AJ117</f>
        <v>109.0219855</v>
      </c>
      <c r="AH410" s="6">
        <f>[1]Results!AK117</f>
        <v>108.2290173</v>
      </c>
      <c r="AI410" s="6">
        <f>[1]Results!AL117</f>
        <v>107.44240720000001</v>
      </c>
      <c r="AJ410" s="6">
        <f>[1]Results!AM117</f>
        <v>106.65947679999999</v>
      </c>
      <c r="AK410" s="6">
        <f>[1]Results!AN117</f>
        <v>105.8777609</v>
      </c>
      <c r="AL410" s="6">
        <f>[1]Results!AO117</f>
        <v>105.0949749</v>
      </c>
    </row>
    <row r="411" spans="1:38" x14ac:dyDescent="0.3">
      <c r="B411" t="s">
        <v>45</v>
      </c>
      <c r="C411" s="6">
        <f>[1]Results!F118</f>
        <v>3.874567114</v>
      </c>
      <c r="D411" s="6">
        <f>[1]Results!G118</f>
        <v>3.730938305</v>
      </c>
      <c r="E411" s="6">
        <f>[1]Results!H118</f>
        <v>3.5999494350000001</v>
      </c>
      <c r="F411" s="6">
        <f>[1]Results!I118</f>
        <v>3.4839117819999998</v>
      </c>
      <c r="G411" s="6">
        <f>[1]Results!J118</f>
        <v>3.3849327169999999</v>
      </c>
      <c r="H411" s="6">
        <f>[1]Results!K118</f>
        <v>3.3034984359999999</v>
      </c>
      <c r="I411" s="6">
        <f>[1]Results!L118</f>
        <v>3.238077348</v>
      </c>
      <c r="J411" s="6">
        <f>[1]Results!M118</f>
        <v>3.1858005390000002</v>
      </c>
      <c r="K411" s="6">
        <f>[1]Results!N118</f>
        <v>3.1433543880000001</v>
      </c>
      <c r="L411" s="6">
        <f>[1]Results!O118</f>
        <v>3.1076160210000001</v>
      </c>
      <c r="M411" s="6">
        <f>[1]Results!P118</f>
        <v>3.0759999320000002</v>
      </c>
      <c r="N411" s="6">
        <f>[1]Results!Q118</f>
        <v>3.0463488829999998</v>
      </c>
      <c r="O411" s="6">
        <f>[1]Results!R118</f>
        <v>3.0170011059999999</v>
      </c>
      <c r="P411" s="6">
        <f>[1]Results!S118</f>
        <v>2.9865514929999999</v>
      </c>
      <c r="Q411" s="6">
        <f>[1]Results!T118</f>
        <v>2.9537698649999999</v>
      </c>
      <c r="R411" s="6">
        <f>[1]Results!U118</f>
        <v>2.9176390900000002</v>
      </c>
      <c r="S411" s="6">
        <f>[1]Results!V118</f>
        <v>2.8774720500000002</v>
      </c>
      <c r="T411" s="6">
        <f>[1]Results!W118</f>
        <v>2.8330264920000001</v>
      </c>
      <c r="U411" s="6">
        <f>[1]Results!X118</f>
        <v>2.7846210139999998</v>
      </c>
      <c r="V411" s="6">
        <f>[1]Results!Y118</f>
        <v>2.7331444220000001</v>
      </c>
      <c r="W411" s="6">
        <f>[1]Results!Z118</f>
        <v>2.6798737990000001</v>
      </c>
      <c r="X411" s="6">
        <f>[1]Results!AA118</f>
        <v>2.6264448900000001</v>
      </c>
      <c r="Y411" s="6">
        <f>[1]Results!AB118</f>
        <v>2.5743724210000001</v>
      </c>
      <c r="Z411" s="6">
        <f>[1]Results!AC118</f>
        <v>2.5249134889999998</v>
      </c>
      <c r="AA411" s="6">
        <f>[1]Results!AD118</f>
        <v>2.478895069</v>
      </c>
      <c r="AB411" s="6">
        <f>[1]Results!AE118</f>
        <v>2.4365734990000001</v>
      </c>
      <c r="AC411" s="6">
        <f>[1]Results!AF118</f>
        <v>2.397979517</v>
      </c>
      <c r="AD411" s="6">
        <f>[1]Results!AG118</f>
        <v>2.3626789800000001</v>
      </c>
      <c r="AE411" s="6">
        <f>[1]Results!AH118</f>
        <v>2.3300577260000002</v>
      </c>
      <c r="AF411" s="6">
        <f>[1]Results!AI118</f>
        <v>2.299453846</v>
      </c>
      <c r="AG411" s="6">
        <f>[1]Results!AJ118</f>
        <v>2.2702601250000001</v>
      </c>
      <c r="AH411" s="6">
        <f>[1]Results!AK118</f>
        <v>2.2419635470000001</v>
      </c>
      <c r="AI411" s="6">
        <f>[1]Results!AL118</f>
        <v>2.2141400839999998</v>
      </c>
      <c r="AJ411" s="6">
        <f>[1]Results!AM118</f>
        <v>2.1864310119999999</v>
      </c>
      <c r="AK411" s="6">
        <f>[1]Results!AN118</f>
        <v>2.1585212089999999</v>
      </c>
      <c r="AL411" s="6">
        <f>[1]Results!AO118</f>
        <v>2.1301397340000001</v>
      </c>
    </row>
    <row r="413" spans="1:38" x14ac:dyDescent="0.3">
      <c r="A413" s="12" t="s">
        <v>66</v>
      </c>
      <c r="B413" s="6" t="str">
        <f>[1]Emissions!A830</f>
        <v>ems_ci_co2_sagr_2</v>
      </c>
      <c r="C413" s="6">
        <f>[1]Emissions!B830</f>
        <v>11.870497739999999</v>
      </c>
      <c r="D413" s="6">
        <f>[1]Emissions!C830</f>
        <v>11.702132280000001</v>
      </c>
      <c r="E413" s="6">
        <f>[1]Emissions!D830</f>
        <v>11.5227465</v>
      </c>
      <c r="F413" s="6">
        <f>[1]Emissions!E830</f>
        <v>11.4023219</v>
      </c>
      <c r="G413" s="6">
        <f>[1]Emissions!F830</f>
        <v>11.363276989999999</v>
      </c>
      <c r="H413" s="6">
        <f>[1]Emissions!G830</f>
        <v>11.40434797</v>
      </c>
      <c r="I413" s="6">
        <f>[1]Emissions!H830</f>
        <v>11.50899222</v>
      </c>
      <c r="J413" s="6">
        <f>[1]Emissions!I830</f>
        <v>11.692469340000001</v>
      </c>
      <c r="K413" s="6">
        <f>[1]Emissions!J830</f>
        <v>11.91551151</v>
      </c>
      <c r="L413" s="6">
        <f>[1]Emissions!K830</f>
        <v>12.136853909999999</v>
      </c>
      <c r="M413" s="6">
        <f>[1]Emissions!L830</f>
        <v>12.33369622</v>
      </c>
      <c r="N413" s="6">
        <f>[1]Emissions!M830</f>
        <v>12.48552905</v>
      </c>
      <c r="O413" s="6">
        <f>[1]Emissions!N830</f>
        <v>12.599358260000001</v>
      </c>
      <c r="P413" s="6">
        <f>[1]Emissions!O830</f>
        <v>12.68512992</v>
      </c>
      <c r="Q413" s="6">
        <f>[1]Emissions!P830</f>
        <v>12.75149923</v>
      </c>
      <c r="R413" s="6">
        <f>[1]Emissions!Q830</f>
        <v>12.80367268</v>
      </c>
      <c r="S413" s="6">
        <f>[1]Emissions!R830</f>
        <v>12.843703639999999</v>
      </c>
      <c r="T413" s="6">
        <f>[1]Emissions!S830</f>
        <v>12.872234819999999</v>
      </c>
      <c r="U413" s="6">
        <f>[1]Emissions!T830</f>
        <v>12.890305720000001</v>
      </c>
      <c r="V413" s="6">
        <f>[1]Emissions!U830</f>
        <v>12.900335480000001</v>
      </c>
      <c r="W413" s="6">
        <f>[1]Emissions!V830</f>
        <v>12.900070940000001</v>
      </c>
      <c r="X413" s="6">
        <f>[1]Emissions!W830</f>
        <v>12.90197412</v>
      </c>
      <c r="Y413" s="6">
        <f>[1]Emissions!X830</f>
        <v>12.90687513</v>
      </c>
      <c r="Z413" s="6">
        <f>[1]Emissions!Y830</f>
        <v>12.91765728</v>
      </c>
      <c r="AA413" s="6">
        <f>[1]Emissions!Z830</f>
        <v>12.936623490000001</v>
      </c>
      <c r="AB413" s="6">
        <f>[1]Emissions!AA830</f>
        <v>12.946551149999999</v>
      </c>
      <c r="AC413" s="6">
        <f>[1]Emissions!AB830</f>
        <v>12.96367058</v>
      </c>
      <c r="AD413" s="6">
        <f>[1]Emissions!AC830</f>
        <v>12.98080714</v>
      </c>
      <c r="AE413" s="6">
        <f>[1]Emissions!AD830</f>
        <v>12.995613820000001</v>
      </c>
      <c r="AF413" s="6">
        <f>[1]Emissions!AE830</f>
        <v>13.00887955</v>
      </c>
      <c r="AG413" s="6">
        <f>[1]Emissions!AF830</f>
        <v>13.0229669</v>
      </c>
      <c r="AH413" s="6">
        <f>[1]Emissions!AG830</f>
        <v>13.04015659</v>
      </c>
      <c r="AI413" s="6">
        <f>[1]Emissions!AH830</f>
        <v>13.06153722</v>
      </c>
      <c r="AJ413" s="6">
        <f>[1]Emissions!AI830</f>
        <v>13.086734180000001</v>
      </c>
      <c r="AK413" s="6">
        <f>[1]Emissions!AJ830</f>
        <v>13.114325170000001</v>
      </c>
      <c r="AL413" s="6">
        <f>[1]Emissions!AK830</f>
        <v>13.14258985</v>
      </c>
    </row>
    <row r="414" spans="1:38" x14ac:dyDescent="0.3">
      <c r="A414" t="s">
        <v>27</v>
      </c>
      <c r="B414" s="6" t="str">
        <f>[1]Emissions!A831</f>
        <v>ems_y_co2_sagr_2</v>
      </c>
      <c r="C414" s="6">
        <f>[1]Emissions!B831</f>
        <v>2.3514860020000001</v>
      </c>
      <c r="D414" s="6">
        <f>[1]Emissions!C831</f>
        <v>2.3361128940000002</v>
      </c>
      <c r="E414" s="6">
        <f>[1]Emissions!D831</f>
        <v>2.3253803419999999</v>
      </c>
      <c r="F414" s="6">
        <f>[1]Emissions!E831</f>
        <v>2.3230435360000001</v>
      </c>
      <c r="G414" s="6">
        <f>[1]Emissions!F831</f>
        <v>2.330045379</v>
      </c>
      <c r="H414" s="6">
        <f>[1]Emissions!G831</f>
        <v>2.3453704470000001</v>
      </c>
      <c r="I414" s="6">
        <f>[1]Emissions!H831</f>
        <v>2.365936466</v>
      </c>
      <c r="J414" s="6">
        <f>[1]Emissions!I831</f>
        <v>2.3898467330000002</v>
      </c>
      <c r="K414" s="6">
        <f>[1]Emissions!J831</f>
        <v>2.41464123</v>
      </c>
      <c r="L414" s="6">
        <f>[1]Emissions!K831</f>
        <v>2.4386612570000001</v>
      </c>
      <c r="M414" s="6">
        <f>[1]Emissions!L831</f>
        <v>2.4631320080000001</v>
      </c>
      <c r="N414" s="6">
        <f>[1]Emissions!M831</f>
        <v>2.484165672</v>
      </c>
      <c r="O414" s="6">
        <f>[1]Emissions!N831</f>
        <v>2.5020841549999999</v>
      </c>
      <c r="P414" s="6">
        <f>[1]Emissions!O831</f>
        <v>2.5168268</v>
      </c>
      <c r="Q414" s="6">
        <f>[1]Emissions!P831</f>
        <v>2.5286213480000002</v>
      </c>
      <c r="R414" s="6">
        <f>[1]Emissions!Q831</f>
        <v>2.5379267840000002</v>
      </c>
      <c r="S414" s="6">
        <f>[1]Emissions!R831</f>
        <v>2.5453531900000002</v>
      </c>
      <c r="T414" s="6">
        <f>[1]Emissions!S831</f>
        <v>2.551570028</v>
      </c>
      <c r="U414" s="6">
        <f>[1]Emissions!T831</f>
        <v>2.5572176579999999</v>
      </c>
      <c r="V414" s="6">
        <f>[1]Emissions!U831</f>
        <v>2.5628382709999999</v>
      </c>
      <c r="W414" s="6">
        <f>[1]Emissions!V831</f>
        <v>2.567158735</v>
      </c>
      <c r="X414" s="6">
        <f>[1]Emissions!W831</f>
        <v>2.5729621599999999</v>
      </c>
      <c r="Y414" s="6">
        <f>[1]Emissions!X831</f>
        <v>2.5798094360000001</v>
      </c>
      <c r="Z414" s="6">
        <f>[1]Emissions!Y831</f>
        <v>2.587716033</v>
      </c>
      <c r="AA414" s="6">
        <f>[1]Emissions!Z831</f>
        <v>2.5965792190000001</v>
      </c>
      <c r="AB414" s="6">
        <f>[1]Emissions!AA831</f>
        <v>2.6014649670000001</v>
      </c>
      <c r="AC414" s="6">
        <f>[1]Emissions!AB831</f>
        <v>2.6073177940000001</v>
      </c>
      <c r="AD414" s="6">
        <f>[1]Emissions!AC831</f>
        <v>2.613384419</v>
      </c>
      <c r="AE414" s="6">
        <f>[1]Emissions!AD831</f>
        <v>2.6198135649999998</v>
      </c>
      <c r="AF414" s="6">
        <f>[1]Emissions!AE831</f>
        <v>2.6266471060000001</v>
      </c>
      <c r="AG414" s="6">
        <f>[1]Emissions!AF831</f>
        <v>2.6338378929999999</v>
      </c>
      <c r="AH414" s="6">
        <f>[1]Emissions!AG831</f>
        <v>2.6412847410000002</v>
      </c>
      <c r="AI414" s="6">
        <f>[1]Emissions!AH831</f>
        <v>2.6488706889999998</v>
      </c>
      <c r="AJ414" s="6">
        <f>[1]Emissions!AI831</f>
        <v>2.6564925260000001</v>
      </c>
      <c r="AK414" s="6">
        <f>[1]Emissions!AJ831</f>
        <v>2.6640755380000001</v>
      </c>
      <c r="AL414" s="6">
        <f>[1]Emissions!AK831</f>
        <v>2.6715742640000002</v>
      </c>
    </row>
    <row r="415" spans="1:3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</row>
    <row r="416" spans="1:38" x14ac:dyDescent="0.3">
      <c r="B416" s="6" t="str">
        <f>[1]Emissions!A833</f>
        <v>ems_ci_co2_sfor_2</v>
      </c>
      <c r="C416" s="6">
        <f>[1]Emissions!B833</f>
        <v>0.51869948030000002</v>
      </c>
      <c r="D416" s="6">
        <f>[1]Emissions!C833</f>
        <v>0.50370094160000001</v>
      </c>
      <c r="E416" s="6">
        <f>[1]Emissions!D833</f>
        <v>0.48925613410000002</v>
      </c>
      <c r="F416" s="6">
        <f>[1]Emissions!E833</f>
        <v>0.47834147690000001</v>
      </c>
      <c r="G416" s="6">
        <f>[1]Emissions!F833</f>
        <v>0.47126483740000003</v>
      </c>
      <c r="H416" s="6">
        <f>[1]Emissions!G833</f>
        <v>0.46772937050000002</v>
      </c>
      <c r="I416" s="6">
        <f>[1]Emissions!H833</f>
        <v>0.46970143219999999</v>
      </c>
      <c r="J416" s="6">
        <f>[1]Emissions!I833</f>
        <v>0.47309356260000002</v>
      </c>
      <c r="K416" s="6">
        <f>[1]Emissions!J833</f>
        <v>0.47780163790000002</v>
      </c>
      <c r="L416" s="6">
        <f>[1]Emissions!K833</f>
        <v>0.48283201320000002</v>
      </c>
      <c r="M416" s="6">
        <f>[1]Emissions!L833</f>
        <v>0.4880949651</v>
      </c>
      <c r="N416" s="6">
        <f>[1]Emissions!M833</f>
        <v>0.49165809780000003</v>
      </c>
      <c r="O416" s="6">
        <f>[1]Emissions!N833</f>
        <v>0.49463670320000003</v>
      </c>
      <c r="P416" s="6">
        <f>[1]Emissions!O833</f>
        <v>0.49762948940000001</v>
      </c>
      <c r="Q416" s="6">
        <f>[1]Emissions!P833</f>
        <v>0.50089440559999998</v>
      </c>
      <c r="R416" s="6">
        <f>[1]Emissions!Q833</f>
        <v>0.50446490700000002</v>
      </c>
      <c r="S416" s="6">
        <f>[1]Emissions!R833</f>
        <v>0.50824432779999995</v>
      </c>
      <c r="T416" s="6">
        <f>[1]Emissions!S833</f>
        <v>0.51209571980000002</v>
      </c>
      <c r="U416" s="6">
        <f>[1]Emissions!T833</f>
        <v>0.51591821599999999</v>
      </c>
      <c r="V416" s="6">
        <f>[1]Emissions!U833</f>
        <v>0.51968811930000003</v>
      </c>
      <c r="W416" s="6">
        <f>[1]Emissions!V833</f>
        <v>0.52286068109999995</v>
      </c>
      <c r="X416" s="6">
        <f>[1]Emissions!W833</f>
        <v>0.52673711329999995</v>
      </c>
      <c r="Y416" s="6">
        <f>[1]Emissions!X833</f>
        <v>0.53083253149999998</v>
      </c>
      <c r="Z416" s="6">
        <f>[1]Emissions!Y833</f>
        <v>0.53508741879999999</v>
      </c>
      <c r="AA416" s="6">
        <f>[1]Emissions!Z833</f>
        <v>0.53958874720000005</v>
      </c>
      <c r="AB416" s="6">
        <f>[1]Emissions!AA833</f>
        <v>0.54259345339999998</v>
      </c>
      <c r="AC416" s="6">
        <f>[1]Emissions!AB833</f>
        <v>0.54697939809999996</v>
      </c>
      <c r="AD416" s="6">
        <f>[1]Emissions!AC833</f>
        <v>0.55169428890000005</v>
      </c>
      <c r="AE416" s="6">
        <f>[1]Emissions!AD833</f>
        <v>0.55631707559999999</v>
      </c>
      <c r="AF416" s="6">
        <f>[1]Emissions!AE833</f>
        <v>0.56083743050000001</v>
      </c>
      <c r="AG416" s="6">
        <f>[1]Emissions!AF833</f>
        <v>0.56538569000000005</v>
      </c>
      <c r="AH416" s="6">
        <f>[1]Emissions!AG833</f>
        <v>0.57009805410000003</v>
      </c>
      <c r="AI416" s="6">
        <f>[1]Emissions!AH833</f>
        <v>0.57505484799999995</v>
      </c>
      <c r="AJ416" s="6">
        <f>[1]Emissions!AI833</f>
        <v>0.58026494969999998</v>
      </c>
      <c r="AK416" s="6">
        <f>[1]Emissions!AJ833</f>
        <v>0.58568553980000004</v>
      </c>
      <c r="AL416" s="6">
        <f>[1]Emissions!AK833</f>
        <v>0.59125619650000005</v>
      </c>
    </row>
    <row r="417" spans="2:3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</row>
    <row r="418" spans="2:3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</row>
    <row r="419" spans="2:38" x14ac:dyDescent="0.3">
      <c r="B419" s="6" t="str">
        <f>[1]Emissions!A836</f>
        <v>ems_ci_co2_sfoo_2</v>
      </c>
      <c r="C419" s="6">
        <f>[1]Emissions!B836</f>
        <v>9.8745130159999999</v>
      </c>
      <c r="D419" s="6">
        <f>[1]Emissions!C836</f>
        <v>9.8694077199999999</v>
      </c>
      <c r="E419" s="6">
        <f>[1]Emissions!D836</f>
        <v>9.8505212550000003</v>
      </c>
      <c r="F419" s="6">
        <f>[1]Emissions!E836</f>
        <v>9.8486436929999996</v>
      </c>
      <c r="G419" s="6">
        <f>[1]Emissions!F836</f>
        <v>9.8734797929999996</v>
      </c>
      <c r="H419" s="6">
        <f>[1]Emissions!G836</f>
        <v>9.9243294500000001</v>
      </c>
      <c r="I419" s="6">
        <f>[1]Emissions!H836</f>
        <v>9.9922607429999992</v>
      </c>
      <c r="J419" s="6">
        <f>[1]Emissions!I836</f>
        <v>10.09245016</v>
      </c>
      <c r="K419" s="6">
        <f>[1]Emissions!J836</f>
        <v>10.20460269</v>
      </c>
      <c r="L419" s="6">
        <f>[1]Emissions!K836</f>
        <v>10.3131358</v>
      </c>
      <c r="M419" s="6">
        <f>[1]Emissions!L836</f>
        <v>10.415848280000001</v>
      </c>
      <c r="N419" s="6">
        <f>[1]Emissions!M836</f>
        <v>10.500199800000001</v>
      </c>
      <c r="O419" s="6">
        <f>[1]Emissions!N836</f>
        <v>10.569672779999999</v>
      </c>
      <c r="P419" s="6">
        <f>[1]Emissions!O836</f>
        <v>10.62764175</v>
      </c>
      <c r="Q419" s="6">
        <f>[1]Emissions!P836</f>
        <v>10.676696789999999</v>
      </c>
      <c r="R419" s="6">
        <f>[1]Emissions!Q836</f>
        <v>10.71830772</v>
      </c>
      <c r="S419" s="6">
        <f>[1]Emissions!R836</f>
        <v>10.753135759999999</v>
      </c>
      <c r="T419" s="6">
        <f>[1]Emissions!S836</f>
        <v>10.78169984</v>
      </c>
      <c r="U419" s="6">
        <f>[1]Emissions!T836</f>
        <v>10.804918710000001</v>
      </c>
      <c r="V419" s="6">
        <f>[1]Emissions!U836</f>
        <v>10.82429698</v>
      </c>
      <c r="W419" s="6">
        <f>[1]Emissions!V836</f>
        <v>10.83609993</v>
      </c>
      <c r="X419" s="6">
        <f>[1]Emissions!W836</f>
        <v>10.849951969999999</v>
      </c>
      <c r="Y419" s="6">
        <f>[1]Emissions!X836</f>
        <v>10.866139370000001</v>
      </c>
      <c r="Z419" s="6">
        <f>[1]Emissions!Y836</f>
        <v>10.885742369999999</v>
      </c>
      <c r="AA419" s="6">
        <f>[1]Emissions!Z836</f>
        <v>10.909476400000001</v>
      </c>
      <c r="AB419" s="6">
        <f>[1]Emissions!AA836</f>
        <v>10.921029389999999</v>
      </c>
      <c r="AC419" s="6">
        <f>[1]Emissions!AB836</f>
        <v>10.935257959999999</v>
      </c>
      <c r="AD419" s="6">
        <f>[1]Emissions!AC836</f>
        <v>10.950037849999999</v>
      </c>
      <c r="AE419" s="6">
        <f>[1]Emissions!AD836</f>
        <v>10.965091060000001</v>
      </c>
      <c r="AF419" s="6">
        <f>[1]Emissions!AE836</f>
        <v>10.980976330000001</v>
      </c>
      <c r="AG419" s="6">
        <f>[1]Emissions!AF836</f>
        <v>10.998527899999999</v>
      </c>
      <c r="AH419" s="6">
        <f>[1]Emissions!AG836</f>
        <v>11.018339190000001</v>
      </c>
      <c r="AI419" s="6">
        <f>[1]Emissions!AH836</f>
        <v>11.04047815</v>
      </c>
      <c r="AJ419" s="6">
        <f>[1]Emissions!AI836</f>
        <v>11.06449963</v>
      </c>
      <c r="AK419" s="6">
        <f>[1]Emissions!AJ836</f>
        <v>11.089662300000001</v>
      </c>
      <c r="AL419" s="6">
        <f>[1]Emissions!AK836</f>
        <v>11.115217169999999</v>
      </c>
    </row>
    <row r="420" spans="2:3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</row>
    <row r="421" spans="2:3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</row>
    <row r="422" spans="2:38" x14ac:dyDescent="0.3">
      <c r="B422" s="6" t="str">
        <f>[1]Emissions!A839</f>
        <v>ems_ci_co2_sveh_2</v>
      </c>
      <c r="C422" s="6">
        <f>[1]Emissions!B839</f>
        <v>1.2309463060000001</v>
      </c>
      <c r="D422" s="6">
        <f>[1]Emissions!C839</f>
        <v>1.226731378</v>
      </c>
      <c r="E422" s="6">
        <f>[1]Emissions!D839</f>
        <v>1.227561793</v>
      </c>
      <c r="F422" s="6">
        <f>[1]Emissions!E839</f>
        <v>1.236298632</v>
      </c>
      <c r="G422" s="6">
        <f>[1]Emissions!F839</f>
        <v>1.2542837520000001</v>
      </c>
      <c r="H422" s="6">
        <f>[1]Emissions!G839</f>
        <v>1.281640723</v>
      </c>
      <c r="I422" s="6">
        <f>[1]Emissions!H839</f>
        <v>1.316695296</v>
      </c>
      <c r="J422" s="6">
        <f>[1]Emissions!I839</f>
        <v>1.3526316</v>
      </c>
      <c r="K422" s="6">
        <f>[1]Emissions!J839</f>
        <v>1.3845393560000001</v>
      </c>
      <c r="L422" s="6">
        <f>[1]Emissions!K839</f>
        <v>1.4091636460000001</v>
      </c>
      <c r="M422" s="6">
        <f>[1]Emissions!L839</f>
        <v>1.4265422270000001</v>
      </c>
      <c r="N422" s="6">
        <f>[1]Emissions!M839</f>
        <v>1.436209565</v>
      </c>
      <c r="O422" s="6">
        <f>[1]Emissions!N839</f>
        <v>1.4432005809999999</v>
      </c>
      <c r="P422" s="6">
        <f>[1]Emissions!O839</f>
        <v>1.4514231129999999</v>
      </c>
      <c r="Q422" s="6">
        <f>[1]Emissions!P839</f>
        <v>1.4635239250000001</v>
      </c>
      <c r="R422" s="6">
        <f>[1]Emissions!Q839</f>
        <v>1.4807418670000001</v>
      </c>
      <c r="S422" s="6">
        <f>[1]Emissions!R839</f>
        <v>1.503174792</v>
      </c>
      <c r="T422" s="6">
        <f>[1]Emissions!S839</f>
        <v>1.5302322100000001</v>
      </c>
      <c r="U422" s="6">
        <f>[1]Emissions!T839</f>
        <v>1.561073537</v>
      </c>
      <c r="V422" s="6">
        <f>[1]Emissions!U839</f>
        <v>1.5949083559999999</v>
      </c>
      <c r="W422" s="6">
        <f>[1]Emissions!V839</f>
        <v>1.630111477</v>
      </c>
      <c r="X422" s="6">
        <f>[1]Emissions!W839</f>
        <v>1.667996832</v>
      </c>
      <c r="Y422" s="6">
        <f>[1]Emissions!X839</f>
        <v>1.707082854</v>
      </c>
      <c r="Z422" s="6">
        <f>[1]Emissions!Y839</f>
        <v>1.746886427</v>
      </c>
      <c r="AA422" s="6">
        <f>[1]Emissions!Z839</f>
        <v>1.787123968</v>
      </c>
      <c r="AB422" s="6">
        <f>[1]Emissions!AA839</f>
        <v>1.8241649529999999</v>
      </c>
      <c r="AC422" s="6">
        <f>[1]Emissions!AB839</f>
        <v>1.8618967280000001</v>
      </c>
      <c r="AD422" s="6">
        <f>[1]Emissions!AC839</f>
        <v>1.8977299910000001</v>
      </c>
      <c r="AE422" s="6">
        <f>[1]Emissions!AD839</f>
        <v>1.930856082</v>
      </c>
      <c r="AF422" s="6">
        <f>[1]Emissions!AE839</f>
        <v>1.9615282700000001</v>
      </c>
      <c r="AG422" s="6">
        <f>[1]Emissions!AF839</f>
        <v>1.9906109590000001</v>
      </c>
      <c r="AH422" s="6">
        <f>[1]Emissions!AG839</f>
        <v>2.019102841</v>
      </c>
      <c r="AI422" s="6">
        <f>[1]Emissions!AH839</f>
        <v>2.0477804100000001</v>
      </c>
      <c r="AJ422" s="6">
        <f>[1]Emissions!AI839</f>
        <v>2.0770504860000001</v>
      </c>
      <c r="AK422" s="6">
        <f>[1]Emissions!AJ839</f>
        <v>2.1069956219999999</v>
      </c>
      <c r="AL422" s="6">
        <f>[1]Emissions!AK839</f>
        <v>2.1375269349999999</v>
      </c>
    </row>
    <row r="423" spans="2:3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</row>
    <row r="424" spans="2:3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</row>
    <row r="425" spans="2:38" x14ac:dyDescent="0.3">
      <c r="B425" s="6" t="str">
        <f>[1]Emissions!A842</f>
        <v>ems_ci_co2_sgla_2</v>
      </c>
      <c r="C425" s="6">
        <f>[1]Emissions!B842</f>
        <v>5.7377314860000004</v>
      </c>
      <c r="D425" s="6">
        <f>[1]Emissions!C842</f>
        <v>5.9219348500000004</v>
      </c>
      <c r="E425" s="6">
        <f>[1]Emissions!D842</f>
        <v>6.1411626259999998</v>
      </c>
      <c r="F425" s="6">
        <f>[1]Emissions!E842</f>
        <v>6.3111128829999998</v>
      </c>
      <c r="G425" s="6">
        <f>[1]Emissions!F842</f>
        <v>6.432599057</v>
      </c>
      <c r="H425" s="6">
        <f>[1]Emissions!G842</f>
        <v>6.5293570970000001</v>
      </c>
      <c r="I425" s="6">
        <f>[1]Emissions!H842</f>
        <v>6.5763799130000002</v>
      </c>
      <c r="J425" s="6">
        <f>[1]Emissions!I842</f>
        <v>6.6436999610000003</v>
      </c>
      <c r="K425" s="6">
        <f>[1]Emissions!J842</f>
        <v>6.7294493920000003</v>
      </c>
      <c r="L425" s="6">
        <f>[1]Emissions!K842</f>
        <v>6.8259213550000002</v>
      </c>
      <c r="M425" s="6">
        <f>[1]Emissions!L842</f>
        <v>7.0013134389999996</v>
      </c>
      <c r="N425" s="6">
        <f>[1]Emissions!M842</f>
        <v>7.0885525549999997</v>
      </c>
      <c r="O425" s="6">
        <f>[1]Emissions!N842</f>
        <v>7.1812649459999998</v>
      </c>
      <c r="P425" s="6">
        <f>[1]Emissions!O842</f>
        <v>7.2895932529999996</v>
      </c>
      <c r="Q425" s="6">
        <f>[1]Emissions!P842</f>
        <v>7.4064059909999997</v>
      </c>
      <c r="R425" s="6">
        <f>[1]Emissions!Q842</f>
        <v>7.5259029589999997</v>
      </c>
      <c r="S425" s="6">
        <f>[1]Emissions!R842</f>
        <v>7.645262464</v>
      </c>
      <c r="T425" s="6">
        <f>[1]Emissions!S842</f>
        <v>7.7637795450000002</v>
      </c>
      <c r="U425" s="6">
        <f>[1]Emissions!T842</f>
        <v>7.8819332749999997</v>
      </c>
      <c r="V425" s="6">
        <f>[1]Emissions!U842</f>
        <v>8.0006634689999991</v>
      </c>
      <c r="W425" s="6">
        <f>[1]Emissions!V842</f>
        <v>8.0690528570000009</v>
      </c>
      <c r="X425" s="6">
        <f>[1]Emissions!W842</f>
        <v>8.2057039940000003</v>
      </c>
      <c r="Y425" s="6">
        <f>[1]Emissions!X842</f>
        <v>8.3475397170000001</v>
      </c>
      <c r="Z425" s="6">
        <f>[1]Emissions!Y842</f>
        <v>8.4840765200000003</v>
      </c>
      <c r="AA425" s="6">
        <f>[1]Emissions!Z842</f>
        <v>8.6180576240000004</v>
      </c>
      <c r="AB425" s="6">
        <f>[1]Emissions!AA842</f>
        <v>8.6000231110000005</v>
      </c>
      <c r="AC425" s="6">
        <f>[1]Emissions!AB842</f>
        <v>8.7165731399999995</v>
      </c>
      <c r="AD425" s="6">
        <f>[1]Emissions!AC842</f>
        <v>8.8588439240000003</v>
      </c>
      <c r="AE425" s="6">
        <f>[1]Emissions!AD842</f>
        <v>9.0000391739999994</v>
      </c>
      <c r="AF425" s="6">
        <f>[1]Emissions!AE842</f>
        <v>9.1390562180000003</v>
      </c>
      <c r="AG425" s="6">
        <f>[1]Emissions!AF842</f>
        <v>9.2780133940000002</v>
      </c>
      <c r="AH425" s="6">
        <f>[1]Emissions!AG842</f>
        <v>9.4181394219999994</v>
      </c>
      <c r="AI425" s="6">
        <f>[1]Emissions!AH842</f>
        <v>9.5597620499999998</v>
      </c>
      <c r="AJ425" s="6">
        <f>[1]Emissions!AI842</f>
        <v>9.7028287070000001</v>
      </c>
      <c r="AK425" s="6">
        <f>[1]Emissions!AJ842</f>
        <v>9.8472720210000002</v>
      </c>
      <c r="AL425" s="6">
        <f>[1]Emissions!AK842</f>
        <v>9.9931518490000002</v>
      </c>
    </row>
    <row r="426" spans="2:3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</row>
    <row r="427" spans="2:38" x14ac:dyDescent="0.3">
      <c r="B427" s="6" t="str">
        <f>[1]Emissions!A844</f>
        <v>ems_mat_co2_sgla_2</v>
      </c>
      <c r="C427" s="6">
        <f>[1]Emissions!B844</f>
        <v>13.811546010000001</v>
      </c>
      <c r="D427" s="6">
        <f>[1]Emissions!C844</f>
        <v>14.289599900000001</v>
      </c>
      <c r="E427" s="6">
        <f>[1]Emissions!D844</f>
        <v>14.860618499999999</v>
      </c>
      <c r="F427" s="6">
        <f>[1]Emissions!E844</f>
        <v>15.313864909999999</v>
      </c>
      <c r="G427" s="6">
        <f>[1]Emissions!F844</f>
        <v>15.64597382</v>
      </c>
      <c r="H427" s="6">
        <f>[1]Emissions!G844</f>
        <v>15.91219708</v>
      </c>
      <c r="I427" s="6">
        <f>[1]Emissions!H844</f>
        <v>16.050874570000001</v>
      </c>
      <c r="J427" s="6">
        <f>[1]Emissions!I844</f>
        <v>16.205288660000001</v>
      </c>
      <c r="K427" s="6">
        <f>[1]Emissions!J844</f>
        <v>16.38290336</v>
      </c>
      <c r="L427" s="6">
        <f>[1]Emissions!K844</f>
        <v>16.577024290000001</v>
      </c>
      <c r="M427" s="6">
        <f>[1]Emissions!L844</f>
        <v>16.96294455</v>
      </c>
      <c r="N427" s="6">
        <f>[1]Emissions!M844</f>
        <v>17.139045769999999</v>
      </c>
      <c r="O427" s="6">
        <f>[1]Emissions!N844</f>
        <v>17.333328720000001</v>
      </c>
      <c r="P427" s="6">
        <f>[1]Emissions!O844</f>
        <v>17.570234169999999</v>
      </c>
      <c r="Q427" s="6">
        <f>[1]Emissions!P844</f>
        <v>17.832814509999999</v>
      </c>
      <c r="R427" s="6">
        <f>[1]Emissions!Q844</f>
        <v>18.10791283</v>
      </c>
      <c r="S427" s="6">
        <f>[1]Emissions!R844</f>
        <v>18.389818739999999</v>
      </c>
      <c r="T427" s="6">
        <f>[1]Emissions!S844</f>
        <v>18.67761587</v>
      </c>
      <c r="U427" s="6">
        <f>[1]Emissions!T844</f>
        <v>18.97246552</v>
      </c>
      <c r="V427" s="6">
        <f>[1]Emissions!U844</f>
        <v>19.275693520000001</v>
      </c>
      <c r="W427" s="6">
        <f>[1]Emissions!V844</f>
        <v>19.462220380000002</v>
      </c>
      <c r="X427" s="6">
        <f>[1]Emissions!W844</f>
        <v>19.81657852</v>
      </c>
      <c r="Y427" s="6">
        <f>[1]Emissions!X844</f>
        <v>20.185192820000001</v>
      </c>
      <c r="Z427" s="6">
        <f>[1]Emissions!Y844</f>
        <v>20.54070724</v>
      </c>
      <c r="AA427" s="6">
        <f>[1]Emissions!Z844</f>
        <v>20.887903959999999</v>
      </c>
      <c r="AB427" s="6">
        <f>[1]Emissions!AA844</f>
        <v>20.86173642</v>
      </c>
      <c r="AC427" s="6">
        <f>[1]Emissions!AB844</f>
        <v>21.157850660000001</v>
      </c>
      <c r="AD427" s="6">
        <f>[1]Emissions!AC844</f>
        <v>21.514276989999999</v>
      </c>
      <c r="AE427" s="6">
        <f>[1]Emissions!AD844</f>
        <v>21.866895150000001</v>
      </c>
      <c r="AF427" s="6">
        <f>[1]Emissions!AE844</f>
        <v>22.21300828</v>
      </c>
      <c r="AG427" s="6">
        <f>[1]Emissions!AF844</f>
        <v>22.557282010000002</v>
      </c>
      <c r="AH427" s="6">
        <f>[1]Emissions!AG844</f>
        <v>22.902289669999998</v>
      </c>
      <c r="AI427" s="6">
        <f>[1]Emissions!AH844</f>
        <v>23.248837040000002</v>
      </c>
      <c r="AJ427" s="6">
        <f>[1]Emissions!AI844</f>
        <v>23.59729437</v>
      </c>
      <c r="AK427" s="6">
        <f>[1]Emissions!AJ844</f>
        <v>23.948319730000001</v>
      </c>
      <c r="AL427" s="6">
        <f>[1]Emissions!AK844</f>
        <v>24.302917969999999</v>
      </c>
    </row>
    <row r="428" spans="2:38" x14ac:dyDescent="0.3">
      <c r="B428" s="6" t="str">
        <f>[1]Emissions!A845</f>
        <v>ems_ci_co2_spap_2</v>
      </c>
      <c r="C428" s="6">
        <f>[1]Emissions!B845</f>
        <v>3.0209650180000001</v>
      </c>
      <c r="D428" s="6">
        <f>[1]Emissions!C845</f>
        <v>3.0428973479999999</v>
      </c>
      <c r="E428" s="6">
        <f>[1]Emissions!D845</f>
        <v>3.073239633</v>
      </c>
      <c r="F428" s="6">
        <f>[1]Emissions!E845</f>
        <v>3.115107799</v>
      </c>
      <c r="G428" s="6">
        <f>[1]Emissions!F845</f>
        <v>3.1627616920000001</v>
      </c>
      <c r="H428" s="6">
        <f>[1]Emissions!G845</f>
        <v>3.2123495499999999</v>
      </c>
      <c r="I428" s="6">
        <f>[1]Emissions!H845</f>
        <v>3.2661850710000002</v>
      </c>
      <c r="J428" s="6">
        <f>[1]Emissions!I845</f>
        <v>3.320819658</v>
      </c>
      <c r="K428" s="6">
        <f>[1]Emissions!J845</f>
        <v>3.3753931279999998</v>
      </c>
      <c r="L428" s="6">
        <f>[1]Emissions!K845</f>
        <v>3.4313076539999998</v>
      </c>
      <c r="M428" s="6">
        <f>[1]Emissions!L845</f>
        <v>3.487297082</v>
      </c>
      <c r="N428" s="6">
        <f>[1]Emissions!M845</f>
        <v>3.5530662770000001</v>
      </c>
      <c r="O428" s="6">
        <f>[1]Emissions!N845</f>
        <v>3.6204109070000001</v>
      </c>
      <c r="P428" s="6">
        <f>[1]Emissions!O845</f>
        <v>3.6876164220000001</v>
      </c>
      <c r="Q428" s="6">
        <f>[1]Emissions!P845</f>
        <v>3.753789566</v>
      </c>
      <c r="R428" s="6">
        <f>[1]Emissions!Q845</f>
        <v>3.8183285420000002</v>
      </c>
      <c r="S428" s="6">
        <f>[1]Emissions!R845</f>
        <v>3.8810490030000002</v>
      </c>
      <c r="T428" s="6">
        <f>[1]Emissions!S845</f>
        <v>3.9422013690000002</v>
      </c>
      <c r="U428" s="6">
        <f>[1]Emissions!T845</f>
        <v>4.0023262089999996</v>
      </c>
      <c r="V428" s="6">
        <f>[1]Emissions!U845</f>
        <v>4.062056825</v>
      </c>
      <c r="W428" s="6">
        <f>[1]Emissions!V845</f>
        <v>4.1232277320000001</v>
      </c>
      <c r="X428" s="6">
        <f>[1]Emissions!W845</f>
        <v>4.180900276</v>
      </c>
      <c r="Y428" s="6">
        <f>[1]Emissions!X845</f>
        <v>4.2404748459999997</v>
      </c>
      <c r="Z428" s="6">
        <f>[1]Emissions!Y845</f>
        <v>4.3022944719999998</v>
      </c>
      <c r="AA428" s="6">
        <f>[1]Emissions!Z845</f>
        <v>4.3660558580000002</v>
      </c>
      <c r="AB428" s="6">
        <f>[1]Emissions!AA845</f>
        <v>4.4339741200000002</v>
      </c>
      <c r="AC428" s="6">
        <f>[1]Emissions!AB845</f>
        <v>4.494848095</v>
      </c>
      <c r="AD428" s="6">
        <f>[1]Emissions!AC845</f>
        <v>4.556514452</v>
      </c>
      <c r="AE428" s="6">
        <f>[1]Emissions!AD845</f>
        <v>4.6204071029999998</v>
      </c>
      <c r="AF428" s="6">
        <f>[1]Emissions!AE845</f>
        <v>4.6866774500000004</v>
      </c>
      <c r="AG428" s="6">
        <f>[1]Emissions!AF845</f>
        <v>4.7550910340000003</v>
      </c>
      <c r="AH428" s="6">
        <f>[1]Emissions!AG845</f>
        <v>4.825244262</v>
      </c>
      <c r="AI428" s="6">
        <f>[1]Emissions!AH845</f>
        <v>4.8967229989999996</v>
      </c>
      <c r="AJ428" s="6">
        <f>[1]Emissions!AI845</f>
        <v>4.9692236699999999</v>
      </c>
      <c r="AK428" s="6">
        <f>[1]Emissions!AJ845</f>
        <v>5.0426003440000002</v>
      </c>
      <c r="AL428" s="6">
        <f>[1]Emissions!AK845</f>
        <v>5.116842804</v>
      </c>
    </row>
    <row r="429" spans="2:3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</row>
    <row r="430" spans="2:3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</row>
    <row r="431" spans="2:38" x14ac:dyDescent="0.3">
      <c r="B431" s="6" t="str">
        <f>[1]Emissions!A848</f>
        <v>ems_ci_co2_sche_2</v>
      </c>
      <c r="C431" s="6">
        <f>[1]Emissions!B848</f>
        <v>3.8355450150000001</v>
      </c>
      <c r="D431" s="6">
        <f>[1]Emissions!C848</f>
        <v>3.8363217629999999</v>
      </c>
      <c r="E431" s="6">
        <f>[1]Emissions!D848</f>
        <v>3.8515053159999999</v>
      </c>
      <c r="F431" s="6">
        <f>[1]Emissions!E848</f>
        <v>3.8798679429999998</v>
      </c>
      <c r="G431" s="6">
        <f>[1]Emissions!F848</f>
        <v>3.9169910109999999</v>
      </c>
      <c r="H431" s="6">
        <f>[1]Emissions!G848</f>
        <v>3.96036988</v>
      </c>
      <c r="I431" s="6">
        <f>[1]Emissions!H848</f>
        <v>4.0055161359999998</v>
      </c>
      <c r="J431" s="6">
        <f>[1]Emissions!I848</f>
        <v>4.0570072530000001</v>
      </c>
      <c r="K431" s="6">
        <f>[1]Emissions!J848</f>
        <v>4.1123312490000004</v>
      </c>
      <c r="L431" s="6">
        <f>[1]Emissions!K848</f>
        <v>4.1701807669999997</v>
      </c>
      <c r="M431" s="6">
        <f>[1]Emissions!L848</f>
        <v>4.2369172539999997</v>
      </c>
      <c r="N431" s="6">
        <f>[1]Emissions!M848</f>
        <v>4.3001965279999999</v>
      </c>
      <c r="O431" s="6">
        <f>[1]Emissions!N848</f>
        <v>4.3646903689999998</v>
      </c>
      <c r="P431" s="6">
        <f>[1]Emissions!O848</f>
        <v>4.4307348830000004</v>
      </c>
      <c r="Q431" s="6">
        <f>[1]Emissions!P848</f>
        <v>4.4973687150000003</v>
      </c>
      <c r="R431" s="6">
        <f>[1]Emissions!Q848</f>
        <v>4.5637310590000002</v>
      </c>
      <c r="S431" s="6">
        <f>[1]Emissions!R848</f>
        <v>4.6293986680000003</v>
      </c>
      <c r="T431" s="6">
        <f>[1]Emissions!S848</f>
        <v>4.6944111829999997</v>
      </c>
      <c r="U431" s="6">
        <f>[1]Emissions!T848</f>
        <v>4.7591518859999997</v>
      </c>
      <c r="V431" s="6">
        <f>[1]Emissions!U848</f>
        <v>4.8241704580000002</v>
      </c>
      <c r="W431" s="6">
        <f>[1]Emissions!V848</f>
        <v>4.8849459279999996</v>
      </c>
      <c r="X431" s="6">
        <f>[1]Emissions!W848</f>
        <v>4.9513718579999999</v>
      </c>
      <c r="Y431" s="6">
        <f>[1]Emissions!X848</f>
        <v>5.0202925470000004</v>
      </c>
      <c r="Z431" s="6">
        <f>[1]Emissions!Y848</f>
        <v>5.0909807520000001</v>
      </c>
      <c r="AA431" s="6">
        <f>[1]Emissions!Z848</f>
        <v>5.1634842729999999</v>
      </c>
      <c r="AB431" s="6">
        <f>[1]Emissions!AA848</f>
        <v>5.2226521210000003</v>
      </c>
      <c r="AC431" s="6">
        <f>[1]Emissions!AB848</f>
        <v>5.2906854460000003</v>
      </c>
      <c r="AD431" s="6">
        <f>[1]Emissions!AC848</f>
        <v>5.3620493700000003</v>
      </c>
      <c r="AE431" s="6">
        <f>[1]Emissions!AD848</f>
        <v>5.4352224920000003</v>
      </c>
      <c r="AF431" s="6">
        <f>[1]Emissions!AE848</f>
        <v>5.5101926240000001</v>
      </c>
      <c r="AG431" s="6">
        <f>[1]Emissions!AF848</f>
        <v>5.5870404929999999</v>
      </c>
      <c r="AH431" s="6">
        <f>[1]Emissions!AG848</f>
        <v>5.6656615260000001</v>
      </c>
      <c r="AI431" s="6">
        <f>[1]Emissions!AH848</f>
        <v>5.7458208649999998</v>
      </c>
      <c r="AJ431" s="6">
        <f>[1]Emissions!AI848</f>
        <v>5.8272695939999997</v>
      </c>
      <c r="AK431" s="6">
        <f>[1]Emissions!AJ848</f>
        <v>5.9098312220000002</v>
      </c>
      <c r="AL431" s="6">
        <f>[1]Emissions!AK848</f>
        <v>5.9934332189999999</v>
      </c>
    </row>
    <row r="432" spans="2:3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</row>
    <row r="433" spans="2:38" x14ac:dyDescent="0.3">
      <c r="B433" s="6" t="str">
        <f>[1]Emissions!A850</f>
        <v>ems_mat_co2_sche_2</v>
      </c>
      <c r="C433" s="6">
        <f>[1]Emissions!B850</f>
        <v>2.5967530060000001</v>
      </c>
      <c r="D433" s="6">
        <f>[1]Emissions!C850</f>
        <v>2.6019680140000001</v>
      </c>
      <c r="E433" s="6">
        <f>[1]Emissions!D850</f>
        <v>2.6180672230000002</v>
      </c>
      <c r="F433" s="6">
        <f>[1]Emissions!E850</f>
        <v>2.6434660440000002</v>
      </c>
      <c r="G433" s="6">
        <f>[1]Emissions!F850</f>
        <v>2.6746902019999999</v>
      </c>
      <c r="H433" s="6">
        <f>[1]Emissions!G850</f>
        <v>2.709807042</v>
      </c>
      <c r="I433" s="6">
        <f>[1]Emissions!H850</f>
        <v>2.7456203750000001</v>
      </c>
      <c r="J433" s="6">
        <f>[1]Emissions!I850</f>
        <v>2.7810652870000001</v>
      </c>
      <c r="K433" s="6">
        <f>[1]Emissions!J850</f>
        <v>2.8158913550000002</v>
      </c>
      <c r="L433" s="6">
        <f>[1]Emissions!K850</f>
        <v>2.850710152</v>
      </c>
      <c r="M433" s="6">
        <f>[1]Emissions!L850</f>
        <v>2.8911899339999998</v>
      </c>
      <c r="N433" s="6">
        <f>[1]Emissions!M850</f>
        <v>2.9294749859999998</v>
      </c>
      <c r="O433" s="6">
        <f>[1]Emissions!N850</f>
        <v>2.9690191609999999</v>
      </c>
      <c r="P433" s="6">
        <f>[1]Emissions!O850</f>
        <v>3.0102313010000001</v>
      </c>
      <c r="Q433" s="6">
        <f>[1]Emissions!P850</f>
        <v>3.0526382949999999</v>
      </c>
      <c r="R433" s="6">
        <f>[1]Emissions!Q850</f>
        <v>3.09584072</v>
      </c>
      <c r="S433" s="6">
        <f>[1]Emissions!R850</f>
        <v>3.139711519</v>
      </c>
      <c r="T433" s="6">
        <f>[1]Emissions!S850</f>
        <v>3.1843583550000001</v>
      </c>
      <c r="U433" s="6">
        <f>[1]Emissions!T850</f>
        <v>3.2300024440000001</v>
      </c>
      <c r="V433" s="6">
        <f>[1]Emissions!U850</f>
        <v>3.2768517309999998</v>
      </c>
      <c r="W433" s="6">
        <f>[1]Emissions!V850</f>
        <v>3.3214968279999999</v>
      </c>
      <c r="X433" s="6">
        <f>[1]Emissions!W850</f>
        <v>3.3704320000000001</v>
      </c>
      <c r="Y433" s="6">
        <f>[1]Emissions!X850</f>
        <v>3.4212764</v>
      </c>
      <c r="Z433" s="6">
        <f>[1]Emissions!Y850</f>
        <v>3.4732589059999999</v>
      </c>
      <c r="AA433" s="6">
        <f>[1]Emissions!Z850</f>
        <v>3.5261658480000002</v>
      </c>
      <c r="AB433" s="6">
        <f>[1]Emissions!AA850</f>
        <v>3.569300948</v>
      </c>
      <c r="AC433" s="6">
        <f>[1]Emissions!AB850</f>
        <v>3.6178728929999999</v>
      </c>
      <c r="AD433" s="6">
        <f>[1]Emissions!AC850</f>
        <v>3.6683100240000002</v>
      </c>
      <c r="AE433" s="6">
        <f>[1]Emissions!AD850</f>
        <v>3.7196904160000002</v>
      </c>
      <c r="AF433" s="6">
        <f>[1]Emissions!AE850</f>
        <v>3.7720297020000002</v>
      </c>
      <c r="AG433" s="6">
        <f>[1]Emissions!AF850</f>
        <v>3.825360179</v>
      </c>
      <c r="AH433" s="6">
        <f>[1]Emissions!AG850</f>
        <v>3.879596319</v>
      </c>
      <c r="AI433" s="6">
        <f>[1]Emissions!AH850</f>
        <v>3.9346085780000002</v>
      </c>
      <c r="AJ433" s="6">
        <f>[1]Emissions!AI850</f>
        <v>3.9903076749999999</v>
      </c>
      <c r="AK433" s="6">
        <f>[1]Emissions!AJ850</f>
        <v>4.046684269</v>
      </c>
      <c r="AL433" s="6">
        <f>[1]Emissions!AK850</f>
        <v>4.1037986169999998</v>
      </c>
    </row>
    <row r="434" spans="2:38" x14ac:dyDescent="0.3">
      <c r="B434" s="6" t="str">
        <f>[1]Emissions!A851</f>
        <v>ems_ci_co2_spla_2</v>
      </c>
      <c r="C434" s="6">
        <f>[1]Emissions!B851</f>
        <v>1.295658891</v>
      </c>
      <c r="D434" s="6">
        <f>[1]Emissions!C851</f>
        <v>1.2966217440000001</v>
      </c>
      <c r="E434" s="6">
        <f>[1]Emissions!D851</f>
        <v>1.3027146510000001</v>
      </c>
      <c r="F434" s="6">
        <f>[1]Emissions!E851</f>
        <v>1.313259913</v>
      </c>
      <c r="G434" s="6">
        <f>[1]Emissions!F851</f>
        <v>1.3277831710000001</v>
      </c>
      <c r="H434" s="6">
        <f>[1]Emissions!G851</f>
        <v>1.3462648500000001</v>
      </c>
      <c r="I434" s="6">
        <f>[1]Emissions!H851</f>
        <v>1.3668326369999999</v>
      </c>
      <c r="J434" s="6">
        <f>[1]Emissions!I851</f>
        <v>1.3901553680000001</v>
      </c>
      <c r="K434" s="6">
        <f>[1]Emissions!J851</f>
        <v>1.414541665</v>
      </c>
      <c r="L434" s="6">
        <f>[1]Emissions!K851</f>
        <v>1.438265669</v>
      </c>
      <c r="M434" s="6">
        <f>[1]Emissions!L851</f>
        <v>1.4640836850000001</v>
      </c>
      <c r="N434" s="6">
        <f>[1]Emissions!M851</f>
        <v>1.48464321</v>
      </c>
      <c r="O434" s="6">
        <f>[1]Emissions!N851</f>
        <v>1.5047055819999999</v>
      </c>
      <c r="P434" s="6">
        <f>[1]Emissions!O851</f>
        <v>1.525667737</v>
      </c>
      <c r="Q434" s="6">
        <f>[1]Emissions!P851</f>
        <v>1.547842881</v>
      </c>
      <c r="R434" s="6">
        <f>[1]Emissions!Q851</f>
        <v>1.571204936</v>
      </c>
      <c r="S434" s="6">
        <f>[1]Emissions!R851</f>
        <v>1.5955684670000001</v>
      </c>
      <c r="T434" s="6">
        <f>[1]Emissions!S851</f>
        <v>1.6207103759999999</v>
      </c>
      <c r="U434" s="6">
        <f>[1]Emissions!T851</f>
        <v>1.646466151</v>
      </c>
      <c r="V434" s="6">
        <f>[1]Emissions!U851</f>
        <v>1.6727727240000001</v>
      </c>
      <c r="W434" s="6">
        <f>[1]Emissions!V851</f>
        <v>1.6969290349999999</v>
      </c>
      <c r="X434" s="6">
        <f>[1]Emissions!W851</f>
        <v>1.7246039660000001</v>
      </c>
      <c r="Y434" s="6">
        <f>[1]Emissions!X851</f>
        <v>1.753151734</v>
      </c>
      <c r="Z434" s="6">
        <f>[1]Emissions!Y851</f>
        <v>1.7820701590000001</v>
      </c>
      <c r="AA434" s="6">
        <f>[1]Emissions!Z851</f>
        <v>1.8114541770000001</v>
      </c>
      <c r="AB434" s="6">
        <f>[1]Emissions!AA851</f>
        <v>1.8330846810000001</v>
      </c>
      <c r="AC434" s="6">
        <f>[1]Emissions!AB851</f>
        <v>1.8606367150000001</v>
      </c>
      <c r="AD434" s="6">
        <f>[1]Emissions!AC851</f>
        <v>1.8892050730000001</v>
      </c>
      <c r="AE434" s="6">
        <f>[1]Emissions!AD851</f>
        <v>1.9174455859999999</v>
      </c>
      <c r="AF434" s="6">
        <f>[1]Emissions!AE851</f>
        <v>1.945413268</v>
      </c>
      <c r="AG434" s="6">
        <f>[1]Emissions!AF851</f>
        <v>1.973448869</v>
      </c>
      <c r="AH434" s="6">
        <f>[1]Emissions!AG851</f>
        <v>2.0018490440000001</v>
      </c>
      <c r="AI434" s="6">
        <f>[1]Emissions!AH851</f>
        <v>2.0307745509999999</v>
      </c>
      <c r="AJ434" s="6">
        <f>[1]Emissions!AI851</f>
        <v>2.0602528900000001</v>
      </c>
      <c r="AK434" s="6">
        <f>[1]Emissions!AJ851</f>
        <v>2.0902279469999998</v>
      </c>
      <c r="AL434" s="6">
        <f>[1]Emissions!AK851</f>
        <v>2.120622998</v>
      </c>
    </row>
    <row r="435" spans="2:3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</row>
    <row r="436" spans="2:3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</row>
    <row r="437" spans="2:38" x14ac:dyDescent="0.3">
      <c r="B437" s="6" t="str">
        <f>[1]Emissions!A854</f>
        <v>ems_ci_co2_smet_2</v>
      </c>
      <c r="C437" s="6">
        <f>[1]Emissions!B854</f>
        <v>7.5628993400000004</v>
      </c>
      <c r="D437" s="6">
        <f>[1]Emissions!C854</f>
        <v>7.6675106130000001</v>
      </c>
      <c r="E437" s="6">
        <f>[1]Emissions!D854</f>
        <v>7.7892053629999998</v>
      </c>
      <c r="F437" s="6">
        <f>[1]Emissions!E854</f>
        <v>7.9069616649999999</v>
      </c>
      <c r="G437" s="6">
        <f>[1]Emissions!F854</f>
        <v>8.0162116660000002</v>
      </c>
      <c r="H437" s="6">
        <f>[1]Emissions!G854</f>
        <v>8.1186298449999992</v>
      </c>
      <c r="I437" s="6">
        <f>[1]Emissions!H854</f>
        <v>8.2029584270000004</v>
      </c>
      <c r="J437" s="6">
        <f>[1]Emissions!I854</f>
        <v>8.3157293630000009</v>
      </c>
      <c r="K437" s="6">
        <f>[1]Emissions!J854</f>
        <v>8.4479676020000003</v>
      </c>
      <c r="L437" s="6">
        <f>[1]Emissions!K854</f>
        <v>8.5931023189999998</v>
      </c>
      <c r="M437" s="6">
        <f>[1]Emissions!L854</f>
        <v>8.7712425669999998</v>
      </c>
      <c r="N437" s="6">
        <f>[1]Emissions!M854</f>
        <v>8.9290738380000008</v>
      </c>
      <c r="O437" s="6">
        <f>[1]Emissions!N854</f>
        <v>9.0878318660000001</v>
      </c>
      <c r="P437" s="6">
        <f>[1]Emissions!O854</f>
        <v>9.2466969890000001</v>
      </c>
      <c r="Q437" s="6">
        <f>[1]Emissions!P854</f>
        <v>9.4008597090000006</v>
      </c>
      <c r="R437" s="6">
        <f>[1]Emissions!Q854</f>
        <v>9.5468192060000003</v>
      </c>
      <c r="S437" s="6">
        <f>[1]Emissions!R854</f>
        <v>9.6831973500000004</v>
      </c>
      <c r="T437" s="6">
        <f>[1]Emissions!S854</f>
        <v>9.8105298550000004</v>
      </c>
      <c r="U437" s="6">
        <f>[1]Emissions!T854</f>
        <v>9.9306970569999997</v>
      </c>
      <c r="V437" s="6">
        <f>[1]Emissions!U854</f>
        <v>10.04625976</v>
      </c>
      <c r="W437" s="6">
        <f>[1]Emissions!V854</f>
        <v>10.14240903</v>
      </c>
      <c r="X437" s="6">
        <f>[1]Emissions!W854</f>
        <v>10.25802367</v>
      </c>
      <c r="Y437" s="6">
        <f>[1]Emissions!X854</f>
        <v>10.37781927</v>
      </c>
      <c r="Z437" s="6">
        <f>[1]Emissions!Y854</f>
        <v>10.500367089999999</v>
      </c>
      <c r="AA437" s="6">
        <f>[1]Emissions!Z854</f>
        <v>10.62707998</v>
      </c>
      <c r="AB437" s="6">
        <f>[1]Emissions!AA854</f>
        <v>10.70878489</v>
      </c>
      <c r="AC437" s="6">
        <f>[1]Emissions!AB854</f>
        <v>10.82965907</v>
      </c>
      <c r="AD437" s="6">
        <f>[1]Emissions!AC854</f>
        <v>10.96308885</v>
      </c>
      <c r="AE437" s="6">
        <f>[1]Emissions!AD854</f>
        <v>11.10295099</v>
      </c>
      <c r="AF437" s="6">
        <f>[1]Emissions!AE854</f>
        <v>11.248699930000001</v>
      </c>
      <c r="AG437" s="6">
        <f>[1]Emissions!AF854</f>
        <v>11.4001415</v>
      </c>
      <c r="AH437" s="6">
        <f>[1]Emissions!AG854</f>
        <v>11.556552030000001</v>
      </c>
      <c r="AI437" s="6">
        <f>[1]Emissions!AH854</f>
        <v>11.7168834</v>
      </c>
      <c r="AJ437" s="6">
        <f>[1]Emissions!AI854</f>
        <v>11.8801203</v>
      </c>
      <c r="AK437" s="6">
        <f>[1]Emissions!AJ854</f>
        <v>12.045516599999999</v>
      </c>
      <c r="AL437" s="6">
        <f>[1]Emissions!AK854</f>
        <v>12.212670490000001</v>
      </c>
    </row>
    <row r="438" spans="2:3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</row>
    <row r="439" spans="2:38" x14ac:dyDescent="0.3">
      <c r="B439" s="6" t="str">
        <f>[1]Emissions!A856</f>
        <v>ems_mat_co2_smet_2</v>
      </c>
      <c r="C439" s="6">
        <f>[1]Emissions!B856</f>
        <v>12.83036916</v>
      </c>
      <c r="D439" s="6">
        <f>[1]Emissions!C856</f>
        <v>13.03812224</v>
      </c>
      <c r="E439" s="6">
        <f>[1]Emissions!D856</f>
        <v>13.290492349999999</v>
      </c>
      <c r="F439" s="6">
        <f>[1]Emissions!E856</f>
        <v>13.55251202</v>
      </c>
      <c r="G439" s="6">
        <f>[1]Emissions!F856</f>
        <v>13.815413339999999</v>
      </c>
      <c r="H439" s="6">
        <f>[1]Emissions!G856</f>
        <v>14.079563070000001</v>
      </c>
      <c r="I439" s="6">
        <f>[1]Emissions!H856</f>
        <v>14.321273980000001</v>
      </c>
      <c r="J439" s="6">
        <f>[1]Emissions!I856</f>
        <v>14.554174010000001</v>
      </c>
      <c r="K439" s="6">
        <f>[1]Emissions!J856</f>
        <v>14.77418235</v>
      </c>
      <c r="L439" s="6">
        <f>[1]Emissions!K856</f>
        <v>14.981729850000001</v>
      </c>
      <c r="M439" s="6">
        <f>[1]Emissions!L856</f>
        <v>15.224068219999999</v>
      </c>
      <c r="N439" s="6">
        <f>[1]Emissions!M856</f>
        <v>15.420055899999999</v>
      </c>
      <c r="O439" s="6">
        <f>[1]Emissions!N856</f>
        <v>15.617058289999999</v>
      </c>
      <c r="P439" s="6">
        <f>[1]Emissions!O856</f>
        <v>15.822976219999999</v>
      </c>
      <c r="Q439" s="6">
        <f>[1]Emissions!P856</f>
        <v>16.036946189999998</v>
      </c>
      <c r="R439" s="6">
        <f>[1]Emissions!Q856</f>
        <v>16.257798609999998</v>
      </c>
      <c r="S439" s="6">
        <f>[1]Emissions!R856</f>
        <v>16.48537894</v>
      </c>
      <c r="T439" s="6">
        <f>[1]Emissions!S856</f>
        <v>16.720357509999999</v>
      </c>
      <c r="U439" s="6">
        <f>[1]Emissions!T856</f>
        <v>16.963690249999999</v>
      </c>
      <c r="V439" s="6">
        <f>[1]Emissions!U856</f>
        <v>17.216072499999999</v>
      </c>
      <c r="W439" s="6">
        <f>[1]Emissions!V856</f>
        <v>17.44728851</v>
      </c>
      <c r="X439" s="6">
        <f>[1]Emissions!W856</f>
        <v>17.719288679999998</v>
      </c>
      <c r="Y439" s="6">
        <f>[1]Emissions!X856</f>
        <v>18.001802120000001</v>
      </c>
      <c r="Z439" s="6">
        <f>[1]Emissions!Y856</f>
        <v>18.28844475</v>
      </c>
      <c r="AA439" s="6">
        <f>[1]Emissions!Z856</f>
        <v>18.578330220000002</v>
      </c>
      <c r="AB439" s="6">
        <f>[1]Emissions!AA856</f>
        <v>18.782112569999999</v>
      </c>
      <c r="AC439" s="6">
        <f>[1]Emissions!AB856</f>
        <v>19.045005570000001</v>
      </c>
      <c r="AD439" s="6">
        <f>[1]Emissions!AC856</f>
        <v>19.320492420000001</v>
      </c>
      <c r="AE439" s="6">
        <f>[1]Emissions!AD856</f>
        <v>19.598223470000001</v>
      </c>
      <c r="AF439" s="6">
        <f>[1]Emissions!AE856</f>
        <v>19.878118440000001</v>
      </c>
      <c r="AG439" s="6">
        <f>[1]Emissions!AF856</f>
        <v>20.161143240000001</v>
      </c>
      <c r="AH439" s="6">
        <f>[1]Emissions!AG856</f>
        <v>20.447633159999999</v>
      </c>
      <c r="AI439" s="6">
        <f>[1]Emissions!AH856</f>
        <v>20.73748226</v>
      </c>
      <c r="AJ439" s="6">
        <f>[1]Emissions!AI856</f>
        <v>21.030579029999998</v>
      </c>
      <c r="AK439" s="6">
        <f>[1]Emissions!AJ856</f>
        <v>21.32707267</v>
      </c>
      <c r="AL439" s="6">
        <f>[1]Emissions!AK856</f>
        <v>21.62739491</v>
      </c>
    </row>
    <row r="440" spans="2:38" x14ac:dyDescent="0.3">
      <c r="B440" s="6" t="str">
        <f>[1]Emissions!A857</f>
        <v>ems_ci_co2_sigo_2</v>
      </c>
      <c r="C440" s="6">
        <f>[1]Emissions!B857</f>
        <v>3.0056231269999998</v>
      </c>
      <c r="D440" s="6">
        <f>[1]Emissions!C857</f>
        <v>3.0050600699999999</v>
      </c>
      <c r="E440" s="6">
        <f>[1]Emissions!D857</f>
        <v>3.0151146799999999</v>
      </c>
      <c r="F440" s="6">
        <f>[1]Emissions!E857</f>
        <v>3.035967694</v>
      </c>
      <c r="G440" s="6">
        <f>[1]Emissions!F857</f>
        <v>3.065763375</v>
      </c>
      <c r="H440" s="6">
        <f>[1]Emissions!G857</f>
        <v>3.103444187</v>
      </c>
      <c r="I440" s="6">
        <f>[1]Emissions!H857</f>
        <v>3.1455843720000001</v>
      </c>
      <c r="J440" s="6">
        <f>[1]Emissions!I857</f>
        <v>3.19561063</v>
      </c>
      <c r="K440" s="6">
        <f>[1]Emissions!J857</f>
        <v>3.2481009209999998</v>
      </c>
      <c r="L440" s="6">
        <f>[1]Emissions!K857</f>
        <v>3.2997509850000002</v>
      </c>
      <c r="M440" s="6">
        <f>[1]Emissions!L857</f>
        <v>3.3551788820000001</v>
      </c>
      <c r="N440" s="6">
        <f>[1]Emissions!M857</f>
        <v>3.4032253589999999</v>
      </c>
      <c r="O440" s="6">
        <f>[1]Emissions!N857</f>
        <v>3.4506726250000002</v>
      </c>
      <c r="P440" s="6">
        <f>[1]Emissions!O857</f>
        <v>3.4996188500000001</v>
      </c>
      <c r="Q440" s="6">
        <f>[1]Emissions!P857</f>
        <v>3.5503202410000001</v>
      </c>
      <c r="R440" s="6">
        <f>[1]Emissions!Q857</f>
        <v>3.602485776</v>
      </c>
      <c r="S440" s="6">
        <f>[1]Emissions!R857</f>
        <v>3.6556930940000001</v>
      </c>
      <c r="T440" s="6">
        <f>[1]Emissions!S857</f>
        <v>3.7096322229999998</v>
      </c>
      <c r="U440" s="6">
        <f>[1]Emissions!T857</f>
        <v>3.764229244</v>
      </c>
      <c r="V440" s="6">
        <f>[1]Emissions!U857</f>
        <v>3.819644512</v>
      </c>
      <c r="W440" s="6">
        <f>[1]Emissions!V857</f>
        <v>3.8716201479999999</v>
      </c>
      <c r="X440" s="6">
        <f>[1]Emissions!W857</f>
        <v>3.9293165870000002</v>
      </c>
      <c r="Y440" s="6">
        <f>[1]Emissions!X857</f>
        <v>3.9891716339999999</v>
      </c>
      <c r="Z440" s="6">
        <f>[1]Emissions!Y857</f>
        <v>4.0504105429999999</v>
      </c>
      <c r="AA440" s="6">
        <f>[1]Emissions!Z857</f>
        <v>4.1131412469999997</v>
      </c>
      <c r="AB440" s="6">
        <f>[1]Emissions!AA857</f>
        <v>4.1635153249999997</v>
      </c>
      <c r="AC440" s="6">
        <f>[1]Emissions!AB857</f>
        <v>4.2228738510000001</v>
      </c>
      <c r="AD440" s="6">
        <f>[1]Emissions!AC857</f>
        <v>4.2843944880000002</v>
      </c>
      <c r="AE440" s="6">
        <f>[1]Emissions!AD857</f>
        <v>4.3460300739999997</v>
      </c>
      <c r="AF440" s="6">
        <f>[1]Emissions!AE857</f>
        <v>4.4078738910000004</v>
      </c>
      <c r="AG440" s="6">
        <f>[1]Emissions!AF857</f>
        <v>4.470432647</v>
      </c>
      <c r="AH440" s="6">
        <f>[1]Emissions!AG857</f>
        <v>4.5340901789999997</v>
      </c>
      <c r="AI440" s="6">
        <f>[1]Emissions!AH857</f>
        <v>4.5989819699999996</v>
      </c>
      <c r="AJ440" s="6">
        <f>[1]Emissions!AI857</f>
        <v>4.6650363329999998</v>
      </c>
      <c r="AK440" s="6">
        <f>[1]Emissions!AJ857</f>
        <v>4.7320839489999997</v>
      </c>
      <c r="AL440" s="6">
        <f>[1]Emissions!AK857</f>
        <v>4.7999705739999996</v>
      </c>
    </row>
    <row r="441" spans="2:3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</row>
    <row r="442" spans="2:38" x14ac:dyDescent="0.3">
      <c r="B442" s="6" t="str">
        <f>[1]Emissions!A859</f>
        <v>ems_mat_co2_sigo_2</v>
      </c>
      <c r="C442" s="6">
        <f>[1]Emissions!B859</f>
        <v>0.4736282443</v>
      </c>
      <c r="D442" s="6">
        <f>[1]Emissions!C859</f>
        <v>0.47583760689999999</v>
      </c>
      <c r="E442" s="6">
        <f>[1]Emissions!D859</f>
        <v>0.47997158540000001</v>
      </c>
      <c r="F442" s="6">
        <f>[1]Emissions!E859</f>
        <v>0.48548058109999997</v>
      </c>
      <c r="G442" s="6">
        <f>[1]Emissions!F859</f>
        <v>0.49175620939999998</v>
      </c>
      <c r="H442" s="6">
        <f>[1]Emissions!G859</f>
        <v>0.49855205180000001</v>
      </c>
      <c r="I442" s="6">
        <f>[1]Emissions!H859</f>
        <v>0.50538820409999996</v>
      </c>
      <c r="J442" s="6">
        <f>[1]Emissions!I859</f>
        <v>0.51203559939999999</v>
      </c>
      <c r="K442" s="6">
        <f>[1]Emissions!J859</f>
        <v>0.51851753519999999</v>
      </c>
      <c r="L442" s="6">
        <f>[1]Emissions!K859</f>
        <v>0.52497504299999997</v>
      </c>
      <c r="M442" s="6">
        <f>[1]Emissions!L859</f>
        <v>0.53262635840000006</v>
      </c>
      <c r="N442" s="6">
        <f>[1]Emissions!M859</f>
        <v>0.5396519152</v>
      </c>
      <c r="O442" s="6">
        <f>[1]Emissions!N859</f>
        <v>0.54690591830000002</v>
      </c>
      <c r="P442" s="6">
        <f>[1]Emissions!O859</f>
        <v>0.55449212150000005</v>
      </c>
      <c r="Q442" s="6">
        <f>[1]Emissions!P859</f>
        <v>0.56230616909999998</v>
      </c>
      <c r="R442" s="6">
        <f>[1]Emissions!Q859</f>
        <v>0.57026255589999997</v>
      </c>
      <c r="S442" s="6">
        <f>[1]Emissions!R859</f>
        <v>0.57833555780000001</v>
      </c>
      <c r="T442" s="6">
        <f>[1]Emissions!S859</f>
        <v>0.58654791520000005</v>
      </c>
      <c r="U442" s="6">
        <f>[1]Emissions!T859</f>
        <v>0.5949443459</v>
      </c>
      <c r="V442" s="6">
        <f>[1]Emissions!U859</f>
        <v>0.60356574750000003</v>
      </c>
      <c r="W442" s="6">
        <f>[1]Emissions!V859</f>
        <v>0.61166859929999995</v>
      </c>
      <c r="X442" s="6">
        <f>[1]Emissions!W859</f>
        <v>0.62071351249999995</v>
      </c>
      <c r="Y442" s="6">
        <f>[1]Emissions!X859</f>
        <v>0.63012099470000005</v>
      </c>
      <c r="Z442" s="6">
        <f>[1]Emissions!Y859</f>
        <v>0.6397151485</v>
      </c>
      <c r="AA442" s="6">
        <f>[1]Emissions!Z859</f>
        <v>0.64946088079999997</v>
      </c>
      <c r="AB442" s="6">
        <f>[1]Emissions!AA859</f>
        <v>0.65704107389999999</v>
      </c>
      <c r="AC442" s="6">
        <f>[1]Emissions!AB859</f>
        <v>0.66594254190000002</v>
      </c>
      <c r="AD442" s="6">
        <f>[1]Emissions!AC859</f>
        <v>0.67525118350000002</v>
      </c>
      <c r="AE442" s="6">
        <f>[1]Emissions!AD859</f>
        <v>0.68471700830000004</v>
      </c>
      <c r="AF442" s="6">
        <f>[1]Emissions!AE859</f>
        <v>0.69433724809999997</v>
      </c>
      <c r="AG442" s="6">
        <f>[1]Emissions!AF859</f>
        <v>0.70412316959999999</v>
      </c>
      <c r="AH442" s="6">
        <f>[1]Emissions!AG859</f>
        <v>0.71406293499999995</v>
      </c>
      <c r="AI442" s="6">
        <f>[1]Emissions!AH859</f>
        <v>0.72413521510000001</v>
      </c>
      <c r="AJ442" s="6">
        <f>[1]Emissions!AI859</f>
        <v>0.73432582739999996</v>
      </c>
      <c r="AK442" s="6">
        <f>[1]Emissions!AJ859</f>
        <v>0.74463547600000002</v>
      </c>
      <c r="AL442" s="6">
        <f>[1]Emissions!AK859</f>
        <v>0.75507753919999998</v>
      </c>
    </row>
    <row r="443" spans="2:38" x14ac:dyDescent="0.3">
      <c r="B443" s="6" t="str">
        <f>[1]Emissions!A860</f>
        <v>ems_ci_co2_scgo_2</v>
      </c>
      <c r="C443" s="6">
        <f>[1]Emissions!B860</f>
        <v>0.69687883630000003</v>
      </c>
      <c r="D443" s="6">
        <f>[1]Emissions!C860</f>
        <v>0.68142975699999997</v>
      </c>
      <c r="E443" s="6">
        <f>[1]Emissions!D860</f>
        <v>0.66934173649999995</v>
      </c>
      <c r="F443" s="6">
        <f>[1]Emissions!E860</f>
        <v>0.66353298409999995</v>
      </c>
      <c r="G443" s="6">
        <f>[1]Emissions!F860</f>
        <v>0.66198464059999995</v>
      </c>
      <c r="H443" s="6">
        <f>[1]Emissions!G860</f>
        <v>0.66318699430000005</v>
      </c>
      <c r="I443" s="6">
        <f>[1]Emissions!H860</f>
        <v>0.66753745939999998</v>
      </c>
      <c r="J443" s="6">
        <f>[1]Emissions!I860</f>
        <v>0.67460737940000004</v>
      </c>
      <c r="K443" s="6">
        <f>[1]Emissions!J860</f>
        <v>0.68362058530000003</v>
      </c>
      <c r="L443" s="6">
        <f>[1]Emissions!K860</f>
        <v>0.69421428259999995</v>
      </c>
      <c r="M443" s="6">
        <f>[1]Emissions!L860</f>
        <v>0.70415415879999999</v>
      </c>
      <c r="N443" s="6">
        <f>[1]Emissions!M860</f>
        <v>0.71852169269999999</v>
      </c>
      <c r="O443" s="6">
        <f>[1]Emissions!N860</f>
        <v>0.73312327040000003</v>
      </c>
      <c r="P443" s="6">
        <f>[1]Emissions!O860</f>
        <v>0.74755518649999997</v>
      </c>
      <c r="Q443" s="6">
        <f>[1]Emissions!P860</f>
        <v>0.76166165210000003</v>
      </c>
      <c r="R443" s="6">
        <f>[1]Emissions!Q860</f>
        <v>0.77529253529999997</v>
      </c>
      <c r="S443" s="6">
        <f>[1]Emissions!R860</f>
        <v>0.78834772050000002</v>
      </c>
      <c r="T443" s="6">
        <f>[1]Emissions!S860</f>
        <v>0.80081627889999996</v>
      </c>
      <c r="U443" s="6">
        <f>[1]Emissions!T860</f>
        <v>0.81277651579999999</v>
      </c>
      <c r="V443" s="6">
        <f>[1]Emissions!U860</f>
        <v>0.82437101759999998</v>
      </c>
      <c r="W443" s="6">
        <f>[1]Emissions!V860</f>
        <v>0.83697705659999999</v>
      </c>
      <c r="X443" s="6">
        <f>[1]Emissions!W860</f>
        <v>0.84733907310000001</v>
      </c>
      <c r="Y443" s="6">
        <f>[1]Emissions!X860</f>
        <v>0.85820796440000002</v>
      </c>
      <c r="Z443" s="6">
        <f>[1]Emissions!Y860</f>
        <v>0.86971050029999997</v>
      </c>
      <c r="AA443" s="6">
        <f>[1]Emissions!Z860</f>
        <v>0.88179639229999995</v>
      </c>
      <c r="AB443" s="6">
        <f>[1]Emissions!AA860</f>
        <v>0.8974878503</v>
      </c>
      <c r="AC443" s="6">
        <f>[1]Emissions!AB860</f>
        <v>0.90939724779999997</v>
      </c>
      <c r="AD443" s="6">
        <f>[1]Emissions!AC860</f>
        <v>0.92155621830000001</v>
      </c>
      <c r="AE443" s="6">
        <f>[1]Emissions!AD860</f>
        <v>0.93435888229999997</v>
      </c>
      <c r="AF443" s="6">
        <f>[1]Emissions!AE860</f>
        <v>0.94779751459999995</v>
      </c>
      <c r="AG443" s="6">
        <f>[1]Emissions!AF860</f>
        <v>0.96180908249999997</v>
      </c>
      <c r="AH443" s="6">
        <f>[1]Emissions!AG860</f>
        <v>0.9763097865</v>
      </c>
      <c r="AI443" s="6">
        <f>[1]Emissions!AH860</f>
        <v>0.99120762480000002</v>
      </c>
      <c r="AJ443" s="6">
        <f>[1]Emissions!AI860</f>
        <v>1.0064178610000001</v>
      </c>
      <c r="AK443" s="6">
        <f>[1]Emissions!AJ860</f>
        <v>1.0218741060000001</v>
      </c>
      <c r="AL443" s="6">
        <f>[1]Emissions!AK860</f>
        <v>1.0375335489999999</v>
      </c>
    </row>
    <row r="444" spans="2:3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</row>
    <row r="445" spans="2:3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</row>
    <row r="446" spans="2:38" x14ac:dyDescent="0.3">
      <c r="B446" s="6" t="str">
        <f>[1]Emissions!A863</f>
        <v>ems_ci_co2_scon_2</v>
      </c>
      <c r="C446" s="6">
        <f>[1]Emissions!B863</f>
        <v>7.5467149940000002</v>
      </c>
      <c r="D446" s="6">
        <f>[1]Emissions!C863</f>
        <v>8.0106447000000003</v>
      </c>
      <c r="E446" s="6">
        <f>[1]Emissions!D863</f>
        <v>8.5077703519999996</v>
      </c>
      <c r="F446" s="6">
        <f>[1]Emissions!E863</f>
        <v>8.8221014150000006</v>
      </c>
      <c r="G446" s="6">
        <f>[1]Emissions!F863</f>
        <v>8.9967074730000007</v>
      </c>
      <c r="H446" s="6">
        <f>[1]Emissions!G863</f>
        <v>9.1051100389999995</v>
      </c>
      <c r="I446" s="6">
        <f>[1]Emissions!H863</f>
        <v>9.0578984600000005</v>
      </c>
      <c r="J446" s="6">
        <f>[1]Emissions!I863</f>
        <v>9.0881393020000001</v>
      </c>
      <c r="K446" s="6">
        <f>[1]Emissions!J863</f>
        <v>9.1687149980000004</v>
      </c>
      <c r="L446" s="6">
        <f>[1]Emissions!K863</f>
        <v>9.2780907549999991</v>
      </c>
      <c r="M446" s="6">
        <f>[1]Emissions!L863</f>
        <v>9.6168562449999992</v>
      </c>
      <c r="N446" s="6">
        <f>[1]Emissions!M863</f>
        <v>9.6635167610000003</v>
      </c>
      <c r="O446" s="6">
        <f>[1]Emissions!N863</f>
        <v>9.7589967239999993</v>
      </c>
      <c r="P446" s="6">
        <f>[1]Emissions!O863</f>
        <v>9.8972181779999993</v>
      </c>
      <c r="Q446" s="6">
        <f>[1]Emissions!P863</f>
        <v>10.0548933</v>
      </c>
      <c r="R446" s="6">
        <f>[1]Emissions!Q863</f>
        <v>10.218716430000001</v>
      </c>
      <c r="S446" s="6">
        <f>[1]Emissions!R863</f>
        <v>10.38282336</v>
      </c>
      <c r="T446" s="6">
        <f>[1]Emissions!S863</f>
        <v>10.545651879999999</v>
      </c>
      <c r="U446" s="6">
        <f>[1]Emissions!T863</f>
        <v>10.70779864</v>
      </c>
      <c r="V446" s="6">
        <f>[1]Emissions!U863</f>
        <v>10.870614399999999</v>
      </c>
      <c r="W446" s="6">
        <f>[1]Emissions!V863</f>
        <v>10.884959670000001</v>
      </c>
      <c r="X446" s="6">
        <f>[1]Emissions!W863</f>
        <v>11.11711154</v>
      </c>
      <c r="Y446" s="6">
        <f>[1]Emissions!X863</f>
        <v>11.334319969999999</v>
      </c>
      <c r="Z446" s="6">
        <f>[1]Emissions!Y863</f>
        <v>11.530293650000001</v>
      </c>
      <c r="AA446" s="6">
        <f>[1]Emissions!Z863</f>
        <v>11.71689065</v>
      </c>
      <c r="AB446" s="6">
        <f>[1]Emissions!AA863</f>
        <v>11.46290894</v>
      </c>
      <c r="AC446" s="6">
        <f>[1]Emissions!AB863</f>
        <v>11.659124050000001</v>
      </c>
      <c r="AD446" s="6">
        <f>[1]Emissions!AC863</f>
        <v>11.87929289</v>
      </c>
      <c r="AE446" s="6">
        <f>[1]Emissions!AD863</f>
        <v>12.086010910000001</v>
      </c>
      <c r="AF446" s="6">
        <f>[1]Emissions!AE863</f>
        <v>12.28463591</v>
      </c>
      <c r="AG446" s="6">
        <f>[1]Emissions!AF863</f>
        <v>12.48080292</v>
      </c>
      <c r="AH446" s="6">
        <f>[1]Emissions!AG863</f>
        <v>12.677108260000001</v>
      </c>
      <c r="AI446" s="6">
        <f>[1]Emissions!AH863</f>
        <v>12.87434197</v>
      </c>
      <c r="AJ446" s="6">
        <f>[1]Emissions!AI863</f>
        <v>13.07266006</v>
      </c>
      <c r="AK446" s="6">
        <f>[1]Emissions!AJ863</f>
        <v>13.27220593</v>
      </c>
      <c r="AL446" s="6">
        <f>[1]Emissions!AK863</f>
        <v>13.473287429999999</v>
      </c>
    </row>
    <row r="447" spans="2:3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</row>
    <row r="448" spans="2:3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</row>
    <row r="449" spans="2:38" x14ac:dyDescent="0.3">
      <c r="B449" s="6" t="str">
        <f>[1]Emissions!A866</f>
        <v>ems_ci_co2_srai_2</v>
      </c>
      <c r="C449" s="6">
        <f>[1]Emissions!B866</f>
        <v>5.5901665349999998</v>
      </c>
      <c r="D449" s="6">
        <f>[1]Emissions!C866</f>
        <v>5.5828931639999997</v>
      </c>
      <c r="E449" s="6">
        <f>[1]Emissions!D866</f>
        <v>5.5864923070000003</v>
      </c>
      <c r="F449" s="6">
        <f>[1]Emissions!E866</f>
        <v>5.6080890969999997</v>
      </c>
      <c r="G449" s="6">
        <f>[1]Emissions!F866</f>
        <v>5.6416718570000004</v>
      </c>
      <c r="H449" s="6">
        <f>[1]Emissions!G866</f>
        <v>5.6829418829999998</v>
      </c>
      <c r="I449" s="6">
        <f>[1]Emissions!H866</f>
        <v>5.7326299030000003</v>
      </c>
      <c r="J449" s="6">
        <f>[1]Emissions!I866</f>
        <v>5.7920224329999996</v>
      </c>
      <c r="K449" s="6">
        <f>[1]Emissions!J866</f>
        <v>5.8591248519999999</v>
      </c>
      <c r="L449" s="6">
        <f>[1]Emissions!K866</f>
        <v>5.9335680870000003</v>
      </c>
      <c r="M449" s="6">
        <f>[1]Emissions!L866</f>
        <v>6.0160311679999996</v>
      </c>
      <c r="N449" s="6">
        <f>[1]Emissions!M866</f>
        <v>6.1069233980000002</v>
      </c>
      <c r="O449" s="6">
        <f>[1]Emissions!N866</f>
        <v>6.2003295810000001</v>
      </c>
      <c r="P449" s="6">
        <f>[1]Emissions!O866</f>
        <v>6.2935893160000003</v>
      </c>
      <c r="Q449" s="6">
        <f>[1]Emissions!P866</f>
        <v>6.3848108960000003</v>
      </c>
      <c r="R449" s="6">
        <f>[1]Emissions!Q866</f>
        <v>6.4728132880000002</v>
      </c>
      <c r="S449" s="6">
        <f>[1]Emissions!R866</f>
        <v>6.5572136780000001</v>
      </c>
      <c r="T449" s="6">
        <f>[1]Emissions!S866</f>
        <v>6.638342722</v>
      </c>
      <c r="U449" s="6">
        <f>[1]Emissions!T866</f>
        <v>6.7170084399999999</v>
      </c>
      <c r="V449" s="6">
        <f>[1]Emissions!U866</f>
        <v>6.7942258549999996</v>
      </c>
      <c r="W449" s="6">
        <f>[1]Emissions!V866</f>
        <v>6.8695585550000002</v>
      </c>
      <c r="X449" s="6">
        <f>[1]Emissions!W866</f>
        <v>6.9439367150000004</v>
      </c>
      <c r="Y449" s="6">
        <f>[1]Emissions!X866</f>
        <v>7.0206203939999998</v>
      </c>
      <c r="Z449" s="6">
        <f>[1]Emissions!Y866</f>
        <v>7.1000645770000004</v>
      </c>
      <c r="AA449" s="6">
        <f>[1]Emissions!Z866</f>
        <v>7.1823110989999996</v>
      </c>
      <c r="AB449" s="6">
        <f>[1]Emissions!AA866</f>
        <v>7.2620344760000002</v>
      </c>
      <c r="AC449" s="6">
        <f>[1]Emissions!AB866</f>
        <v>7.3403480779999999</v>
      </c>
      <c r="AD449" s="6">
        <f>[1]Emissions!AC866</f>
        <v>7.421183182</v>
      </c>
      <c r="AE449" s="6">
        <f>[1]Emissions!AD866</f>
        <v>7.5053265409999996</v>
      </c>
      <c r="AF449" s="6">
        <f>[1]Emissions!AE866</f>
        <v>7.5928314920000002</v>
      </c>
      <c r="AG449" s="6">
        <f>[1]Emissions!AF866</f>
        <v>7.6833916100000001</v>
      </c>
      <c r="AH449" s="6">
        <f>[1]Emissions!AG866</f>
        <v>7.7765012279999999</v>
      </c>
      <c r="AI449" s="6">
        <f>[1]Emissions!AH866</f>
        <v>7.8716279739999999</v>
      </c>
      <c r="AJ449" s="6">
        <f>[1]Emissions!AI866</f>
        <v>7.9683481250000003</v>
      </c>
      <c r="AK449" s="6">
        <f>[1]Emissions!AJ866</f>
        <v>8.0664025979999998</v>
      </c>
      <c r="AL449" s="6">
        <f>[1]Emissions!AK866</f>
        <v>8.1656814180000001</v>
      </c>
    </row>
    <row r="450" spans="2:3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</row>
    <row r="451" spans="2:3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</row>
    <row r="452" spans="2:38" x14ac:dyDescent="0.3">
      <c r="B452" s="6" t="str">
        <f>[1]Emissions!A869</f>
        <v>ems_ci_co2_sroa_2</v>
      </c>
      <c r="C452" s="6">
        <f>[1]Emissions!B869</f>
        <v>16.040054869999999</v>
      </c>
      <c r="D452" s="6">
        <f>[1]Emissions!C869</f>
        <v>15.99344673</v>
      </c>
      <c r="E452" s="6">
        <f>[1]Emissions!D869</f>
        <v>15.97470798</v>
      </c>
      <c r="F452" s="6">
        <f>[1]Emissions!E869</f>
        <v>16.0125213</v>
      </c>
      <c r="G452" s="6">
        <f>[1]Emissions!F869</f>
        <v>16.091816179999999</v>
      </c>
      <c r="H452" s="6">
        <f>[1]Emissions!G869</f>
        <v>16.199527710000002</v>
      </c>
      <c r="I452" s="6">
        <f>[1]Emissions!H869</f>
        <v>16.336504730000001</v>
      </c>
      <c r="J452" s="6">
        <f>[1]Emissions!I869</f>
        <v>16.504271859999999</v>
      </c>
      <c r="K452" s="6">
        <f>[1]Emissions!J869</f>
        <v>16.693945129999999</v>
      </c>
      <c r="L452" s="6">
        <f>[1]Emissions!K869</f>
        <v>16.90189153</v>
      </c>
      <c r="M452" s="6">
        <f>[1]Emissions!L869</f>
        <v>17.12803976</v>
      </c>
      <c r="N452" s="6">
        <f>[1]Emissions!M869</f>
        <v>17.375710829999999</v>
      </c>
      <c r="O452" s="6">
        <f>[1]Emissions!N869</f>
        <v>17.629712210000001</v>
      </c>
      <c r="P452" s="6">
        <f>[1]Emissions!O869</f>
        <v>17.883977680000001</v>
      </c>
      <c r="Q452" s="6">
        <f>[1]Emissions!P869</f>
        <v>18.134058719999999</v>
      </c>
      <c r="R452" s="6">
        <f>[1]Emissions!Q869</f>
        <v>18.376874229999999</v>
      </c>
      <c r="S452" s="6">
        <f>[1]Emissions!R869</f>
        <v>18.61112645</v>
      </c>
      <c r="T452" s="6">
        <f>[1]Emissions!S869</f>
        <v>18.83731972</v>
      </c>
      <c r="U452" s="6">
        <f>[1]Emissions!T869</f>
        <v>19.057315110000001</v>
      </c>
      <c r="V452" s="6">
        <f>[1]Emissions!U869</f>
        <v>19.273684500000002</v>
      </c>
      <c r="W452" s="6">
        <f>[1]Emissions!V869</f>
        <v>19.485660410000001</v>
      </c>
      <c r="X452" s="6">
        <f>[1]Emissions!W869</f>
        <v>19.694808890000001</v>
      </c>
      <c r="Y452" s="6">
        <f>[1]Emissions!X869</f>
        <v>19.91026055</v>
      </c>
      <c r="Z452" s="6">
        <f>[1]Emissions!Y869</f>
        <v>20.133341850000001</v>
      </c>
      <c r="AA452" s="6">
        <f>[1]Emissions!Z869</f>
        <v>20.364214539999999</v>
      </c>
      <c r="AB452" s="6">
        <f>[1]Emissions!AA869</f>
        <v>20.589463800000001</v>
      </c>
      <c r="AC452" s="6">
        <f>[1]Emissions!AB869</f>
        <v>20.810235070000001</v>
      </c>
      <c r="AD452" s="6">
        <f>[1]Emissions!AC869</f>
        <v>21.036974270000002</v>
      </c>
      <c r="AE452" s="6">
        <f>[1]Emissions!AD869</f>
        <v>21.27177936</v>
      </c>
      <c r="AF452" s="6">
        <f>[1]Emissions!AE869</f>
        <v>21.515074569999999</v>
      </c>
      <c r="AG452" s="6">
        <f>[1]Emissions!AF869</f>
        <v>21.76642434</v>
      </c>
      <c r="AH452" s="6">
        <f>[1]Emissions!AG869</f>
        <v>22.024781560000001</v>
      </c>
      <c r="AI452" s="6">
        <f>[1]Emissions!AH869</f>
        <v>22.288863670000001</v>
      </c>
      <c r="AJ452" s="6">
        <f>[1]Emissions!AI869</f>
        <v>22.55752464</v>
      </c>
      <c r="AK452" s="6">
        <f>[1]Emissions!AJ869</f>
        <v>22.82997301</v>
      </c>
      <c r="AL452" s="6">
        <f>[1]Emissions!AK869</f>
        <v>23.1058129</v>
      </c>
    </row>
    <row r="453" spans="2:3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</row>
    <row r="454" spans="2:3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</row>
    <row r="455" spans="2:38" x14ac:dyDescent="0.3">
      <c r="B455" s="6" t="str">
        <f>[1]Emissions!A872</f>
        <v>ems_ci_co2_swat_2</v>
      </c>
      <c r="C455" s="6">
        <f>[1]Emissions!B872</f>
        <v>3.7869718140000002</v>
      </c>
      <c r="D455" s="6">
        <f>[1]Emissions!C872</f>
        <v>3.8481040050000002</v>
      </c>
      <c r="E455" s="6">
        <f>[1]Emissions!D872</f>
        <v>3.9193764029999998</v>
      </c>
      <c r="F455" s="6">
        <f>[1]Emissions!E872</f>
        <v>3.9971934099999999</v>
      </c>
      <c r="G455" s="6">
        <f>[1]Emissions!F872</f>
        <v>4.0794118580000003</v>
      </c>
      <c r="H455" s="6">
        <f>[1]Emissions!G872</f>
        <v>4.1637404990000002</v>
      </c>
      <c r="I455" s="6">
        <f>[1]Emissions!H872</f>
        <v>4.2446113849999998</v>
      </c>
      <c r="J455" s="6">
        <f>[1]Emissions!I872</f>
        <v>4.3233859810000004</v>
      </c>
      <c r="K455" s="6">
        <f>[1]Emissions!J872</f>
        <v>4.3982756800000002</v>
      </c>
      <c r="L455" s="6">
        <f>[1]Emissions!K872</f>
        <v>4.4687251559999996</v>
      </c>
      <c r="M455" s="6">
        <f>[1]Emissions!L872</f>
        <v>4.54192105</v>
      </c>
      <c r="N455" s="6">
        <f>[1]Emissions!M872</f>
        <v>4.6085588140000002</v>
      </c>
      <c r="O455" s="6">
        <f>[1]Emissions!N872</f>
        <v>4.674832286</v>
      </c>
      <c r="P455" s="6">
        <f>[1]Emissions!O872</f>
        <v>4.742181822</v>
      </c>
      <c r="Q455" s="6">
        <f>[1]Emissions!P872</f>
        <v>4.8108426150000003</v>
      </c>
      <c r="R455" s="6">
        <f>[1]Emissions!Q872</f>
        <v>4.8805893710000001</v>
      </c>
      <c r="S455" s="6">
        <f>[1]Emissions!R872</f>
        <v>4.9511374139999997</v>
      </c>
      <c r="T455" s="6">
        <f>[1]Emissions!S872</f>
        <v>5.0223833649999996</v>
      </c>
      <c r="U455" s="6">
        <f>[1]Emissions!T872</f>
        <v>5.0944703689999997</v>
      </c>
      <c r="V455" s="6">
        <f>[1]Emissions!U872</f>
        <v>5.1677128960000003</v>
      </c>
      <c r="W455" s="6">
        <f>[1]Emissions!V872</f>
        <v>5.2378968649999997</v>
      </c>
      <c r="X455" s="6">
        <f>[1]Emissions!W872</f>
        <v>5.3136401019999999</v>
      </c>
      <c r="Y455" s="6">
        <f>[1]Emissions!X872</f>
        <v>5.3917300109999999</v>
      </c>
      <c r="Z455" s="6">
        <f>[1]Emissions!Y872</f>
        <v>5.471821265</v>
      </c>
      <c r="AA455" s="6">
        <f>[1]Emissions!Z872</f>
        <v>5.5537693739999998</v>
      </c>
      <c r="AB455" s="6">
        <f>[1]Emissions!AA872</f>
        <v>5.6241457920000002</v>
      </c>
      <c r="AC455" s="6">
        <f>[1]Emissions!AB872</f>
        <v>5.7007304169999999</v>
      </c>
      <c r="AD455" s="6">
        <f>[1]Emissions!AC872</f>
        <v>5.7788420379999996</v>
      </c>
      <c r="AE455" s="6">
        <f>[1]Emissions!AD872</f>
        <v>5.858183768</v>
      </c>
      <c r="AF455" s="6">
        <f>[1]Emissions!AE872</f>
        <v>5.9390550290000004</v>
      </c>
      <c r="AG455" s="6">
        <f>[1]Emissions!AF872</f>
        <v>6.0216980500000004</v>
      </c>
      <c r="AH455" s="6">
        <f>[1]Emissions!AG872</f>
        <v>6.1061444829999996</v>
      </c>
      <c r="AI455" s="6">
        <f>[1]Emissions!AH872</f>
        <v>6.1922384450000001</v>
      </c>
      <c r="AJ455" s="6">
        <f>[1]Emissions!AI872</f>
        <v>6.279743012</v>
      </c>
      <c r="AK455" s="6">
        <f>[1]Emissions!AJ872</f>
        <v>6.3684556519999997</v>
      </c>
      <c r="AL455" s="6">
        <f>[1]Emissions!AK872</f>
        <v>6.4582808869999999</v>
      </c>
    </row>
    <row r="456" spans="2:3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</row>
    <row r="457" spans="2:3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</row>
    <row r="458" spans="2:38" x14ac:dyDescent="0.3">
      <c r="B458" s="6" t="str">
        <f>[1]Emissions!A875</f>
        <v>ems_ci_co2_sair_2</v>
      </c>
      <c r="C458" s="6">
        <f>[1]Emissions!B875</f>
        <v>19.866369049999999</v>
      </c>
      <c r="D458" s="6">
        <f>[1]Emissions!C875</f>
        <v>20.138514430000001</v>
      </c>
      <c r="E458" s="6">
        <f>[1]Emissions!D875</f>
        <v>20.463111090000002</v>
      </c>
      <c r="F458" s="6">
        <f>[1]Emissions!E875</f>
        <v>20.826090870000002</v>
      </c>
      <c r="G458" s="6">
        <f>[1]Emissions!F875</f>
        <v>21.212251089999999</v>
      </c>
      <c r="H458" s="6">
        <f>[1]Emissions!G875</f>
        <v>21.612245690000002</v>
      </c>
      <c r="I458" s="6">
        <f>[1]Emissions!H875</f>
        <v>22.01615919</v>
      </c>
      <c r="J458" s="6">
        <f>[1]Emissions!I875</f>
        <v>22.41195768</v>
      </c>
      <c r="K458" s="6">
        <f>[1]Emissions!J875</f>
        <v>22.801461199999999</v>
      </c>
      <c r="L458" s="6">
        <f>[1]Emissions!K875</f>
        <v>23.192126949999999</v>
      </c>
      <c r="M458" s="6">
        <f>[1]Emissions!L875</f>
        <v>23.614027180000001</v>
      </c>
      <c r="N458" s="6">
        <f>[1]Emissions!M875</f>
        <v>24.039483560000001</v>
      </c>
      <c r="O458" s="6">
        <f>[1]Emissions!N875</f>
        <v>24.475269529999998</v>
      </c>
      <c r="P458" s="6">
        <f>[1]Emissions!O875</f>
        <v>24.919620640000002</v>
      </c>
      <c r="Q458" s="6">
        <f>[1]Emissions!P875</f>
        <v>25.369721980000001</v>
      </c>
      <c r="R458" s="6">
        <f>[1]Emissions!Q875</f>
        <v>25.823603519999999</v>
      </c>
      <c r="S458" s="6">
        <f>[1]Emissions!R875</f>
        <v>26.280850959999999</v>
      </c>
      <c r="T458" s="6">
        <f>[1]Emissions!S875</f>
        <v>26.742414530000001</v>
      </c>
      <c r="U458" s="6">
        <f>[1]Emissions!T875</f>
        <v>27.209915580000001</v>
      </c>
      <c r="V458" s="6">
        <f>[1]Emissions!U875</f>
        <v>27.68491088</v>
      </c>
      <c r="W458" s="6">
        <f>[1]Emissions!V875</f>
        <v>28.150348659999999</v>
      </c>
      <c r="X458" s="6">
        <f>[1]Emissions!W875</f>
        <v>28.633256599999999</v>
      </c>
      <c r="Y458" s="6">
        <f>[1]Emissions!X875</f>
        <v>29.129100810000001</v>
      </c>
      <c r="Z458" s="6">
        <f>[1]Emissions!Y875</f>
        <v>29.636690000000002</v>
      </c>
      <c r="AA458" s="6">
        <f>[1]Emissions!Z875</f>
        <v>30.154852519999999</v>
      </c>
      <c r="AB458" s="6">
        <f>[1]Emissions!AA875</f>
        <v>30.626987039999999</v>
      </c>
      <c r="AC458" s="6">
        <f>[1]Emissions!AB875</f>
        <v>31.1116496</v>
      </c>
      <c r="AD458" s="6">
        <f>[1]Emissions!AC875</f>
        <v>31.605470560000001</v>
      </c>
      <c r="AE458" s="6">
        <f>[1]Emissions!AD875</f>
        <v>32.110085339999998</v>
      </c>
      <c r="AF458" s="6">
        <f>[1]Emissions!AE875</f>
        <v>32.626244970000002</v>
      </c>
      <c r="AG458" s="6">
        <f>[1]Emissions!AF875</f>
        <v>33.15362073</v>
      </c>
      <c r="AH458" s="6">
        <f>[1]Emissions!AG875</f>
        <v>33.691302569999998</v>
      </c>
      <c r="AI458" s="6">
        <f>[1]Emissions!AH875</f>
        <v>34.238421639999999</v>
      </c>
      <c r="AJ458" s="6">
        <f>[1]Emissions!AI875</f>
        <v>34.794580830000001</v>
      </c>
      <c r="AK458" s="6">
        <f>[1]Emissions!AJ875</f>
        <v>35.359960870000002</v>
      </c>
      <c r="AL458" s="6">
        <f>[1]Emissions!AK875</f>
        <v>35.935138629999997</v>
      </c>
    </row>
    <row r="459" spans="2:3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</row>
    <row r="460" spans="2:3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</row>
    <row r="461" spans="2:38" x14ac:dyDescent="0.3">
      <c r="B461" s="6" t="str">
        <f>[1]Emissions!A878</f>
        <v>ems_ci_co2_spri_2</v>
      </c>
      <c r="C461" s="6">
        <f>[1]Emissions!B878</f>
        <v>30.81987728</v>
      </c>
      <c r="D461" s="6">
        <f>[1]Emissions!C878</f>
        <v>30.515654260000002</v>
      </c>
      <c r="E461" s="6">
        <f>[1]Emissions!D878</f>
        <v>30.273551659999999</v>
      </c>
      <c r="F461" s="6">
        <f>[1]Emissions!E878</f>
        <v>30.282171559999998</v>
      </c>
      <c r="G461" s="6">
        <f>[1]Emissions!F878</f>
        <v>30.55353173</v>
      </c>
      <c r="H461" s="6">
        <f>[1]Emissions!G878</f>
        <v>31.071596190000001</v>
      </c>
      <c r="I461" s="6">
        <f>[1]Emissions!H878</f>
        <v>31.899559499999999</v>
      </c>
      <c r="J461" s="6">
        <f>[1]Emissions!I878</f>
        <v>32.890313040000002</v>
      </c>
      <c r="K461" s="6">
        <f>[1]Emissions!J878</f>
        <v>33.940707590000002</v>
      </c>
      <c r="L461" s="6">
        <f>[1]Emissions!K878</f>
        <v>34.933629430000003</v>
      </c>
      <c r="M461" s="6">
        <f>[1]Emissions!L878</f>
        <v>35.708088050000001</v>
      </c>
      <c r="N461" s="6">
        <f>[1]Emissions!M878</f>
        <v>36.464429899999999</v>
      </c>
      <c r="O461" s="6">
        <f>[1]Emissions!N878</f>
        <v>37.12646453</v>
      </c>
      <c r="P461" s="6">
        <f>[1]Emissions!O878</f>
        <v>37.757689030000002</v>
      </c>
      <c r="Q461" s="6">
        <f>[1]Emissions!P878</f>
        <v>38.412202829999998</v>
      </c>
      <c r="R461" s="6">
        <f>[1]Emissions!Q878</f>
        <v>39.11419824</v>
      </c>
      <c r="S461" s="6">
        <f>[1]Emissions!R878</f>
        <v>39.862471999999997</v>
      </c>
      <c r="T461" s="6">
        <f>[1]Emissions!S878</f>
        <v>40.642347010000002</v>
      </c>
      <c r="U461" s="6">
        <f>[1]Emissions!T878</f>
        <v>41.437632030000003</v>
      </c>
      <c r="V461" s="6">
        <f>[1]Emissions!U878</f>
        <v>42.238494000000003</v>
      </c>
      <c r="W461" s="6">
        <f>[1]Emissions!V878</f>
        <v>43.090612409999999</v>
      </c>
      <c r="X461" s="6">
        <f>[1]Emissions!W878</f>
        <v>43.868015339999999</v>
      </c>
      <c r="Y461" s="6">
        <f>[1]Emissions!X878</f>
        <v>44.662443860000003</v>
      </c>
      <c r="Z461" s="6">
        <f>[1]Emissions!Y878</f>
        <v>45.481811049999997</v>
      </c>
      <c r="AA461" s="6">
        <f>[1]Emissions!Z878</f>
        <v>46.32961839</v>
      </c>
      <c r="AB461" s="6">
        <f>[1]Emissions!AA878</f>
        <v>47.31989815</v>
      </c>
      <c r="AC461" s="6">
        <f>[1]Emissions!AB878</f>
        <v>48.174156279999998</v>
      </c>
      <c r="AD461" s="6">
        <f>[1]Emissions!AC878</f>
        <v>48.99665332</v>
      </c>
      <c r="AE461" s="6">
        <f>[1]Emissions!AD878</f>
        <v>49.783886170000002</v>
      </c>
      <c r="AF461" s="6">
        <f>[1]Emissions!AE878</f>
        <v>50.54174141</v>
      </c>
      <c r="AG461" s="6">
        <f>[1]Emissions!AF878</f>
        <v>51.288959599999998</v>
      </c>
      <c r="AH461" s="6">
        <f>[1]Emissions!AG878</f>
        <v>52.046548049999998</v>
      </c>
      <c r="AI461" s="6">
        <f>[1]Emissions!AH878</f>
        <v>52.829023620000001</v>
      </c>
      <c r="AJ461" s="6">
        <f>[1]Emissions!AI878</f>
        <v>53.641048349999998</v>
      </c>
      <c r="AK461" s="6">
        <f>[1]Emissions!AJ878</f>
        <v>54.479057779999998</v>
      </c>
      <c r="AL461" s="6">
        <f>[1]Emissions!AK878</f>
        <v>55.335750490000002</v>
      </c>
    </row>
    <row r="462" spans="2:38" x14ac:dyDescent="0.3">
      <c r="B462" s="6" t="str">
        <f>[1]Emissions!A879</f>
        <v>ems_y_co2_spri_2</v>
      </c>
      <c r="C462" s="6">
        <f>[1]Emissions!B879</f>
        <v>0.4044219423</v>
      </c>
      <c r="D462" s="6">
        <f>[1]Emissions!C879</f>
        <v>0.40722793660000001</v>
      </c>
      <c r="E462" s="6">
        <f>[1]Emissions!D879</f>
        <v>0.41175775860000002</v>
      </c>
      <c r="F462" s="6">
        <f>[1]Emissions!E879</f>
        <v>0.4180332142</v>
      </c>
      <c r="G462" s="6">
        <f>[1]Emissions!F879</f>
        <v>0.42494240030000002</v>
      </c>
      <c r="H462" s="6">
        <f>[1]Emissions!G879</f>
        <v>0.43201028200000002</v>
      </c>
      <c r="I462" s="6">
        <f>[1]Emissions!H879</f>
        <v>0.4403737995</v>
      </c>
      <c r="J462" s="6">
        <f>[1]Emissions!I879</f>
        <v>0.44721344159999998</v>
      </c>
      <c r="K462" s="6">
        <f>[1]Emissions!J879</f>
        <v>0.45342647829999999</v>
      </c>
      <c r="L462" s="6">
        <f>[1]Emissions!K879</f>
        <v>0.45962492269999999</v>
      </c>
      <c r="M462" s="6">
        <f>[1]Emissions!L879</f>
        <v>0.46536913130000002</v>
      </c>
      <c r="N462" s="6">
        <f>[1]Emissions!M879</f>
        <v>0.47345793009999998</v>
      </c>
      <c r="O462" s="6">
        <f>[1]Emissions!N879</f>
        <v>0.48160573870000001</v>
      </c>
      <c r="P462" s="6">
        <f>[1]Emissions!O879</f>
        <v>0.48984941900000001</v>
      </c>
      <c r="Q462" s="6">
        <f>[1]Emissions!P879</f>
        <v>0.49815250830000002</v>
      </c>
      <c r="R462" s="6">
        <f>[1]Emissions!Q879</f>
        <v>0.50649201399999999</v>
      </c>
      <c r="S462" s="6">
        <f>[1]Emissions!R879</f>
        <v>0.51488617199999998</v>
      </c>
      <c r="T462" s="6">
        <f>[1]Emissions!S879</f>
        <v>0.52338344250000002</v>
      </c>
      <c r="U462" s="6">
        <f>[1]Emissions!T879</f>
        <v>0.53203519219999995</v>
      </c>
      <c r="V462" s="6">
        <f>[1]Emissions!U879</f>
        <v>0.54087237499999996</v>
      </c>
      <c r="W462" s="6">
        <f>[1]Emissions!V879</f>
        <v>0.55038666619999999</v>
      </c>
      <c r="X462" s="6">
        <f>[1]Emissions!W879</f>
        <v>0.55892936270000004</v>
      </c>
      <c r="Y462" s="6">
        <f>[1]Emissions!X879</f>
        <v>0.56794986550000004</v>
      </c>
      <c r="Z462" s="6">
        <f>[1]Emissions!Y879</f>
        <v>0.57726394879999998</v>
      </c>
      <c r="AA462" s="6">
        <f>[1]Emissions!Z879</f>
        <v>0.58675464889999995</v>
      </c>
      <c r="AB462" s="6">
        <f>[1]Emissions!AA879</f>
        <v>0.59753347140000002</v>
      </c>
      <c r="AC462" s="6">
        <f>[1]Emissions!AB879</f>
        <v>0.6061117681</v>
      </c>
      <c r="AD462" s="6">
        <f>[1]Emissions!AC879</f>
        <v>0.61490844300000003</v>
      </c>
      <c r="AE462" s="6">
        <f>[1]Emissions!AD879</f>
        <v>0.62394611339999995</v>
      </c>
      <c r="AF462" s="6">
        <f>[1]Emissions!AE879</f>
        <v>0.63321743389999996</v>
      </c>
      <c r="AG462" s="6">
        <f>[1]Emissions!AF879</f>
        <v>0.64268161999999995</v>
      </c>
      <c r="AH462" s="6">
        <f>[1]Emissions!AG879</f>
        <v>0.65228706410000004</v>
      </c>
      <c r="AI462" s="6">
        <f>[1]Emissions!AH879</f>
        <v>0.66199626</v>
      </c>
      <c r="AJ462" s="6">
        <f>[1]Emissions!AI879</f>
        <v>0.67179868730000003</v>
      </c>
      <c r="AK462" s="6">
        <f>[1]Emissions!AJ879</f>
        <v>0.68170892120000004</v>
      </c>
      <c r="AL462" s="6">
        <f>[1]Emissions!AK879</f>
        <v>0.69175451300000002</v>
      </c>
    </row>
    <row r="463" spans="2:38" x14ac:dyDescent="0.3">
      <c r="B463" s="6" t="str">
        <f>[1]Emissions!A880</f>
        <v>ems_mat_co2_spri_2</v>
      </c>
      <c r="C463" s="6">
        <f>[1]Emissions!B880</f>
        <v>0.59293969349999998</v>
      </c>
      <c r="D463" s="6">
        <f>[1]Emissions!C880</f>
        <v>0.59744163340000001</v>
      </c>
      <c r="E463" s="6">
        <f>[1]Emissions!D880</f>
        <v>0.60385157209999996</v>
      </c>
      <c r="F463" s="6">
        <f>[1]Emissions!E880</f>
        <v>0.61283315969999996</v>
      </c>
      <c r="G463" s="6">
        <f>[1]Emissions!F880</f>
        <v>0.62293843859999998</v>
      </c>
      <c r="H463" s="6">
        <f>[1]Emissions!G880</f>
        <v>0.63335741320000005</v>
      </c>
      <c r="I463" s="6">
        <f>[1]Emissions!H880</f>
        <v>0.64553565560000004</v>
      </c>
      <c r="J463" s="6">
        <f>[1]Emissions!I880</f>
        <v>0.65582634019999997</v>
      </c>
      <c r="K463" s="6">
        <f>[1]Emissions!J880</f>
        <v>0.6650475535</v>
      </c>
      <c r="L463" s="6">
        <f>[1]Emissions!K880</f>
        <v>0.6741321857</v>
      </c>
      <c r="M463" s="6">
        <f>[1]Emissions!L880</f>
        <v>0.68259389709999996</v>
      </c>
      <c r="N463" s="6">
        <f>[1]Emissions!M880</f>
        <v>0.69415758149999995</v>
      </c>
      <c r="O463" s="6">
        <f>[1]Emissions!N880</f>
        <v>0.70613401119999997</v>
      </c>
      <c r="P463" s="6">
        <f>[1]Emissions!O880</f>
        <v>0.71826650520000002</v>
      </c>
      <c r="Q463" s="6">
        <f>[1]Emissions!P880</f>
        <v>0.73048061419999999</v>
      </c>
      <c r="R463" s="6">
        <f>[1]Emissions!Q880</f>
        <v>0.74274057380000003</v>
      </c>
      <c r="S463" s="6">
        <f>[1]Emissions!R880</f>
        <v>0.7550699797</v>
      </c>
      <c r="T463" s="6">
        <f>[1]Emissions!S880</f>
        <v>0.76753893620000002</v>
      </c>
      <c r="U463" s="6">
        <f>[1]Emissions!T880</f>
        <v>0.78022556340000004</v>
      </c>
      <c r="V463" s="6">
        <f>[1]Emissions!U880</f>
        <v>0.79318037659999996</v>
      </c>
      <c r="W463" s="6">
        <f>[1]Emissions!V880</f>
        <v>0.80707184310000002</v>
      </c>
      <c r="X463" s="6">
        <f>[1]Emissions!W880</f>
        <v>0.81974547060000003</v>
      </c>
      <c r="Y463" s="6">
        <f>[1]Emissions!X880</f>
        <v>0.83292501379999995</v>
      </c>
      <c r="Z463" s="6">
        <f>[1]Emissions!Y880</f>
        <v>0.84655486749999997</v>
      </c>
      <c r="AA463" s="6">
        <f>[1]Emissions!Z880</f>
        <v>0.860467498</v>
      </c>
      <c r="AB463" s="6">
        <f>[1]Emissions!AA880</f>
        <v>0.87614238479999995</v>
      </c>
      <c r="AC463" s="6">
        <f>[1]Emissions!AB880</f>
        <v>0.88902803460000002</v>
      </c>
      <c r="AD463" s="6">
        <f>[1]Emissions!AC880</f>
        <v>0.90189830039999996</v>
      </c>
      <c r="AE463" s="6">
        <f>[1]Emissions!AD880</f>
        <v>0.91510006180000003</v>
      </c>
      <c r="AF463" s="6">
        <f>[1]Emissions!AE880</f>
        <v>0.92865766599999999</v>
      </c>
      <c r="AG463" s="6">
        <f>[1]Emissions!AF880</f>
        <v>0.94251464350000003</v>
      </c>
      <c r="AH463" s="6">
        <f>[1]Emissions!AG880</f>
        <v>0.95659240229999998</v>
      </c>
      <c r="AI463" s="6">
        <f>[1]Emissions!AH880</f>
        <v>0.97083031210000004</v>
      </c>
      <c r="AJ463" s="6">
        <f>[1]Emissions!AI880</f>
        <v>0.98520709770000003</v>
      </c>
      <c r="AK463" s="6">
        <f>[1]Emissions!AJ880</f>
        <v>0.99974010849999995</v>
      </c>
      <c r="AL463" s="6">
        <f>[1]Emissions!AK880</f>
        <v>1.0144684319999999</v>
      </c>
    </row>
    <row r="464" spans="2:38" x14ac:dyDescent="0.3">
      <c r="B464" s="6" t="str">
        <f>[1]Emissions!A881</f>
        <v>ems_ci_co2_spub_2</v>
      </c>
      <c r="C464" s="6">
        <f>[1]Emissions!B881</f>
        <v>15.0601217</v>
      </c>
      <c r="D464" s="6">
        <f>[1]Emissions!C881</f>
        <v>15.05971566</v>
      </c>
      <c r="E464" s="6">
        <f>[1]Emissions!D881</f>
        <v>15.06939339</v>
      </c>
      <c r="F464" s="6">
        <f>[1]Emissions!E881</f>
        <v>15.134444930000001</v>
      </c>
      <c r="G464" s="6">
        <f>[1]Emissions!F881</f>
        <v>15.26229023</v>
      </c>
      <c r="H464" s="6">
        <f>[1]Emissions!G881</f>
        <v>15.451749919999999</v>
      </c>
      <c r="I464" s="6">
        <f>[1]Emissions!H881</f>
        <v>15.70586765</v>
      </c>
      <c r="J464" s="6">
        <f>[1]Emissions!I881</f>
        <v>16.067442239999998</v>
      </c>
      <c r="K464" s="6">
        <f>[1]Emissions!J881</f>
        <v>16.49061566</v>
      </c>
      <c r="L464" s="6">
        <f>[1]Emissions!K881</f>
        <v>16.929078029999999</v>
      </c>
      <c r="M464" s="6">
        <f>[1]Emissions!L881</f>
        <v>17.339037229999999</v>
      </c>
      <c r="N464" s="6">
        <f>[1]Emissions!M881</f>
        <v>17.7397183</v>
      </c>
      <c r="O464" s="6">
        <f>[1]Emissions!N881</f>
        <v>18.112603190000002</v>
      </c>
      <c r="P464" s="6">
        <f>[1]Emissions!O881</f>
        <v>18.469536829999999</v>
      </c>
      <c r="Q464" s="6">
        <f>[1]Emissions!P881</f>
        <v>18.81994169</v>
      </c>
      <c r="R464" s="6">
        <f>[1]Emissions!Q881</f>
        <v>19.166697209999999</v>
      </c>
      <c r="S464" s="6">
        <f>[1]Emissions!R881</f>
        <v>19.507447089999999</v>
      </c>
      <c r="T464" s="6">
        <f>[1]Emissions!S881</f>
        <v>19.837934239999999</v>
      </c>
      <c r="U464" s="6">
        <f>[1]Emissions!T881</f>
        <v>20.155235770000001</v>
      </c>
      <c r="V464" s="6">
        <f>[1]Emissions!U881</f>
        <v>20.459662250000001</v>
      </c>
      <c r="W464" s="6">
        <f>[1]Emissions!V881</f>
        <v>20.758404680000002</v>
      </c>
      <c r="X464" s="6">
        <f>[1]Emissions!W881</f>
        <v>21.04032746</v>
      </c>
      <c r="Y464" s="6">
        <f>[1]Emissions!X881</f>
        <v>21.326157599999998</v>
      </c>
      <c r="Z464" s="6">
        <f>[1]Emissions!Y881</f>
        <v>21.62091697</v>
      </c>
      <c r="AA464" s="6">
        <f>[1]Emissions!Z881</f>
        <v>21.928867660000002</v>
      </c>
      <c r="AB464" s="6">
        <f>[1]Emissions!AA881</f>
        <v>22.257121999999999</v>
      </c>
      <c r="AC464" s="6">
        <f>[1]Emissions!AB881</f>
        <v>22.571658060000001</v>
      </c>
      <c r="AD464" s="6">
        <f>[1]Emissions!AC881</f>
        <v>22.890162700000001</v>
      </c>
      <c r="AE464" s="6">
        <f>[1]Emissions!AD881</f>
        <v>23.209945439999998</v>
      </c>
      <c r="AF464" s="6">
        <f>[1]Emissions!AE881</f>
        <v>23.531604990000002</v>
      </c>
      <c r="AG464" s="6">
        <f>[1]Emissions!AF881</f>
        <v>23.859011500000001</v>
      </c>
      <c r="AH464" s="6">
        <f>[1]Emissions!AG881</f>
        <v>24.196396100000001</v>
      </c>
      <c r="AI464" s="6">
        <f>[1]Emissions!AH881</f>
        <v>24.54608137</v>
      </c>
      <c r="AJ464" s="6">
        <f>[1]Emissions!AI881</f>
        <v>24.907733889999999</v>
      </c>
      <c r="AK464" s="6">
        <f>[1]Emissions!AJ881</f>
        <v>25.278950999999999</v>
      </c>
      <c r="AL464" s="6">
        <f>[1]Emissions!AK881</f>
        <v>25.656609150000001</v>
      </c>
    </row>
    <row r="465" spans="2:3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</row>
    <row r="466" spans="2:38" x14ac:dyDescent="0.3">
      <c r="B466" s="6" t="str">
        <f>[1]Emissions!A883</f>
        <v>ems_mat_co2_spub_2</v>
      </c>
      <c r="C466" s="6">
        <f>[1]Emissions!B883</f>
        <v>9.7377176950000006</v>
      </c>
      <c r="D466" s="6">
        <f>[1]Emissions!C883</f>
        <v>9.8464327970000003</v>
      </c>
      <c r="E466" s="6">
        <f>[1]Emissions!D883</f>
        <v>9.9759075260000003</v>
      </c>
      <c r="F466" s="6">
        <f>[1]Emissions!E883</f>
        <v>10.12815035</v>
      </c>
      <c r="G466" s="6">
        <f>[1]Emissions!F883</f>
        <v>10.29214215</v>
      </c>
      <c r="H466" s="6">
        <f>[1]Emissions!G883</f>
        <v>10.461962850000001</v>
      </c>
      <c r="I466" s="6">
        <f>[1]Emissions!H883</f>
        <v>10.640653070000001</v>
      </c>
      <c r="J466" s="6">
        <f>[1]Emissions!I883</f>
        <v>10.81122865</v>
      </c>
      <c r="K466" s="6">
        <f>[1]Emissions!J883</f>
        <v>10.97855985</v>
      </c>
      <c r="L466" s="6">
        <f>[1]Emissions!K883</f>
        <v>11.147836959999999</v>
      </c>
      <c r="M466" s="6">
        <f>[1]Emissions!L883</f>
        <v>11.31992851</v>
      </c>
      <c r="N466" s="6">
        <f>[1]Emissions!M883</f>
        <v>11.511941670000001</v>
      </c>
      <c r="O466" s="6">
        <f>[1]Emissions!N883</f>
        <v>11.705849260000001</v>
      </c>
      <c r="P466" s="6">
        <f>[1]Emissions!O883</f>
        <v>11.901112960000001</v>
      </c>
      <c r="Q466" s="6">
        <f>[1]Emissions!P883</f>
        <v>12.09805416</v>
      </c>
      <c r="R466" s="6">
        <f>[1]Emissions!Q883</f>
        <v>12.296922240000001</v>
      </c>
      <c r="S466" s="6">
        <f>[1]Emissions!R883</f>
        <v>12.4980656</v>
      </c>
      <c r="T466" s="6">
        <f>[1]Emissions!S883</f>
        <v>12.701929590000001</v>
      </c>
      <c r="U466" s="6">
        <f>[1]Emissions!T883</f>
        <v>12.908911059999999</v>
      </c>
      <c r="V466" s="6">
        <f>[1]Emissions!U883</f>
        <v>13.119226879999999</v>
      </c>
      <c r="W466" s="6">
        <f>[1]Emissions!V883</f>
        <v>13.333083589999999</v>
      </c>
      <c r="X466" s="6">
        <f>[1]Emissions!W883</f>
        <v>13.54229806</v>
      </c>
      <c r="Y466" s="6">
        <f>[1]Emissions!X883</f>
        <v>13.75771945</v>
      </c>
      <c r="Z466" s="6">
        <f>[1]Emissions!Y883</f>
        <v>13.978440490000001</v>
      </c>
      <c r="AA466" s="6">
        <f>[1]Emissions!Z883</f>
        <v>14.203219320000001</v>
      </c>
      <c r="AB466" s="6">
        <f>[1]Emissions!AA883</f>
        <v>14.429371789999999</v>
      </c>
      <c r="AC466" s="6">
        <f>[1]Emissions!AB883</f>
        <v>14.63913056</v>
      </c>
      <c r="AD466" s="6">
        <f>[1]Emissions!AC883</f>
        <v>14.851242989999999</v>
      </c>
      <c r="AE466" s="6">
        <f>[1]Emissions!AD883</f>
        <v>15.06760178</v>
      </c>
      <c r="AF466" s="6">
        <f>[1]Emissions!AE883</f>
        <v>15.288125859999999</v>
      </c>
      <c r="AG466" s="6">
        <f>[1]Emissions!AF883</f>
        <v>15.51240496</v>
      </c>
      <c r="AH466" s="6">
        <f>[1]Emissions!AG883</f>
        <v>15.740018389999999</v>
      </c>
      <c r="AI466" s="6">
        <f>[1]Emissions!AH883</f>
        <v>15.97070516</v>
      </c>
      <c r="AJ466" s="6">
        <f>[1]Emissions!AI883</f>
        <v>16.204433250000001</v>
      </c>
      <c r="AK466" s="6">
        <f>[1]Emissions!AJ883</f>
        <v>16.441359729999999</v>
      </c>
      <c r="AL466" s="6">
        <f>[1]Emissions!AK883</f>
        <v>16.68172599</v>
      </c>
    </row>
    <row r="467" spans="2:38" x14ac:dyDescent="0.3">
      <c r="B467" s="6" t="str">
        <f>[1]Emissions!A884</f>
        <v>ems_ci_co2_smin_2</v>
      </c>
      <c r="C467" s="6">
        <f>[1]Emissions!B884</f>
        <v>1.7691733080000001</v>
      </c>
      <c r="D467" s="6">
        <f>[1]Emissions!C884</f>
        <v>1.9652898130000001</v>
      </c>
      <c r="E467" s="6">
        <f>[1]Emissions!D884</f>
        <v>2.1566259900000002</v>
      </c>
      <c r="F467" s="6">
        <f>[1]Emissions!E884</f>
        <v>2.317112861</v>
      </c>
      <c r="G467" s="6">
        <f>[1]Emissions!F884</f>
        <v>2.4504226550000001</v>
      </c>
      <c r="H467" s="6">
        <f>[1]Emissions!G884</f>
        <v>2.5645392390000001</v>
      </c>
      <c r="I467" s="6">
        <f>[1]Emissions!H884</f>
        <v>2.6794625299999999</v>
      </c>
      <c r="J467" s="6">
        <f>[1]Emissions!I884</f>
        <v>2.7679490960000002</v>
      </c>
      <c r="K467" s="6">
        <f>[1]Emissions!J884</f>
        <v>2.843258117</v>
      </c>
      <c r="L467" s="6">
        <f>[1]Emissions!K884</f>
        <v>2.9099231900000002</v>
      </c>
      <c r="M467" s="6">
        <f>[1]Emissions!L884</f>
        <v>2.9833761999999999</v>
      </c>
      <c r="N467" s="6">
        <f>[1]Emissions!M884</f>
        <v>3.0367268709999999</v>
      </c>
      <c r="O467" s="6">
        <f>[1]Emissions!N884</f>
        <v>3.0874892100000002</v>
      </c>
      <c r="P467" s="6">
        <f>[1]Emissions!O884</f>
        <v>3.1390552220000001</v>
      </c>
      <c r="Q467" s="6">
        <f>[1]Emissions!P884</f>
        <v>3.191449822</v>
      </c>
      <c r="R467" s="6">
        <f>[1]Emissions!Q884</f>
        <v>3.2443474509999999</v>
      </c>
      <c r="S467" s="6">
        <f>[1]Emissions!R884</f>
        <v>3.297630002</v>
      </c>
      <c r="T467" s="6">
        <f>[1]Emissions!S884</f>
        <v>3.3513783350000002</v>
      </c>
      <c r="U467" s="6">
        <f>[1]Emissions!T884</f>
        <v>3.4057859110000002</v>
      </c>
      <c r="V467" s="6">
        <f>[1]Emissions!U884</f>
        <v>3.4610670379999999</v>
      </c>
      <c r="W467" s="6">
        <f>[1]Emissions!V884</f>
        <v>3.507829138</v>
      </c>
      <c r="X467" s="6">
        <f>[1]Emissions!W884</f>
        <v>3.5668953879999998</v>
      </c>
      <c r="Y467" s="6">
        <f>[1]Emissions!X884</f>
        <v>3.6276645240000001</v>
      </c>
      <c r="Z467" s="6">
        <f>[1]Emissions!Y884</f>
        <v>3.6881848640000001</v>
      </c>
      <c r="AA467" s="6">
        <f>[1]Emissions!Z884</f>
        <v>3.74866411</v>
      </c>
      <c r="AB467" s="6">
        <f>[1]Emissions!AA884</f>
        <v>3.7810898540000002</v>
      </c>
      <c r="AC467" s="6">
        <f>[1]Emissions!AB884</f>
        <v>3.83537587</v>
      </c>
      <c r="AD467" s="6">
        <f>[1]Emissions!AC884</f>
        <v>3.8936343</v>
      </c>
      <c r="AE467" s="6">
        <f>[1]Emissions!AD884</f>
        <v>3.9514485979999998</v>
      </c>
      <c r="AF467" s="6">
        <f>[1]Emissions!AE884</f>
        <v>4.0087365989999997</v>
      </c>
      <c r="AG467" s="6">
        <f>[1]Emissions!AF884</f>
        <v>4.0660449209999996</v>
      </c>
      <c r="AH467" s="6">
        <f>[1]Emissions!AG884</f>
        <v>4.1237734079999999</v>
      </c>
      <c r="AI467" s="6">
        <f>[1]Emissions!AH884</f>
        <v>4.1821219640000002</v>
      </c>
      <c r="AJ467" s="6">
        <f>[1]Emissions!AI884</f>
        <v>4.2411612300000003</v>
      </c>
      <c r="AK467" s="6">
        <f>[1]Emissions!AJ884</f>
        <v>4.3009216600000002</v>
      </c>
      <c r="AL467" s="6">
        <f>[1]Emissions!AK884</f>
        <v>4.3614453859999998</v>
      </c>
    </row>
    <row r="468" spans="2:3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</row>
    <row r="469" spans="2:38" x14ac:dyDescent="0.3">
      <c r="B469" s="6" t="str">
        <f>[1]Emissions!A886</f>
        <v>ems_mat_co2_smin_2</v>
      </c>
      <c r="C469" s="6">
        <f>[1]Emissions!B886</f>
        <v>9.7487404099999994E-2</v>
      </c>
      <c r="D469" s="6">
        <f>[1]Emissions!C886</f>
        <v>0.10846767359999999</v>
      </c>
      <c r="E469" s="6">
        <f>[1]Emissions!D886</f>
        <v>0.11923160319999999</v>
      </c>
      <c r="F469" s="6">
        <f>[1]Emissions!E886</f>
        <v>0.12827642910000001</v>
      </c>
      <c r="G469" s="6">
        <f>[1]Emissions!F886</f>
        <v>0.13575341869999999</v>
      </c>
      <c r="H469" s="6">
        <f>[1]Emissions!G886</f>
        <v>0.14207891110000001</v>
      </c>
      <c r="I469" s="6">
        <f>[1]Emissions!H886</f>
        <v>0.1483532336</v>
      </c>
      <c r="J469" s="6">
        <f>[1]Emissions!I886</f>
        <v>0.1530311131</v>
      </c>
      <c r="K469" s="6">
        <f>[1]Emissions!J886</f>
        <v>0.15689914029999999</v>
      </c>
      <c r="L469" s="6">
        <f>[1]Emissions!K886</f>
        <v>0.16028208360000001</v>
      </c>
      <c r="M469" s="6">
        <f>[1]Emissions!L886</f>
        <v>0.16409454749999999</v>
      </c>
      <c r="N469" s="6">
        <f>[1]Emissions!M886</f>
        <v>0.16686582690000001</v>
      </c>
      <c r="O469" s="6">
        <f>[1]Emissions!N886</f>
        <v>0.16954310489999999</v>
      </c>
      <c r="P469" s="6">
        <f>[1]Emissions!O886</f>
        <v>0.17228732029999999</v>
      </c>
      <c r="Q469" s="6">
        <f>[1]Emissions!P886</f>
        <v>0.17507997149999999</v>
      </c>
      <c r="R469" s="6">
        <f>[1]Emissions!Q886</f>
        <v>0.1778947826</v>
      </c>
      <c r="S469" s="6">
        <f>[1]Emissions!R886</f>
        <v>0.1807274955</v>
      </c>
      <c r="T469" s="6">
        <f>[1]Emissions!S886</f>
        <v>0.18359048480000001</v>
      </c>
      <c r="U469" s="6">
        <f>[1]Emissions!T886</f>
        <v>0.1865022892</v>
      </c>
      <c r="V469" s="6">
        <f>[1]Emissions!U886</f>
        <v>0.18947857630000001</v>
      </c>
      <c r="W469" s="6">
        <f>[1]Emissions!V886</f>
        <v>0.1919992388</v>
      </c>
      <c r="X469" s="6">
        <f>[1]Emissions!W886</f>
        <v>0.19520615490000001</v>
      </c>
      <c r="Y469" s="6">
        <f>[1]Emissions!X886</f>
        <v>0.1985166139</v>
      </c>
      <c r="Z469" s="6">
        <f>[1]Emissions!Y886</f>
        <v>0.20181700089999999</v>
      </c>
      <c r="AA469" s="6">
        <f>[1]Emissions!Z886</f>
        <v>0.2051113386</v>
      </c>
      <c r="AB469" s="6">
        <f>[1]Emissions!AA886</f>
        <v>0.20685137319999999</v>
      </c>
      <c r="AC469" s="6">
        <f>[1]Emissions!AB886</f>
        <v>0.20977997749999999</v>
      </c>
      <c r="AD469" s="6">
        <f>[1]Emissions!AC886</f>
        <v>0.212936085</v>
      </c>
      <c r="AE469" s="6">
        <f>[1]Emissions!AD886</f>
        <v>0.21608738120000001</v>
      </c>
      <c r="AF469" s="6">
        <f>[1]Emissions!AE886</f>
        <v>0.2192280965</v>
      </c>
      <c r="AG469" s="6">
        <f>[1]Emissions!AF886</f>
        <v>0.22237991570000001</v>
      </c>
      <c r="AH469" s="6">
        <f>[1]Emissions!AG886</f>
        <v>0.2255550556</v>
      </c>
      <c r="AI469" s="6">
        <f>[1]Emissions!AH886</f>
        <v>0.22875779639999999</v>
      </c>
      <c r="AJ469" s="6">
        <f>[1]Emissions!AI886</f>
        <v>0.23199021219999999</v>
      </c>
      <c r="AK469" s="6">
        <f>[1]Emissions!AJ886</f>
        <v>0.23525636999999999</v>
      </c>
      <c r="AL469" s="6">
        <f>[1]Emissions!AK886</f>
        <v>0.2385629339</v>
      </c>
    </row>
    <row r="470" spans="2:38" x14ac:dyDescent="0.3">
      <c r="B470" s="6" t="str">
        <f>[1]Emissions!A887</f>
        <v>ems_ci_co2_soil_2</v>
      </c>
      <c r="C470" s="6">
        <f>[1]Emissions!B887</f>
        <v>16.63452947</v>
      </c>
      <c r="D470" s="6">
        <f>[1]Emissions!C887</f>
        <v>16.854677949999999</v>
      </c>
      <c r="E470" s="6">
        <f>[1]Emissions!D887</f>
        <v>17.051790350000001</v>
      </c>
      <c r="F470" s="6">
        <f>[1]Emissions!E887</f>
        <v>17.24638762</v>
      </c>
      <c r="G470" s="6">
        <f>[1]Emissions!F887</f>
        <v>17.450417130000002</v>
      </c>
      <c r="H470" s="6">
        <f>[1]Emissions!G887</f>
        <v>17.66709157</v>
      </c>
      <c r="I470" s="6">
        <f>[1]Emissions!H887</f>
        <v>17.907155320000001</v>
      </c>
      <c r="J470" s="6">
        <f>[1]Emissions!I887</f>
        <v>18.142785050000001</v>
      </c>
      <c r="K470" s="6">
        <f>[1]Emissions!J887</f>
        <v>18.38025223</v>
      </c>
      <c r="L470" s="6">
        <f>[1]Emissions!K887</f>
        <v>18.617932530000001</v>
      </c>
      <c r="M470" s="6">
        <f>[1]Emissions!L887</f>
        <v>18.87157079</v>
      </c>
      <c r="N470" s="6">
        <f>[1]Emissions!M887</f>
        <v>19.10751067</v>
      </c>
      <c r="O470" s="6">
        <f>[1]Emissions!N887</f>
        <v>19.34085074</v>
      </c>
      <c r="P470" s="6">
        <f>[1]Emissions!O887</f>
        <v>19.575707489999999</v>
      </c>
      <c r="Q470" s="6">
        <f>[1]Emissions!P887</f>
        <v>19.813446089999999</v>
      </c>
      <c r="R470" s="6">
        <f>[1]Emissions!Q887</f>
        <v>20.05423034</v>
      </c>
      <c r="S470" s="6">
        <f>[1]Emissions!R887</f>
        <v>20.297602189999999</v>
      </c>
      <c r="T470" s="6">
        <f>[1]Emissions!S887</f>
        <v>20.542874640000001</v>
      </c>
      <c r="U470" s="6">
        <f>[1]Emissions!T887</f>
        <v>20.789455090000001</v>
      </c>
      <c r="V470" s="6">
        <f>[1]Emissions!U887</f>
        <v>21.037031420000002</v>
      </c>
      <c r="W470" s="6">
        <f>[1]Emissions!V887</f>
        <v>21.27178194</v>
      </c>
      <c r="X470" s="6">
        <f>[1]Emissions!W887</f>
        <v>21.51884411</v>
      </c>
      <c r="Y470" s="6">
        <f>[1]Emissions!X887</f>
        <v>21.768786049999999</v>
      </c>
      <c r="Z470" s="6">
        <f>[1]Emissions!Y887</f>
        <v>22.02018069</v>
      </c>
      <c r="AA470" s="6">
        <f>[1]Emissions!Z887</f>
        <v>22.273177579999999</v>
      </c>
      <c r="AB470" s="6">
        <f>[1]Emissions!AA887</f>
        <v>22.486982900000001</v>
      </c>
      <c r="AC470" s="6">
        <f>[1]Emissions!AB887</f>
        <v>22.71759943</v>
      </c>
      <c r="AD470" s="6">
        <f>[1]Emissions!AC887</f>
        <v>22.950271189999999</v>
      </c>
      <c r="AE470" s="6">
        <f>[1]Emissions!AD887</f>
        <v>23.181830680000001</v>
      </c>
      <c r="AF470" s="6">
        <f>[1]Emissions!AE887</f>
        <v>23.412315769999999</v>
      </c>
      <c r="AG470" s="6">
        <f>[1]Emissions!AF887</f>
        <v>23.642552770000002</v>
      </c>
      <c r="AH470" s="6">
        <f>[1]Emissions!AG887</f>
        <v>23.87336195</v>
      </c>
      <c r="AI470" s="6">
        <f>[1]Emissions!AH887</f>
        <v>24.105249610000001</v>
      </c>
      <c r="AJ470" s="6">
        <f>[1]Emissions!AI887</f>
        <v>24.338328820000001</v>
      </c>
      <c r="AK470" s="6">
        <f>[1]Emissions!AJ887</f>
        <v>24.57241028</v>
      </c>
      <c r="AL470" s="6">
        <f>[1]Emissions!AK887</f>
        <v>24.80716524</v>
      </c>
    </row>
    <row r="471" spans="2:3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</row>
    <row r="472" spans="2:38" x14ac:dyDescent="0.3">
      <c r="B472" s="6" t="str">
        <f>[1]Emissions!A889</f>
        <v>ems_mat_co2_soil_2</v>
      </c>
      <c r="C472" s="6">
        <f>[1]Emissions!B889</f>
        <v>4.7881592639999999</v>
      </c>
      <c r="D472" s="6">
        <f>[1]Emissions!C889</f>
        <v>4.8514601969999998</v>
      </c>
      <c r="E472" s="6">
        <f>[1]Emissions!D889</f>
        <v>4.9080834019999999</v>
      </c>
      <c r="F472" s="6">
        <f>[1]Emissions!E889</f>
        <v>4.9639511369999996</v>
      </c>
      <c r="G472" s="6">
        <f>[1]Emissions!F889</f>
        <v>5.022523852</v>
      </c>
      <c r="H472" s="6">
        <f>[1]Emissions!G889</f>
        <v>5.0847461149999997</v>
      </c>
      <c r="I472" s="6">
        <f>[1]Emissions!H889</f>
        <v>5.1537268980000004</v>
      </c>
      <c r="J472" s="6">
        <f>[1]Emissions!I889</f>
        <v>5.2214402800000004</v>
      </c>
      <c r="K472" s="6">
        <f>[1]Emissions!J889</f>
        <v>5.2897171649999999</v>
      </c>
      <c r="L472" s="6">
        <f>[1]Emissions!K889</f>
        <v>5.3580927999999997</v>
      </c>
      <c r="M472" s="6">
        <f>[1]Emissions!L889</f>
        <v>5.4310864040000002</v>
      </c>
      <c r="N472" s="6">
        <f>[1]Emissions!M889</f>
        <v>5.4990011519999999</v>
      </c>
      <c r="O472" s="6">
        <f>[1]Emissions!N889</f>
        <v>5.5661770009999998</v>
      </c>
      <c r="P472" s="6">
        <f>[1]Emissions!O889</f>
        <v>5.633799196</v>
      </c>
      <c r="Q472" s="6">
        <f>[1]Emissions!P889</f>
        <v>5.7022637610000002</v>
      </c>
      <c r="R472" s="6">
        <f>[1]Emissions!Q889</f>
        <v>5.7716202570000004</v>
      </c>
      <c r="S472" s="6">
        <f>[1]Emissions!R889</f>
        <v>5.8417366570000002</v>
      </c>
      <c r="T472" s="6">
        <f>[1]Emissions!S889</f>
        <v>5.912412099</v>
      </c>
      <c r="U472" s="6">
        <f>[1]Emissions!T889</f>
        <v>5.9834709049999999</v>
      </c>
      <c r="V472" s="6">
        <f>[1]Emissions!U889</f>
        <v>6.0548177130000003</v>
      </c>
      <c r="W472" s="6">
        <f>[1]Emissions!V889</f>
        <v>6.1224706009999998</v>
      </c>
      <c r="X472" s="6">
        <f>[1]Emissions!W889</f>
        <v>6.1936610600000002</v>
      </c>
      <c r="Y472" s="6">
        <f>[1]Emissions!X889</f>
        <v>6.2656724480000001</v>
      </c>
      <c r="Z472" s="6">
        <f>[1]Emissions!Y889</f>
        <v>6.3380937719999997</v>
      </c>
      <c r="AA472" s="6">
        <f>[1]Emissions!Z889</f>
        <v>6.4109694599999996</v>
      </c>
      <c r="AB472" s="6">
        <f>[1]Emissions!AA889</f>
        <v>6.4725611760000001</v>
      </c>
      <c r="AC472" s="6">
        <f>[1]Emissions!AB889</f>
        <v>6.5389896089999997</v>
      </c>
      <c r="AD472" s="6">
        <f>[1]Emissions!AC889</f>
        <v>6.6060059520000003</v>
      </c>
      <c r="AE472" s="6">
        <f>[1]Emissions!AD889</f>
        <v>6.6726956709999996</v>
      </c>
      <c r="AF472" s="6">
        <f>[1]Emissions!AE889</f>
        <v>6.7390679249999996</v>
      </c>
      <c r="AG472" s="6">
        <f>[1]Emissions!AF889</f>
        <v>6.8053608969999999</v>
      </c>
      <c r="AH472" s="6">
        <f>[1]Emissions!AG889</f>
        <v>6.8718127869999996</v>
      </c>
      <c r="AI472" s="6">
        <f>[1]Emissions!AH889</f>
        <v>6.9385721690000004</v>
      </c>
      <c r="AJ472" s="6">
        <f>[1]Emissions!AI889</f>
        <v>7.0056740570000002</v>
      </c>
      <c r="AK472" s="6">
        <f>[1]Emissions!AJ889</f>
        <v>7.0730653649999997</v>
      </c>
      <c r="AL472" s="6">
        <f>[1]Emissions!AK889</f>
        <v>7.1406517230000004</v>
      </c>
    </row>
    <row r="473" spans="2:38" x14ac:dyDescent="0.3">
      <c r="B473" s="6" t="str">
        <f>[1]Emissions!A890</f>
        <v>ems_ci_co2_sbfu_2</v>
      </c>
      <c r="C473" s="6">
        <f>[1]Emissions!B890</f>
        <v>3.9545121619999999</v>
      </c>
      <c r="D473" s="6">
        <f>[1]Emissions!C890</f>
        <v>4.04481001</v>
      </c>
      <c r="E473" s="6">
        <f>[1]Emissions!D890</f>
        <v>4.1261729359999997</v>
      </c>
      <c r="F473" s="6">
        <f>[1]Emissions!E890</f>
        <v>4.200607025</v>
      </c>
      <c r="G473" s="6">
        <f>[1]Emissions!F890</f>
        <v>4.2718718259999999</v>
      </c>
      <c r="H473" s="6">
        <f>[1]Emissions!G890</f>
        <v>4.3417089019999997</v>
      </c>
      <c r="I473" s="6">
        <f>[1]Emissions!H890</f>
        <v>4.4142384229999996</v>
      </c>
      <c r="J473" s="6">
        <f>[1]Emissions!I890</f>
        <v>4.4822394880000003</v>
      </c>
      <c r="K473" s="6">
        <f>[1]Emissions!J890</f>
        <v>4.54858954</v>
      </c>
      <c r="L473" s="6">
        <f>[1]Emissions!K890</f>
        <v>4.6138029830000002</v>
      </c>
      <c r="M473" s="6">
        <f>[1]Emissions!L890</f>
        <v>4.6824504740000004</v>
      </c>
      <c r="N473" s="6">
        <f>[1]Emissions!M890</f>
        <v>4.7463628140000003</v>
      </c>
      <c r="O473" s="6">
        <f>[1]Emissions!N890</f>
        <v>4.8094090610000002</v>
      </c>
      <c r="P473" s="6">
        <f>[1]Emissions!O890</f>
        <v>4.8724641799999997</v>
      </c>
      <c r="Q473" s="6">
        <f>[1]Emissions!P890</f>
        <v>4.9357333030000001</v>
      </c>
      <c r="R473" s="6">
        <f>[1]Emissions!Q890</f>
        <v>4.999205763</v>
      </c>
      <c r="S473" s="6">
        <f>[1]Emissions!R890</f>
        <v>5.062798677</v>
      </c>
      <c r="T473" s="6">
        <f>[1]Emissions!S890</f>
        <v>5.1264190440000004</v>
      </c>
      <c r="U473" s="6">
        <f>[1]Emissions!T890</f>
        <v>5.1900044039999997</v>
      </c>
      <c r="V473" s="6">
        <f>[1]Emissions!U890</f>
        <v>5.2535418160000003</v>
      </c>
      <c r="W473" s="6">
        <f>[1]Emissions!V890</f>
        <v>5.3136008739999996</v>
      </c>
      <c r="X473" s="6">
        <f>[1]Emissions!W890</f>
        <v>5.3765501809999998</v>
      </c>
      <c r="Y473" s="6">
        <f>[1]Emissions!X890</f>
        <v>5.4399713240000001</v>
      </c>
      <c r="Z473" s="6">
        <f>[1]Emissions!Y890</f>
        <v>5.5035251919999997</v>
      </c>
      <c r="AA473" s="6">
        <f>[1]Emissions!Z890</f>
        <v>5.5672577670000001</v>
      </c>
      <c r="AB473" s="6">
        <f>[1]Emissions!AA890</f>
        <v>5.6209929440000002</v>
      </c>
      <c r="AC473" s="6">
        <f>[1]Emissions!AB890</f>
        <v>5.6788547679999999</v>
      </c>
      <c r="AD473" s="6">
        <f>[1]Emissions!AC890</f>
        <v>5.7371508230000003</v>
      </c>
      <c r="AE473" s="6">
        <f>[1]Emissions!AD890</f>
        <v>5.7951607569999997</v>
      </c>
      <c r="AF473" s="6">
        <f>[1]Emissions!AE890</f>
        <v>5.8528929170000001</v>
      </c>
      <c r="AG473" s="6">
        <f>[1]Emissions!AF890</f>
        <v>5.9104978040000002</v>
      </c>
      <c r="AH473" s="6">
        <f>[1]Emissions!AG890</f>
        <v>5.9681093460000003</v>
      </c>
      <c r="AI473" s="6">
        <f>[1]Emissions!AH890</f>
        <v>6.0257992360000001</v>
      </c>
      <c r="AJ473" s="6">
        <f>[1]Emissions!AI890</f>
        <v>6.083570226</v>
      </c>
      <c r="AK473" s="6">
        <f>[1]Emissions!AJ890</f>
        <v>6.1413756959999999</v>
      </c>
      <c r="AL473" s="6">
        <f>[1]Emissions!AK890</f>
        <v>6.199147119</v>
      </c>
    </row>
    <row r="474" spans="2:3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</row>
    <row r="475" spans="2:38" x14ac:dyDescent="0.3">
      <c r="B475" s="6" t="str">
        <f>[1]Emissions!A892</f>
        <v>ems_mat_co2_sbfu_2</v>
      </c>
      <c r="C475" s="6">
        <f>[1]Emissions!B892</f>
        <v>3.2983469859999999</v>
      </c>
      <c r="D475" s="6">
        <f>[1]Emissions!C892</f>
        <v>3.3736618759999999</v>
      </c>
      <c r="E475" s="6">
        <f>[1]Emissions!D892</f>
        <v>3.4415244029999998</v>
      </c>
      <c r="F475" s="6">
        <f>[1]Emissions!E892</f>
        <v>3.5036077890000001</v>
      </c>
      <c r="G475" s="6">
        <f>[1]Emissions!F892</f>
        <v>3.5630477690000002</v>
      </c>
      <c r="H475" s="6">
        <f>[1]Emissions!G892</f>
        <v>3.6212969340000001</v>
      </c>
      <c r="I475" s="6">
        <f>[1]Emissions!H892</f>
        <v>3.681791799</v>
      </c>
      <c r="J475" s="6">
        <f>[1]Emissions!I892</f>
        <v>3.7385095810000002</v>
      </c>
      <c r="K475" s="6">
        <f>[1]Emissions!J892</f>
        <v>3.79385028</v>
      </c>
      <c r="L475" s="6">
        <f>[1]Emissions!K892</f>
        <v>3.8482429480000002</v>
      </c>
      <c r="M475" s="6">
        <f>[1]Emissions!L892</f>
        <v>3.9054998470000002</v>
      </c>
      <c r="N475" s="6">
        <f>[1]Emissions!M892</f>
        <v>3.9588072840000001</v>
      </c>
      <c r="O475" s="6">
        <f>[1]Emissions!N892</f>
        <v>4.0113923370000002</v>
      </c>
      <c r="P475" s="6">
        <f>[1]Emissions!O892</f>
        <v>4.0639847949999997</v>
      </c>
      <c r="Q475" s="6">
        <f>[1]Emissions!P892</f>
        <v>4.1167557590000001</v>
      </c>
      <c r="R475" s="6">
        <f>[1]Emissions!Q892</f>
        <v>4.1696963340000002</v>
      </c>
      <c r="S475" s="6">
        <f>[1]Emissions!R892</f>
        <v>4.2227373909999999</v>
      </c>
      <c r="T475" s="6">
        <f>[1]Emissions!S892</f>
        <v>4.2758013620000002</v>
      </c>
      <c r="U475" s="6">
        <f>[1]Emissions!T892</f>
        <v>4.3288361450000004</v>
      </c>
      <c r="V475" s="6">
        <f>[1]Emissions!U892</f>
        <v>4.3818309470000001</v>
      </c>
      <c r="W475" s="6">
        <f>[1]Emissions!V892</f>
        <v>4.4319245589999996</v>
      </c>
      <c r="X475" s="6">
        <f>[1]Emissions!W892</f>
        <v>4.4844288470000002</v>
      </c>
      <c r="Y475" s="6">
        <f>[1]Emissions!X892</f>
        <v>4.5373266839999999</v>
      </c>
      <c r="Z475" s="6">
        <f>[1]Emissions!Y892</f>
        <v>4.590335219</v>
      </c>
      <c r="AA475" s="6">
        <f>[1]Emissions!Z892</f>
        <v>4.6434928080000004</v>
      </c>
      <c r="AB475" s="6">
        <f>[1]Emissions!AA892</f>
        <v>4.6883118430000001</v>
      </c>
      <c r="AC475" s="6">
        <f>[1]Emissions!AB892</f>
        <v>4.7365727929999997</v>
      </c>
      <c r="AD475" s="6">
        <f>[1]Emissions!AC892</f>
        <v>4.7851959180000003</v>
      </c>
      <c r="AE475" s="6">
        <f>[1]Emissions!AD892</f>
        <v>4.8335803909999999</v>
      </c>
      <c r="AF475" s="6">
        <f>[1]Emissions!AE892</f>
        <v>4.8817331749999999</v>
      </c>
      <c r="AG475" s="6">
        <f>[1]Emissions!AF892</f>
        <v>4.9297798009999996</v>
      </c>
      <c r="AH475" s="6">
        <f>[1]Emissions!AG892</f>
        <v>4.9778319729999998</v>
      </c>
      <c r="AI475" s="6">
        <f>[1]Emissions!AH892</f>
        <v>5.0259494929999997</v>
      </c>
      <c r="AJ475" s="6">
        <f>[1]Emissions!AI892</f>
        <v>5.0741346529999998</v>
      </c>
      <c r="AK475" s="6">
        <f>[1]Emissions!AJ892</f>
        <v>5.122348573</v>
      </c>
      <c r="AL475" s="6">
        <f>[1]Emissions!AK892</f>
        <v>5.1705340959999999</v>
      </c>
    </row>
    <row r="476" spans="2:38" x14ac:dyDescent="0.3">
      <c r="B476" s="6" t="str">
        <f>[1]Emissions!A893</f>
        <v>ems_ci_co2_seoi_2</v>
      </c>
      <c r="C476" s="6">
        <f>[1]Emissions!B893</f>
        <v>1.7965835640000001</v>
      </c>
      <c r="D476" s="6">
        <f>[1]Emissions!C893</f>
        <v>1.8092436620000001</v>
      </c>
      <c r="E476" s="6">
        <f>[1]Emissions!D893</f>
        <v>1.8214244669999999</v>
      </c>
      <c r="F476" s="6">
        <f>[1]Emissions!E893</f>
        <v>1.838670679</v>
      </c>
      <c r="G476" s="6">
        <f>[1]Emissions!F893</f>
        <v>1.86313179</v>
      </c>
      <c r="H476" s="6">
        <f>[1]Emissions!G893</f>
        <v>1.8952650980000001</v>
      </c>
      <c r="I476" s="6">
        <f>[1]Emissions!H893</f>
        <v>2.1399109429999998</v>
      </c>
      <c r="J476" s="6">
        <f>[1]Emissions!I893</f>
        <v>2.1923899069999999</v>
      </c>
      <c r="K476" s="6">
        <f>[1]Emissions!J893</f>
        <v>2.2086378450000002</v>
      </c>
      <c r="L476" s="6">
        <f>[1]Emissions!K893</f>
        <v>2.212050166</v>
      </c>
      <c r="M476" s="6">
        <f>[1]Emissions!L893</f>
        <v>2.2094355139999999</v>
      </c>
      <c r="N476" s="6">
        <f>[1]Emissions!M893</f>
        <v>2.203179746</v>
      </c>
      <c r="O476" s="6">
        <f>[1]Emissions!N893</f>
        <v>2.1976247849999999</v>
      </c>
      <c r="P476" s="6">
        <f>[1]Emissions!O893</f>
        <v>2.19653842</v>
      </c>
      <c r="Q476" s="6">
        <f>[1]Emissions!P893</f>
        <v>2.2023446240000002</v>
      </c>
      <c r="R476" s="6">
        <f>[1]Emissions!Q893</f>
        <v>2.215573016</v>
      </c>
      <c r="S476" s="6">
        <f>[1]Emissions!R893</f>
        <v>2.236236012</v>
      </c>
      <c r="T476" s="6">
        <f>[1]Emissions!S893</f>
        <v>2.2639269830000002</v>
      </c>
      <c r="U476" s="6">
        <f>[1]Emissions!T893</f>
        <v>2.2979234759999998</v>
      </c>
      <c r="V476" s="6">
        <f>[1]Emissions!U893</f>
        <v>2.3373208839999999</v>
      </c>
      <c r="W476" s="6">
        <f>[1]Emissions!V893</f>
        <v>2.380185403</v>
      </c>
      <c r="X476" s="6">
        <f>[1]Emissions!W893</f>
        <v>2.4267045330000001</v>
      </c>
      <c r="Y476" s="6">
        <f>[1]Emissions!X893</f>
        <v>2.4756043839999999</v>
      </c>
      <c r="Z476" s="6">
        <f>[1]Emissions!Y893</f>
        <v>2.5256967549999998</v>
      </c>
      <c r="AA476" s="6">
        <f>[1]Emissions!Z893</f>
        <v>2.5760265549999999</v>
      </c>
      <c r="AB476" s="6">
        <f>[1]Emissions!AA893</f>
        <v>2.622536298</v>
      </c>
      <c r="AC476" s="6">
        <f>[1]Emissions!AB893</f>
        <v>2.6676703289999999</v>
      </c>
      <c r="AD476" s="6">
        <f>[1]Emissions!AC893</f>
        <v>2.7102166620000001</v>
      </c>
      <c r="AE476" s="6">
        <f>[1]Emissions!AD893</f>
        <v>2.7495270079999998</v>
      </c>
      <c r="AF476" s="6">
        <f>[1]Emissions!AE893</f>
        <v>2.7858461139999999</v>
      </c>
      <c r="AG476" s="6">
        <f>[1]Emissions!AF893</f>
        <v>2.819989037</v>
      </c>
      <c r="AH476" s="6">
        <f>[1]Emissions!AG893</f>
        <v>2.8530131550000002</v>
      </c>
      <c r="AI476" s="6">
        <f>[1]Emissions!AH893</f>
        <v>2.8859501700000001</v>
      </c>
      <c r="AJ476" s="6">
        <f>[1]Emissions!AI893</f>
        <v>2.9195344780000001</v>
      </c>
      <c r="AK476" s="6">
        <f>[1]Emissions!AJ893</f>
        <v>2.9542269569999999</v>
      </c>
      <c r="AL476" s="6">
        <f>[1]Emissions!AK893</f>
        <v>2.9902765630000001</v>
      </c>
    </row>
    <row r="477" spans="2:3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</row>
    <row r="478" spans="2:38" x14ac:dyDescent="0.3">
      <c r="B478" s="6" t="str">
        <f>[1]Emissions!A895</f>
        <v>ems_mat_co2_seoi_2</v>
      </c>
      <c r="C478" s="6">
        <f>[1]Emissions!B895</f>
        <v>0.12313280660000001</v>
      </c>
      <c r="D478" s="6">
        <f>[1]Emissions!C895</f>
        <v>0.12400049439999999</v>
      </c>
      <c r="E478" s="6">
        <f>[1]Emissions!D895</f>
        <v>0.1248353326</v>
      </c>
      <c r="F478" s="6">
        <f>[1]Emissions!E895</f>
        <v>0.12601733970000001</v>
      </c>
      <c r="G478" s="6">
        <f>[1]Emissions!F895</f>
        <v>0.12769383570000001</v>
      </c>
      <c r="H478" s="6">
        <f>[1]Emissions!G895</f>
        <v>0.12989616270000001</v>
      </c>
      <c r="I478" s="6">
        <f>[1]Emissions!H895</f>
        <v>0.14666350380000001</v>
      </c>
      <c r="J478" s="6">
        <f>[1]Emissions!I895</f>
        <v>0.15026026410000001</v>
      </c>
      <c r="K478" s="6">
        <f>[1]Emissions!J895</f>
        <v>0.15137385210000001</v>
      </c>
      <c r="L478" s="6">
        <f>[1]Emissions!K895</f>
        <v>0.151607723</v>
      </c>
      <c r="M478" s="6">
        <f>[1]Emissions!L895</f>
        <v>0.15142852209999999</v>
      </c>
      <c r="N478" s="6">
        <f>[1]Emissions!M895</f>
        <v>0.1509997693</v>
      </c>
      <c r="O478" s="6">
        <f>[1]Emissions!N895</f>
        <v>0.1506190479</v>
      </c>
      <c r="P478" s="6">
        <f>[1]Emissions!O895</f>
        <v>0.15054459140000001</v>
      </c>
      <c r="Q478" s="6">
        <f>[1]Emissions!P895</f>
        <v>0.15094253229999999</v>
      </c>
      <c r="R478" s="6">
        <f>[1]Emissions!Q895</f>
        <v>0.1518491693</v>
      </c>
      <c r="S478" s="6">
        <f>[1]Emissions!R895</f>
        <v>0.15326535320000001</v>
      </c>
      <c r="T478" s="6">
        <f>[1]Emissions!S895</f>
        <v>0.1551632148</v>
      </c>
      <c r="U478" s="6">
        <f>[1]Emissions!T895</f>
        <v>0.1574932392</v>
      </c>
      <c r="V478" s="6">
        <f>[1]Emissions!U895</f>
        <v>0.16019342719999999</v>
      </c>
      <c r="W478" s="6">
        <f>[1]Emissions!V895</f>
        <v>0.16313124130000001</v>
      </c>
      <c r="X478" s="6">
        <f>[1]Emissions!W895</f>
        <v>0.16631953220000001</v>
      </c>
      <c r="Y478" s="6">
        <f>[1]Emissions!X895</f>
        <v>0.16967099099999999</v>
      </c>
      <c r="Z478" s="6">
        <f>[1]Emissions!Y895</f>
        <v>0.17310418180000001</v>
      </c>
      <c r="AA478" s="6">
        <f>[1]Emissions!Z895</f>
        <v>0.17655364530000001</v>
      </c>
      <c r="AB478" s="6">
        <f>[1]Emissions!AA895</f>
        <v>0.17974129289999999</v>
      </c>
      <c r="AC478" s="6">
        <f>[1]Emissions!AB895</f>
        <v>0.18283465300000001</v>
      </c>
      <c r="AD478" s="6">
        <f>[1]Emissions!AC895</f>
        <v>0.18575065939999999</v>
      </c>
      <c r="AE478" s="6">
        <f>[1]Emissions!AD895</f>
        <v>0.18844488039999999</v>
      </c>
      <c r="AF478" s="6">
        <f>[1]Emissions!AE895</f>
        <v>0.1909340903</v>
      </c>
      <c r="AG478" s="6">
        <f>[1]Emissions!AF895</f>
        <v>0.1932741506</v>
      </c>
      <c r="AH478" s="6">
        <f>[1]Emissions!AG895</f>
        <v>0.19553753109999999</v>
      </c>
      <c r="AI478" s="6">
        <f>[1]Emissions!AH895</f>
        <v>0.19779494189999999</v>
      </c>
      <c r="AJ478" s="6">
        <f>[1]Emissions!AI895</f>
        <v>0.2000967163</v>
      </c>
      <c r="AK478" s="6">
        <f>[1]Emissions!AJ895</f>
        <v>0.2024744416</v>
      </c>
      <c r="AL478" s="6">
        <f>[1]Emissions!AK895</f>
        <v>0.20494518070000001</v>
      </c>
    </row>
    <row r="479" spans="2:38" x14ac:dyDescent="0.3">
      <c r="B479" s="6" t="str">
        <f>[1]Emissions!A896</f>
        <v>ems_ci_co2_sega_2</v>
      </c>
      <c r="C479" s="6">
        <f>[1]Emissions!B896</f>
        <v>4.5519221050000001</v>
      </c>
      <c r="D479" s="6">
        <f>[1]Emissions!C896</f>
        <v>4.5839984229999997</v>
      </c>
      <c r="E479" s="6">
        <f>[1]Emissions!D896</f>
        <v>4.6148603750000001</v>
      </c>
      <c r="F479" s="6">
        <f>[1]Emissions!E896</f>
        <v>4.6585563199999998</v>
      </c>
      <c r="G479" s="6">
        <f>[1]Emissions!F896</f>
        <v>4.7205323259999998</v>
      </c>
      <c r="H479" s="6">
        <f>[1]Emissions!G896</f>
        <v>4.8019470279999998</v>
      </c>
      <c r="I479" s="6">
        <f>[1]Emissions!H896</f>
        <v>5.4217950869999996</v>
      </c>
      <c r="J479" s="6">
        <f>[1]Emissions!I896</f>
        <v>5.5547586530000004</v>
      </c>
      <c r="K479" s="6">
        <f>[1]Emissions!J896</f>
        <v>5.5959253130000004</v>
      </c>
      <c r="L479" s="6">
        <f>[1]Emissions!K896</f>
        <v>5.6045709520000004</v>
      </c>
      <c r="M479" s="6">
        <f>[1]Emissions!L896</f>
        <v>5.5979463269999998</v>
      </c>
      <c r="N479" s="6">
        <f>[1]Emissions!M896</f>
        <v>5.5820963709999996</v>
      </c>
      <c r="O479" s="6">
        <f>[1]Emissions!N896</f>
        <v>5.5680220189999998</v>
      </c>
      <c r="P479" s="6">
        <f>[1]Emissions!O896</f>
        <v>5.5652695440000004</v>
      </c>
      <c r="Q479" s="6">
        <f>[1]Emissions!P896</f>
        <v>5.5799804589999997</v>
      </c>
      <c r="R479" s="6">
        <f>[1]Emissions!Q896</f>
        <v>5.6134966359999998</v>
      </c>
      <c r="S479" s="6">
        <f>[1]Emissions!R896</f>
        <v>5.6658495289999999</v>
      </c>
      <c r="T479" s="6">
        <f>[1]Emissions!S896</f>
        <v>5.7360088850000004</v>
      </c>
      <c r="U479" s="6">
        <f>[1]Emissions!T896</f>
        <v>5.8221442530000003</v>
      </c>
      <c r="V479" s="6">
        <f>[1]Emissions!U896</f>
        <v>5.9219636749999998</v>
      </c>
      <c r="W479" s="6">
        <f>[1]Emissions!V896</f>
        <v>6.0305675580000004</v>
      </c>
      <c r="X479" s="6">
        <f>[1]Emissions!W896</f>
        <v>6.1484309619999999</v>
      </c>
      <c r="Y479" s="6">
        <f>[1]Emissions!X896</f>
        <v>6.2723262929999999</v>
      </c>
      <c r="Z479" s="6">
        <f>[1]Emissions!Y896</f>
        <v>6.3992430569999996</v>
      </c>
      <c r="AA479" s="6">
        <f>[1]Emissions!Z896</f>
        <v>6.5267613830000002</v>
      </c>
      <c r="AB479" s="6">
        <f>[1]Emissions!AA896</f>
        <v>6.6446010040000001</v>
      </c>
      <c r="AC479" s="6">
        <f>[1]Emissions!AB896</f>
        <v>6.7589550479999998</v>
      </c>
      <c r="AD479" s="6">
        <f>[1]Emissions!AC896</f>
        <v>6.8667527570000004</v>
      </c>
      <c r="AE479" s="6">
        <f>[1]Emissions!AD896</f>
        <v>6.9663515939999998</v>
      </c>
      <c r="AF479" s="6">
        <f>[1]Emissions!AE896</f>
        <v>7.058371663</v>
      </c>
      <c r="AG479" s="6">
        <f>[1]Emissions!AF896</f>
        <v>7.1448780349999996</v>
      </c>
      <c r="AH479" s="6">
        <f>[1]Emissions!AG896</f>
        <v>7.2285497420000002</v>
      </c>
      <c r="AI479" s="6">
        <f>[1]Emissions!AH896</f>
        <v>7.3120007600000001</v>
      </c>
      <c r="AJ479" s="6">
        <f>[1]Emissions!AI896</f>
        <v>7.3970917949999997</v>
      </c>
      <c r="AK479" s="6">
        <f>[1]Emissions!AJ896</f>
        <v>7.4849905530000003</v>
      </c>
      <c r="AL479" s="6">
        <f>[1]Emissions!AK896</f>
        <v>7.5763278029999999</v>
      </c>
    </row>
    <row r="480" spans="2:3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</row>
    <row r="481" spans="2:38" x14ac:dyDescent="0.3">
      <c r="B481" s="6" t="str">
        <f>[1]Emissions!A898</f>
        <v>ems_mat_co2_sega_2</v>
      </c>
      <c r="C481" s="6">
        <f>[1]Emissions!B898</f>
        <v>0.31197599469999998</v>
      </c>
      <c r="D481" s="6">
        <f>[1]Emissions!C898</f>
        <v>0.31417441559999998</v>
      </c>
      <c r="E481" s="6">
        <f>[1]Emissions!D898</f>
        <v>0.31628960740000001</v>
      </c>
      <c r="F481" s="6">
        <f>[1]Emissions!E898</f>
        <v>0.31928440499999999</v>
      </c>
      <c r="G481" s="6">
        <f>[1]Emissions!F898</f>
        <v>0.32353206680000002</v>
      </c>
      <c r="H481" s="6">
        <f>[1]Emissions!G898</f>
        <v>0.32911200239999999</v>
      </c>
      <c r="I481" s="6">
        <f>[1]Emissions!H898</f>
        <v>0.3715946483</v>
      </c>
      <c r="J481" s="6">
        <f>[1]Emissions!I898</f>
        <v>0.38070759850000002</v>
      </c>
      <c r="K481" s="6">
        <f>[1]Emissions!J898</f>
        <v>0.3835290462</v>
      </c>
      <c r="L481" s="6">
        <f>[1]Emissions!K898</f>
        <v>0.38412159420000003</v>
      </c>
      <c r="M481" s="6">
        <f>[1]Emissions!L898</f>
        <v>0.38366756099999999</v>
      </c>
      <c r="N481" s="6">
        <f>[1]Emissions!M898</f>
        <v>0.3825812495</v>
      </c>
      <c r="O481" s="6">
        <f>[1]Emissions!N898</f>
        <v>0.38161663289999997</v>
      </c>
      <c r="P481" s="6">
        <f>[1]Emissions!O898</f>
        <v>0.381427986</v>
      </c>
      <c r="Q481" s="6">
        <f>[1]Emissions!P898</f>
        <v>0.38243623090000001</v>
      </c>
      <c r="R481" s="6">
        <f>[1]Emissions!Q898</f>
        <v>0.38473333580000002</v>
      </c>
      <c r="S481" s="6">
        <f>[1]Emissions!R898</f>
        <v>0.38832145639999999</v>
      </c>
      <c r="T481" s="6">
        <f>[1]Emissions!S898</f>
        <v>0.3931299821</v>
      </c>
      <c r="U481" s="6">
        <f>[1]Emissions!T898</f>
        <v>0.39903345899999998</v>
      </c>
      <c r="V481" s="6">
        <f>[1]Emissions!U898</f>
        <v>0.40587480259999997</v>
      </c>
      <c r="W481" s="6">
        <f>[1]Emissions!V898</f>
        <v>0.41331820850000001</v>
      </c>
      <c r="X481" s="6">
        <f>[1]Emissions!W898</f>
        <v>0.42139623609999999</v>
      </c>
      <c r="Y481" s="6">
        <f>[1]Emissions!X898</f>
        <v>0.42988767509999998</v>
      </c>
      <c r="Z481" s="6">
        <f>[1]Emissions!Y898</f>
        <v>0.43858619450000003</v>
      </c>
      <c r="AA481" s="6">
        <f>[1]Emissions!Z898</f>
        <v>0.44732594339999998</v>
      </c>
      <c r="AB481" s="6">
        <f>[1]Emissions!AA898</f>
        <v>0.45540234089999998</v>
      </c>
      <c r="AC481" s="6">
        <f>[1]Emissions!AB898</f>
        <v>0.46323984680000002</v>
      </c>
      <c r="AD481" s="6">
        <f>[1]Emissions!AC898</f>
        <v>0.47062799970000002</v>
      </c>
      <c r="AE481" s="6">
        <f>[1]Emissions!AD898</f>
        <v>0.47745422500000001</v>
      </c>
      <c r="AF481" s="6">
        <f>[1]Emissions!AE898</f>
        <v>0.4837610228</v>
      </c>
      <c r="AG481" s="6">
        <f>[1]Emissions!AF898</f>
        <v>0.48968992719999999</v>
      </c>
      <c r="AH481" s="6">
        <f>[1]Emissions!AG898</f>
        <v>0.49542455159999998</v>
      </c>
      <c r="AI481" s="6">
        <f>[1]Emissions!AH898</f>
        <v>0.5011440506</v>
      </c>
      <c r="AJ481" s="6">
        <f>[1]Emissions!AI898</f>
        <v>0.50697595179999999</v>
      </c>
      <c r="AK481" s="6">
        <f>[1]Emissions!AJ898</f>
        <v>0.51300028630000005</v>
      </c>
      <c r="AL481" s="6">
        <f>[1]Emissions!AK898</f>
        <v>0.51926028560000004</v>
      </c>
    </row>
    <row r="482" spans="2:38" x14ac:dyDescent="0.3">
      <c r="B482" s="6" t="str">
        <f>[1]Emissions!A899</f>
        <v>ems_ci_co2_seco_2</v>
      </c>
      <c r="C482" s="6">
        <f>[1]Emissions!B899</f>
        <v>4.5405955139999996</v>
      </c>
      <c r="D482" s="6">
        <f>[1]Emissions!C899</f>
        <v>4.5725920130000004</v>
      </c>
      <c r="E482" s="6">
        <f>[1]Emissions!D899</f>
        <v>4.6033771659999996</v>
      </c>
      <c r="F482" s="6">
        <f>[1]Emissions!E899</f>
        <v>4.6469643749999996</v>
      </c>
      <c r="G482" s="6">
        <f>[1]Emissions!F899</f>
        <v>4.7087861579999997</v>
      </c>
      <c r="H482" s="6">
        <f>[1]Emissions!G899</f>
        <v>4.7899982679999997</v>
      </c>
      <c r="I482" s="6">
        <f>[1]Emissions!H899</f>
        <v>5.4083039429999999</v>
      </c>
      <c r="J482" s="6">
        <f>[1]Emissions!I899</f>
        <v>5.540936651</v>
      </c>
      <c r="K482" s="6">
        <f>[1]Emissions!J899</f>
        <v>5.5820008760000004</v>
      </c>
      <c r="L482" s="6">
        <f>[1]Emissions!K899</f>
        <v>5.5906250039999996</v>
      </c>
      <c r="M482" s="6">
        <f>[1]Emissions!L899</f>
        <v>5.5840168659999998</v>
      </c>
      <c r="N482" s="6">
        <f>[1]Emissions!M899</f>
        <v>5.5682063529999999</v>
      </c>
      <c r="O482" s="6">
        <f>[1]Emissions!N899</f>
        <v>5.554167026</v>
      </c>
      <c r="P482" s="6">
        <f>[1]Emissions!O899</f>
        <v>5.5514214019999999</v>
      </c>
      <c r="Q482" s="6">
        <f>[1]Emissions!P899</f>
        <v>5.5660957140000002</v>
      </c>
      <c r="R482" s="6">
        <f>[1]Emissions!Q899</f>
        <v>5.5995284940000003</v>
      </c>
      <c r="S482" s="6">
        <f>[1]Emissions!R899</f>
        <v>5.651751118</v>
      </c>
      <c r="T482" s="6">
        <f>[1]Emissions!S899</f>
        <v>5.7217358970000003</v>
      </c>
      <c r="U482" s="6">
        <f>[1]Emissions!T899</f>
        <v>5.8076569349999998</v>
      </c>
      <c r="V482" s="6">
        <f>[1]Emissions!U899</f>
        <v>5.9072279759999997</v>
      </c>
      <c r="W482" s="6">
        <f>[1]Emissions!V899</f>
        <v>6.0155616199999997</v>
      </c>
      <c r="X482" s="6">
        <f>[1]Emissions!W899</f>
        <v>6.1331317439999999</v>
      </c>
      <c r="Y482" s="6">
        <f>[1]Emissions!X899</f>
        <v>6.2567187840000003</v>
      </c>
      <c r="Z482" s="6">
        <f>[1]Emissions!Y899</f>
        <v>6.383319739</v>
      </c>
      <c r="AA482" s="6">
        <f>[1]Emissions!Z899</f>
        <v>6.5105207590000003</v>
      </c>
      <c r="AB482" s="6">
        <f>[1]Emissions!AA899</f>
        <v>6.6280671590000004</v>
      </c>
      <c r="AC482" s="6">
        <f>[1]Emissions!AB899</f>
        <v>6.7421366550000004</v>
      </c>
      <c r="AD482" s="6">
        <f>[1]Emissions!AC899</f>
        <v>6.849666129</v>
      </c>
      <c r="AE482" s="6">
        <f>[1]Emissions!AD899</f>
        <v>6.9490171329999999</v>
      </c>
      <c r="AF482" s="6">
        <f>[1]Emissions!AE899</f>
        <v>7.0408082270000003</v>
      </c>
      <c r="AG482" s="6">
        <f>[1]Emissions!AF899</f>
        <v>7.1270993450000004</v>
      </c>
      <c r="AH482" s="6">
        <f>[1]Emissions!AG899</f>
        <v>7.2105628499999996</v>
      </c>
      <c r="AI482" s="6">
        <f>[1]Emissions!AH899</f>
        <v>7.2938062160000001</v>
      </c>
      <c r="AJ482" s="6">
        <f>[1]Emissions!AI899</f>
        <v>7.3786855170000001</v>
      </c>
      <c r="AK482" s="6">
        <f>[1]Emissions!AJ899</f>
        <v>7.4663655540000002</v>
      </c>
      <c r="AL482" s="6">
        <f>[1]Emissions!AK899</f>
        <v>7.5574755290000004</v>
      </c>
    </row>
    <row r="483" spans="2:3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</row>
    <row r="484" spans="2:38" x14ac:dyDescent="0.3">
      <c r="B484" s="6" t="str">
        <f>[1]Emissions!A901</f>
        <v>ems_mat_co2_seco_2</v>
      </c>
      <c r="C484" s="6">
        <f>[1]Emissions!B901</f>
        <v>0.31119970200000002</v>
      </c>
      <c r="D484" s="6">
        <f>[1]Emissions!C901</f>
        <v>0.31339265259999999</v>
      </c>
      <c r="E484" s="6">
        <f>[1]Emissions!D901</f>
        <v>0.31550258110000001</v>
      </c>
      <c r="F484" s="6">
        <f>[1]Emissions!E901</f>
        <v>0.31848992669999998</v>
      </c>
      <c r="G484" s="6">
        <f>[1]Emissions!F901</f>
        <v>0.322727019</v>
      </c>
      <c r="H484" s="6">
        <f>[1]Emissions!G901</f>
        <v>0.32829307000000002</v>
      </c>
      <c r="I484" s="6">
        <f>[1]Emissions!H901</f>
        <v>0.37067001020000001</v>
      </c>
      <c r="J484" s="6">
        <f>[1]Emissions!I901</f>
        <v>0.37976028229999997</v>
      </c>
      <c r="K484" s="6">
        <f>[1]Emissions!J901</f>
        <v>0.38257470910000002</v>
      </c>
      <c r="L484" s="6">
        <f>[1]Emissions!K901</f>
        <v>0.3831657826</v>
      </c>
      <c r="M484" s="6">
        <f>[1]Emissions!L901</f>
        <v>0.38271287920000002</v>
      </c>
      <c r="N484" s="6">
        <f>[1]Emissions!M901</f>
        <v>0.38162927079999998</v>
      </c>
      <c r="O484" s="6">
        <f>[1]Emissions!N901</f>
        <v>0.38066705439999998</v>
      </c>
      <c r="P484" s="6">
        <f>[1]Emissions!O901</f>
        <v>0.38047887689999998</v>
      </c>
      <c r="Q484" s="6">
        <f>[1]Emissions!P901</f>
        <v>0.38148461299999997</v>
      </c>
      <c r="R484" s="6">
        <f>[1]Emissions!Q901</f>
        <v>0.3837760019</v>
      </c>
      <c r="S484" s="6">
        <f>[1]Emissions!R901</f>
        <v>0.38735519429999998</v>
      </c>
      <c r="T484" s="6">
        <f>[1]Emissions!S901</f>
        <v>0.39215175489999998</v>
      </c>
      <c r="U484" s="6">
        <f>[1]Emissions!T901</f>
        <v>0.39804054210000001</v>
      </c>
      <c r="V484" s="6">
        <f>[1]Emissions!U901</f>
        <v>0.40486486240000003</v>
      </c>
      <c r="W484" s="6">
        <f>[1]Emissions!V901</f>
        <v>0.41228974680000002</v>
      </c>
      <c r="X484" s="6">
        <f>[1]Emissions!W901</f>
        <v>0.42034767379999999</v>
      </c>
      <c r="Y484" s="6">
        <f>[1]Emissions!X901</f>
        <v>0.4288179835</v>
      </c>
      <c r="Z484" s="6">
        <f>[1]Emissions!Y901</f>
        <v>0.43749485840000002</v>
      </c>
      <c r="AA484" s="6">
        <f>[1]Emissions!Z901</f>
        <v>0.4462128601</v>
      </c>
      <c r="AB484" s="6">
        <f>[1]Emissions!AA901</f>
        <v>0.45426916109999999</v>
      </c>
      <c r="AC484" s="6">
        <f>[1]Emissions!AB901</f>
        <v>0.46208716480000001</v>
      </c>
      <c r="AD484" s="6">
        <f>[1]Emissions!AC901</f>
        <v>0.46945693379999998</v>
      </c>
      <c r="AE484" s="6">
        <f>[1]Emissions!AD901</f>
        <v>0.47626617339999999</v>
      </c>
      <c r="AF484" s="6">
        <f>[1]Emissions!AE901</f>
        <v>0.48255727790000003</v>
      </c>
      <c r="AG484" s="6">
        <f>[1]Emissions!AF901</f>
        <v>0.48847142939999999</v>
      </c>
      <c r="AH484" s="6">
        <f>[1]Emissions!AG901</f>
        <v>0.49419178429999999</v>
      </c>
      <c r="AI484" s="6">
        <f>[1]Emissions!AH901</f>
        <v>0.49989705140000001</v>
      </c>
      <c r="AJ484" s="6">
        <f>[1]Emissions!AI901</f>
        <v>0.50571444099999996</v>
      </c>
      <c r="AK484" s="6">
        <f>[1]Emissions!AJ901</f>
        <v>0.51172378519999995</v>
      </c>
      <c r="AL484" s="6">
        <f>[1]Emissions!AK901</f>
        <v>0.51796820769999996</v>
      </c>
    </row>
    <row r="485" spans="2:38" x14ac:dyDescent="0.3">
      <c r="B485" s="6" t="str">
        <f>[1]Emissions!A902</f>
        <v>ems_ci_co2_sech_2</v>
      </c>
      <c r="C485" s="6">
        <f>[1]Emissions!B902</f>
        <v>2.6042451780000002</v>
      </c>
      <c r="D485" s="6">
        <f>[1]Emissions!C902</f>
        <v>2.6288213690000002</v>
      </c>
      <c r="E485" s="6">
        <f>[1]Emissions!D902</f>
        <v>2.6542015800000001</v>
      </c>
      <c r="F485" s="6">
        <f>[1]Emissions!E902</f>
        <v>2.684795168</v>
      </c>
      <c r="G485" s="6">
        <f>[1]Emissions!F902</f>
        <v>2.7222521259999999</v>
      </c>
      <c r="H485" s="6">
        <f>[1]Emissions!G902</f>
        <v>2.7669076179999998</v>
      </c>
      <c r="I485" s="6">
        <f>[1]Emissions!H902</f>
        <v>3.1110997789999999</v>
      </c>
      <c r="J485" s="6">
        <f>[1]Emissions!I902</f>
        <v>3.184404732</v>
      </c>
      <c r="K485" s="6">
        <f>[1]Emissions!J902</f>
        <v>3.212218027</v>
      </c>
      <c r="L485" s="6">
        <f>[1]Emissions!K902</f>
        <v>3.2267777450000001</v>
      </c>
      <c r="M485" s="6">
        <f>[1]Emissions!L902</f>
        <v>3.2372483710000002</v>
      </c>
      <c r="N485" s="6">
        <f>[1]Emissions!M902</f>
        <v>3.2440700910000002</v>
      </c>
      <c r="O485" s="6">
        <f>[1]Emissions!N902</f>
        <v>3.251634857</v>
      </c>
      <c r="P485" s="6">
        <f>[1]Emissions!O902</f>
        <v>3.2641638130000001</v>
      </c>
      <c r="Q485" s="6">
        <f>[1]Emissions!P902</f>
        <v>3.284139401</v>
      </c>
      <c r="R485" s="6">
        <f>[1]Emissions!Q902</f>
        <v>3.3113337710000001</v>
      </c>
      <c r="S485" s="6">
        <f>[1]Emissions!R902</f>
        <v>3.3452449049999999</v>
      </c>
      <c r="T485" s="6">
        <f>[1]Emissions!S902</f>
        <v>3.3851807329999999</v>
      </c>
      <c r="U485" s="6">
        <f>[1]Emissions!T902</f>
        <v>3.4303100120000001</v>
      </c>
      <c r="V485" s="6">
        <f>[1]Emissions!U902</f>
        <v>3.4797598989999998</v>
      </c>
      <c r="W485" s="6">
        <f>[1]Emissions!V902</f>
        <v>3.5308331079999999</v>
      </c>
      <c r="X485" s="6">
        <f>[1]Emissions!W902</f>
        <v>3.5851170630000002</v>
      </c>
      <c r="Y485" s="6">
        <f>[1]Emissions!X902</f>
        <v>3.6416207759999999</v>
      </c>
      <c r="Z485" s="6">
        <f>[1]Emissions!Y902</f>
        <v>3.6992209620000001</v>
      </c>
      <c r="AA485" s="6">
        <f>[1]Emissions!Z902</f>
        <v>3.7571024419999999</v>
      </c>
      <c r="AB485" s="6">
        <f>[1]Emissions!AA902</f>
        <v>3.808818418</v>
      </c>
      <c r="AC485" s="6">
        <f>[1]Emissions!AB902</f>
        <v>3.8592427630000001</v>
      </c>
      <c r="AD485" s="6">
        <f>[1]Emissions!AC902</f>
        <v>3.907661413</v>
      </c>
      <c r="AE485" s="6">
        <f>[1]Emissions!AD902</f>
        <v>3.9533734159999998</v>
      </c>
      <c r="AF485" s="6">
        <f>[1]Emissions!AE902</f>
        <v>3.99658961</v>
      </c>
      <c r="AG485" s="6">
        <f>[1]Emissions!AF902</f>
        <v>4.0380777339999998</v>
      </c>
      <c r="AH485" s="6">
        <f>[1]Emissions!AG902</f>
        <v>4.0788351870000001</v>
      </c>
      <c r="AI485" s="6">
        <f>[1]Emissions!AH902</f>
        <v>4.119841675</v>
      </c>
      <c r="AJ485" s="6">
        <f>[1]Emissions!AI902</f>
        <v>4.1616988109999999</v>
      </c>
      <c r="AK485" s="6">
        <f>[1]Emissions!AJ902</f>
        <v>4.2047310380000003</v>
      </c>
      <c r="AL485" s="6">
        <f>[1]Emissions!AK902</f>
        <v>4.2490706300000003</v>
      </c>
    </row>
    <row r="486" spans="2:3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</row>
    <row r="487" spans="2:38" x14ac:dyDescent="0.3">
      <c r="B487" s="6" t="str">
        <f>[1]Emissions!A904</f>
        <v>ems_mat_co2_sech_2</v>
      </c>
      <c r="C487" s="6">
        <f>[1]Emissions!B904</f>
        <v>0.17848933659999999</v>
      </c>
      <c r="D487" s="6">
        <f>[1]Emissions!C904</f>
        <v>0.18016071819999999</v>
      </c>
      <c r="E487" s="6">
        <f>[1]Emissions!D904</f>
        <v>0.1818749754</v>
      </c>
      <c r="F487" s="6">
        <f>[1]Emissions!E904</f>
        <v>0.1839436948</v>
      </c>
      <c r="G487" s="6">
        <f>[1]Emissions!F904</f>
        <v>0.1864884463</v>
      </c>
      <c r="H487" s="6">
        <f>[1]Emissions!G904</f>
        <v>0.18953722009999999</v>
      </c>
      <c r="I487" s="6">
        <f>[1]Emissions!H904</f>
        <v>0.2131154841</v>
      </c>
      <c r="J487" s="6">
        <f>[1]Emissions!I904</f>
        <v>0.21810908940000001</v>
      </c>
      <c r="K487" s="6">
        <f>[1]Emissions!J904</f>
        <v>0.21996798349999999</v>
      </c>
      <c r="L487" s="6">
        <f>[1]Emissions!K904</f>
        <v>0.2209078126</v>
      </c>
      <c r="M487" s="6">
        <f>[1]Emissions!L904</f>
        <v>0.22156187620000001</v>
      </c>
      <c r="N487" s="6">
        <f>[1]Emissions!M904</f>
        <v>0.22196678989999999</v>
      </c>
      <c r="O487" s="6">
        <f>[1]Emissions!N904</f>
        <v>0.2224295788</v>
      </c>
      <c r="P487" s="6">
        <f>[1]Emissions!O904</f>
        <v>0.22324525170000001</v>
      </c>
      <c r="Q487" s="6">
        <f>[1]Emissions!P904</f>
        <v>0.2245883702</v>
      </c>
      <c r="R487" s="6">
        <f>[1]Emissions!Q904</f>
        <v>0.22644593290000001</v>
      </c>
      <c r="S487" s="6">
        <f>[1]Emissions!R904</f>
        <v>0.22878396740000001</v>
      </c>
      <c r="T487" s="6">
        <f>[1]Emissions!S904</f>
        <v>0.23155357560000001</v>
      </c>
      <c r="U487" s="6">
        <f>[1]Emissions!T904</f>
        <v>0.23469496710000001</v>
      </c>
      <c r="V487" s="6">
        <f>[1]Emissions!U904</f>
        <v>0.2381447511</v>
      </c>
      <c r="W487" s="6">
        <f>[1]Emissions!V904</f>
        <v>0.24171438610000001</v>
      </c>
      <c r="X487" s="6">
        <f>[1]Emissions!W904</f>
        <v>0.2455085253</v>
      </c>
      <c r="Y487" s="6">
        <f>[1]Emissions!X904</f>
        <v>0.249456177</v>
      </c>
      <c r="Z487" s="6">
        <f>[1]Emissions!Y904</f>
        <v>0.25347771650000001</v>
      </c>
      <c r="AA487" s="6">
        <f>[1]Emissions!Z904</f>
        <v>0.25751519769999998</v>
      </c>
      <c r="AB487" s="6">
        <f>[1]Emissions!AA904</f>
        <v>0.2611248867</v>
      </c>
      <c r="AC487" s="6">
        <f>[1]Emissions!AB904</f>
        <v>0.264639291</v>
      </c>
      <c r="AD487" s="6">
        <f>[1]Emissions!AC904</f>
        <v>0.26800898680000002</v>
      </c>
      <c r="AE487" s="6">
        <f>[1]Emissions!AD904</f>
        <v>0.27118580139999998</v>
      </c>
      <c r="AF487" s="6">
        <f>[1]Emissions!AE904</f>
        <v>0.27418466470000002</v>
      </c>
      <c r="AG487" s="6">
        <f>[1]Emissions!AF904</f>
        <v>0.2770592643</v>
      </c>
      <c r="AH487" s="6">
        <f>[1]Emissions!AG904</f>
        <v>0.27987938979999999</v>
      </c>
      <c r="AI487" s="6">
        <f>[1]Emissions!AH904</f>
        <v>0.28271368019999998</v>
      </c>
      <c r="AJ487" s="6">
        <f>[1]Emissions!AI904</f>
        <v>0.28560465330000001</v>
      </c>
      <c r="AK487" s="6">
        <f>[1]Emissions!AJ904</f>
        <v>0.2885755076</v>
      </c>
      <c r="AL487" s="6">
        <f>[1]Emissions!AK904</f>
        <v>0.29163594009999999</v>
      </c>
    </row>
    <row r="488" spans="2:38" x14ac:dyDescent="0.3">
      <c r="B488" s="6" t="str">
        <f>[1]Emissions!A905</f>
        <v>ems_ci_co2_seot_2</v>
      </c>
      <c r="C488" s="6">
        <f>[1]Emissions!B905</f>
        <v>1.7904729580000001</v>
      </c>
      <c r="D488" s="6">
        <f>[1]Emissions!C905</f>
        <v>1.803077649</v>
      </c>
      <c r="E488" s="6">
        <f>[1]Emissions!D905</f>
        <v>1.8153186020000001</v>
      </c>
      <c r="F488" s="6">
        <f>[1]Emissions!E905</f>
        <v>1.8326372710000001</v>
      </c>
      <c r="G488" s="6">
        <f>[1]Emissions!F905</f>
        <v>1.857115603</v>
      </c>
      <c r="H488" s="6">
        <f>[1]Emissions!G905</f>
        <v>1.88919126</v>
      </c>
      <c r="I488" s="6">
        <f>[1]Emissions!H905</f>
        <v>2.1331438710000001</v>
      </c>
      <c r="J488" s="6">
        <f>[1]Emissions!I905</f>
        <v>2.185983368</v>
      </c>
      <c r="K488" s="6">
        <f>[1]Emissions!J905</f>
        <v>2.2029915280000001</v>
      </c>
      <c r="L488" s="6">
        <f>[1]Emissions!K905</f>
        <v>2.2073309669999999</v>
      </c>
      <c r="M488" s="6">
        <f>[1]Emissions!L905</f>
        <v>2.2056394149999998</v>
      </c>
      <c r="N488" s="6">
        <f>[1]Emissions!M905</f>
        <v>2.2001823950000001</v>
      </c>
      <c r="O488" s="6">
        <f>[1]Emissions!N905</f>
        <v>2.1952311299999998</v>
      </c>
      <c r="P488" s="6">
        <f>[1]Emissions!O905</f>
        <v>2.1945232629999998</v>
      </c>
      <c r="Q488" s="6">
        <f>[1]Emissions!P905</f>
        <v>2.2004810350000001</v>
      </c>
      <c r="R488" s="6">
        <f>[1]Emissions!Q905</f>
        <v>2.21364787</v>
      </c>
      <c r="S488" s="6">
        <f>[1]Emissions!R905</f>
        <v>2.234054381</v>
      </c>
      <c r="T488" s="6">
        <f>[1]Emissions!S905</f>
        <v>2.2613128910000002</v>
      </c>
      <c r="U488" s="6">
        <f>[1]Emissions!T905</f>
        <v>2.294720893</v>
      </c>
      <c r="V488" s="6">
        <f>[1]Emissions!U905</f>
        <v>2.3333966500000001</v>
      </c>
      <c r="W488" s="6">
        <f>[1]Emissions!V905</f>
        <v>2.3754391680000002</v>
      </c>
      <c r="X488" s="6">
        <f>[1]Emissions!W905</f>
        <v>2.4210650020000002</v>
      </c>
      <c r="Y488" s="6">
        <f>[1]Emissions!X905</f>
        <v>2.469028378</v>
      </c>
      <c r="Z488" s="6">
        <f>[1]Emissions!Y905</f>
        <v>2.5181722770000001</v>
      </c>
      <c r="AA488" s="6">
        <f>[1]Emissions!Z905</f>
        <v>2.567572781</v>
      </c>
      <c r="AB488" s="6">
        <f>[1]Emissions!AA905</f>
        <v>2.6132204450000001</v>
      </c>
      <c r="AC488" s="6">
        <f>[1]Emissions!AB905</f>
        <v>2.65756982</v>
      </c>
      <c r="AD488" s="6">
        <f>[1]Emissions!AC905</f>
        <v>2.6994058490000001</v>
      </c>
      <c r="AE488" s="6">
        <f>[1]Emissions!AD905</f>
        <v>2.7380682460000001</v>
      </c>
      <c r="AF488" s="6">
        <f>[1]Emissions!AE905</f>
        <v>2.7737878359999999</v>
      </c>
      <c r="AG488" s="6">
        <f>[1]Emissions!AF905</f>
        <v>2.807369285</v>
      </c>
      <c r="AH488" s="6">
        <f>[1]Emissions!AG905</f>
        <v>2.8398640749999999</v>
      </c>
      <c r="AI488" s="6">
        <f>[1]Emissions!AH905</f>
        <v>2.872300509</v>
      </c>
      <c r="AJ488" s="6">
        <f>[1]Emissions!AI905</f>
        <v>2.905409895</v>
      </c>
      <c r="AK488" s="6">
        <f>[1]Emissions!AJ905</f>
        <v>2.9396482060000002</v>
      </c>
      <c r="AL488" s="6">
        <f>[1]Emissions!AK905</f>
        <v>2.9752574850000002</v>
      </c>
    </row>
    <row r="489" spans="2:3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</row>
    <row r="490" spans="2:38" x14ac:dyDescent="0.3">
      <c r="B490" s="6" t="str">
        <f>[1]Emissions!A907</f>
        <v>ems_mat_co2_seot_2</v>
      </c>
      <c r="C490" s="6">
        <f>[1]Emissions!B907</f>
        <v>0.1227229629</v>
      </c>
      <c r="D490" s="6">
        <f>[1]Emissions!C907</f>
        <v>0.1235877626</v>
      </c>
      <c r="E490" s="6">
        <f>[1]Emissions!D907</f>
        <v>0.12441982209999999</v>
      </c>
      <c r="F490" s="6">
        <f>[1]Emissions!E907</f>
        <v>0.12559789490000001</v>
      </c>
      <c r="G490" s="6">
        <f>[1]Emissions!F907</f>
        <v>0.12726881079999999</v>
      </c>
      <c r="H490" s="6">
        <f>[1]Emissions!G907</f>
        <v>0.12946380730000001</v>
      </c>
      <c r="I490" s="6">
        <f>[1]Emissions!H907</f>
        <v>0.14617533890000001</v>
      </c>
      <c r="J490" s="6">
        <f>[1]Emissions!I907</f>
        <v>0.14976012750000001</v>
      </c>
      <c r="K490" s="6">
        <f>[1]Emissions!J907</f>
        <v>0.150870009</v>
      </c>
      <c r="L490" s="6">
        <f>[1]Emissions!K907</f>
        <v>0.1511031014</v>
      </c>
      <c r="M490" s="6">
        <f>[1]Emissions!L907</f>
        <v>0.15092449699999999</v>
      </c>
      <c r="N490" s="6">
        <f>[1]Emissions!M907</f>
        <v>0.1504971712</v>
      </c>
      <c r="O490" s="6">
        <f>[1]Emissions!N907</f>
        <v>0.15011771700000001</v>
      </c>
      <c r="P490" s="6">
        <f>[1]Emissions!O907</f>
        <v>0.1500435084</v>
      </c>
      <c r="Q490" s="6">
        <f>[1]Emissions!P907</f>
        <v>0.15044012479999999</v>
      </c>
      <c r="R490" s="6">
        <f>[1]Emissions!Q907</f>
        <v>0.15134374410000001</v>
      </c>
      <c r="S490" s="6">
        <f>[1]Emissions!R907</f>
        <v>0.15275521419999999</v>
      </c>
      <c r="T490" s="6">
        <f>[1]Emissions!S907</f>
        <v>0.15464675880000001</v>
      </c>
      <c r="U490" s="6">
        <f>[1]Emissions!T907</f>
        <v>0.15696902779999999</v>
      </c>
      <c r="V490" s="6">
        <f>[1]Emissions!U907</f>
        <v>0.15966022830000001</v>
      </c>
      <c r="W490" s="6">
        <f>[1]Emissions!V907</f>
        <v>0.16258826400000001</v>
      </c>
      <c r="X490" s="6">
        <f>[1]Emissions!W907</f>
        <v>0.1657659427</v>
      </c>
      <c r="Y490" s="6">
        <f>[1]Emissions!X907</f>
        <v>0.16910624639999999</v>
      </c>
      <c r="Z490" s="6">
        <f>[1]Emissions!Y907</f>
        <v>0.1725280099</v>
      </c>
      <c r="AA490" s="6">
        <f>[1]Emissions!Z907</f>
        <v>0.17596599199999999</v>
      </c>
      <c r="AB490" s="6">
        <f>[1]Emissions!AA907</f>
        <v>0.1791430295</v>
      </c>
      <c r="AC490" s="6">
        <f>[1]Emissions!AB907</f>
        <v>0.18222609349999999</v>
      </c>
      <c r="AD490" s="6">
        <f>[1]Emissions!AC907</f>
        <v>0.18513239409999999</v>
      </c>
      <c r="AE490" s="6">
        <f>[1]Emissions!AD907</f>
        <v>0.18781764749999999</v>
      </c>
      <c r="AF490" s="6">
        <f>[1]Emissions!AE907</f>
        <v>0.19029857210000001</v>
      </c>
      <c r="AG490" s="6">
        <f>[1]Emissions!AF907</f>
        <v>0.19263084359999999</v>
      </c>
      <c r="AH490" s="6">
        <f>[1]Emissions!AG907</f>
        <v>0.19488669049999999</v>
      </c>
      <c r="AI490" s="6">
        <f>[1]Emissions!AH907</f>
        <v>0.19713658749999999</v>
      </c>
      <c r="AJ490" s="6">
        <f>[1]Emissions!AI907</f>
        <v>0.19943070060000001</v>
      </c>
      <c r="AK490" s="6">
        <f>[1]Emissions!AJ907</f>
        <v>0.20180051169999999</v>
      </c>
      <c r="AL490" s="6">
        <f>[1]Emissions!AK907</f>
        <v>0.20426302700000001</v>
      </c>
    </row>
    <row r="491" spans="2:3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spans="2:38" hidden="1" x14ac:dyDescent="0.3">
      <c r="B492" s="16" t="str">
        <f>[1]Emissions!A908</f>
        <v>ems_ci_co2_sagr_0</v>
      </c>
      <c r="C492" s="6">
        <f>[1]Emissions!B908</f>
        <v>11.870497739999999</v>
      </c>
      <c r="D492" s="6">
        <f>[1]Emissions!C908</f>
        <v>11.702132280000001</v>
      </c>
      <c r="E492" s="6">
        <f>[1]Emissions!D908</f>
        <v>11.5227465</v>
      </c>
      <c r="F492" s="6">
        <f>[1]Emissions!E908</f>
        <v>11.4023219</v>
      </c>
      <c r="G492" s="6">
        <f>[1]Emissions!F908</f>
        <v>11.363276989999999</v>
      </c>
      <c r="H492" s="6">
        <f>[1]Emissions!G908</f>
        <v>11.40434797</v>
      </c>
      <c r="I492" s="6">
        <f>[1]Emissions!H908</f>
        <v>11.50400578</v>
      </c>
      <c r="J492" s="6">
        <f>[1]Emissions!I908</f>
        <v>11.64515699</v>
      </c>
      <c r="K492" s="6">
        <f>[1]Emissions!J908</f>
        <v>11.8063258</v>
      </c>
      <c r="L492" s="6">
        <f>[1]Emissions!K908</f>
        <v>11.969334910000001</v>
      </c>
      <c r="M492" s="6">
        <f>[1]Emissions!L908</f>
        <v>12.13018722</v>
      </c>
      <c r="N492" s="6">
        <f>[1]Emissions!M908</f>
        <v>12.27428242</v>
      </c>
      <c r="O492" s="6">
        <f>[1]Emissions!N908</f>
        <v>12.40600946</v>
      </c>
      <c r="P492" s="6">
        <f>[1]Emissions!O908</f>
        <v>12.52599075</v>
      </c>
      <c r="Q492" s="6">
        <f>[1]Emissions!P908</f>
        <v>12.631937799999999</v>
      </c>
      <c r="R492" s="6">
        <f>[1]Emissions!Q908</f>
        <v>12.720613090000001</v>
      </c>
      <c r="S492" s="6">
        <f>[1]Emissions!R908</f>
        <v>12.78994876</v>
      </c>
      <c r="T492" s="6">
        <f>[1]Emissions!S908</f>
        <v>12.840313099999999</v>
      </c>
      <c r="U492" s="6">
        <f>[1]Emissions!T908</f>
        <v>12.87455308</v>
      </c>
      <c r="V492" s="6">
        <f>[1]Emissions!U908</f>
        <v>12.897109540000001</v>
      </c>
      <c r="W492" s="6">
        <f>[1]Emissions!V908</f>
        <v>12.90695064</v>
      </c>
      <c r="X492" s="6">
        <f>[1]Emissions!W908</f>
        <v>12.91613821</v>
      </c>
      <c r="Y492" s="6">
        <f>[1]Emissions!X908</f>
        <v>12.924904829999999</v>
      </c>
      <c r="Z492" s="6">
        <f>[1]Emissions!Y908</f>
        <v>12.9354531</v>
      </c>
      <c r="AA492" s="6">
        <f>[1]Emissions!Z908</f>
        <v>12.94987735</v>
      </c>
      <c r="AB492" s="6">
        <f>[1]Emissions!AA908</f>
        <v>12.95143322</v>
      </c>
      <c r="AC492" s="6">
        <f>[1]Emissions!AB908</f>
        <v>12.957573979999999</v>
      </c>
      <c r="AD492" s="6">
        <f>[1]Emissions!AC908</f>
        <v>12.9628435</v>
      </c>
      <c r="AE492" s="6">
        <f>[1]Emissions!AD908</f>
        <v>12.966471309999999</v>
      </c>
      <c r="AF492" s="6">
        <f>[1]Emissions!AE908</f>
        <v>12.9703385</v>
      </c>
      <c r="AG492" s="6">
        <f>[1]Emissions!AF908</f>
        <v>12.9773368</v>
      </c>
      <c r="AH492" s="6">
        <f>[1]Emissions!AG908</f>
        <v>12.98982696</v>
      </c>
      <c r="AI492" s="6">
        <f>[1]Emissions!AH908</f>
        <v>13.00871633</v>
      </c>
      <c r="AJ492" s="6">
        <f>[1]Emissions!AI908</f>
        <v>13.03334405</v>
      </c>
      <c r="AK492" s="6">
        <f>[1]Emissions!AJ908</f>
        <v>13.061998750000001</v>
      </c>
      <c r="AL492" s="6">
        <f>[1]Emissions!AK908</f>
        <v>13.092706160000001</v>
      </c>
    </row>
    <row r="493" spans="2:38" hidden="1" x14ac:dyDescent="0.3">
      <c r="B493" s="16" t="str">
        <f>[1]Emissions!A909</f>
        <v>ems_y_co2_sagr_0</v>
      </c>
      <c r="C493" s="6">
        <f>[1]Emissions!B909</f>
        <v>2.3514860020000001</v>
      </c>
      <c r="D493" s="6">
        <f>[1]Emissions!C909</f>
        <v>2.3361128940000002</v>
      </c>
      <c r="E493" s="6">
        <f>[1]Emissions!D909</f>
        <v>2.3253803419999999</v>
      </c>
      <c r="F493" s="6">
        <f>[1]Emissions!E909</f>
        <v>2.3230435360000001</v>
      </c>
      <c r="G493" s="6">
        <f>[1]Emissions!F909</f>
        <v>2.330045379</v>
      </c>
      <c r="H493" s="6">
        <f>[1]Emissions!G909</f>
        <v>2.3453704470000001</v>
      </c>
      <c r="I493" s="6">
        <f>[1]Emissions!H909</f>
        <v>2.365647821</v>
      </c>
      <c r="J493" s="6">
        <f>[1]Emissions!I909</f>
        <v>2.3890932720000002</v>
      </c>
      <c r="K493" s="6">
        <f>[1]Emissions!J909</f>
        <v>2.41367953</v>
      </c>
      <c r="L493" s="6">
        <f>[1]Emissions!K909</f>
        <v>2.437759588</v>
      </c>
      <c r="M493" s="6">
        <f>[1]Emissions!L909</f>
        <v>2.4624276410000001</v>
      </c>
      <c r="N493" s="6">
        <f>[1]Emissions!M909</f>
        <v>2.4836165509999999</v>
      </c>
      <c r="O493" s="6">
        <f>[1]Emissions!N909</f>
        <v>2.5015791059999999</v>
      </c>
      <c r="P493" s="6">
        <f>[1]Emissions!O909</f>
        <v>2.5162605</v>
      </c>
      <c r="Q493" s="6">
        <f>[1]Emissions!P909</f>
        <v>2.5279666239999998</v>
      </c>
      <c r="R493" s="6">
        <f>[1]Emissions!Q909</f>
        <v>2.537254769</v>
      </c>
      <c r="S493" s="6">
        <f>[1]Emissions!R909</f>
        <v>2.5448036159999998</v>
      </c>
      <c r="T493" s="6">
        <f>[1]Emissions!S909</f>
        <v>2.551295096</v>
      </c>
      <c r="U493" s="6">
        <f>[1]Emissions!T909</f>
        <v>2.5573284809999999</v>
      </c>
      <c r="V493" s="6">
        <f>[1]Emissions!U909</f>
        <v>2.5633739740000001</v>
      </c>
      <c r="W493" s="6">
        <f>[1]Emissions!V909</f>
        <v>2.568082124</v>
      </c>
      <c r="X493" s="6">
        <f>[1]Emissions!W909</f>
        <v>2.5741823240000001</v>
      </c>
      <c r="Y493" s="6">
        <f>[1]Emissions!X909</f>
        <v>2.581209211</v>
      </c>
      <c r="Z493" s="6">
        <f>[1]Emissions!Y909</f>
        <v>2.5891759169999999</v>
      </c>
      <c r="AA493" s="6">
        <f>[1]Emissions!Z909</f>
        <v>2.59799544</v>
      </c>
      <c r="AB493" s="6">
        <f>[1]Emissions!AA909</f>
        <v>2.602753163</v>
      </c>
      <c r="AC493" s="6">
        <f>[1]Emissions!AB909</f>
        <v>2.6084241370000001</v>
      </c>
      <c r="AD493" s="6">
        <f>[1]Emissions!AC909</f>
        <v>2.614273029</v>
      </c>
      <c r="AE493" s="6">
        <f>[1]Emissions!AD909</f>
        <v>2.62046321</v>
      </c>
      <c r="AF493" s="6">
        <f>[1]Emissions!AE909</f>
        <v>2.6270499389999999</v>
      </c>
      <c r="AG493" s="6">
        <f>[1]Emissions!AF909</f>
        <v>2.6340004069999998</v>
      </c>
      <c r="AH493" s="6">
        <f>[1]Emissions!AG909</f>
        <v>2.6412288679999998</v>
      </c>
      <c r="AI493" s="6">
        <f>[1]Emissions!AH909</f>
        <v>2.6486330969999998</v>
      </c>
      <c r="AJ493" s="6">
        <f>[1]Emissions!AI909</f>
        <v>2.6561213339999998</v>
      </c>
      <c r="AK493" s="6">
        <f>[1]Emissions!AJ909</f>
        <v>2.6636249539999999</v>
      </c>
      <c r="AL493" s="6">
        <f>[1]Emissions!AK909</f>
        <v>2.6710982799999998</v>
      </c>
    </row>
    <row r="494" spans="2:38" hidden="1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</row>
    <row r="495" spans="2:38" hidden="1" x14ac:dyDescent="0.3">
      <c r="B495" s="16" t="str">
        <f>[1]Emissions!A911</f>
        <v>ems_ci_co2_sfor_0</v>
      </c>
      <c r="C495" s="6">
        <f>[1]Emissions!B911</f>
        <v>0.51869948030000002</v>
      </c>
      <c r="D495" s="6">
        <f>[1]Emissions!C911</f>
        <v>0.50370094160000001</v>
      </c>
      <c r="E495" s="6">
        <f>[1]Emissions!D911</f>
        <v>0.48925613410000002</v>
      </c>
      <c r="F495" s="6">
        <f>[1]Emissions!E911</f>
        <v>0.47834147690000001</v>
      </c>
      <c r="G495" s="6">
        <f>[1]Emissions!F911</f>
        <v>0.47126483740000003</v>
      </c>
      <c r="H495" s="6">
        <f>[1]Emissions!G911</f>
        <v>0.46772937050000002</v>
      </c>
      <c r="I495" s="6">
        <f>[1]Emissions!H911</f>
        <v>0.46650730089999998</v>
      </c>
      <c r="J495" s="6">
        <f>[1]Emissions!I911</f>
        <v>0.46756402959999999</v>
      </c>
      <c r="K495" s="6">
        <f>[1]Emissions!J911</f>
        <v>0.4702129035</v>
      </c>
      <c r="L495" s="6">
        <f>[1]Emissions!K911</f>
        <v>0.47379692289999997</v>
      </c>
      <c r="M495" s="6">
        <f>[1]Emissions!L911</f>
        <v>0.4786888963</v>
      </c>
      <c r="N495" s="6">
        <f>[1]Emissions!M911</f>
        <v>0.48309471059999998</v>
      </c>
      <c r="O495" s="6">
        <f>[1]Emissions!N911</f>
        <v>0.48786820310000001</v>
      </c>
      <c r="P495" s="6">
        <f>[1]Emissions!O911</f>
        <v>0.49312247609999998</v>
      </c>
      <c r="Q495" s="6">
        <f>[1]Emissions!P911</f>
        <v>0.49862426570000001</v>
      </c>
      <c r="R495" s="6">
        <f>[1]Emissions!Q911</f>
        <v>0.50406992179999999</v>
      </c>
      <c r="S495" s="6">
        <f>[1]Emissions!R911</f>
        <v>0.50922145750000003</v>
      </c>
      <c r="T495" s="6">
        <f>[1]Emissions!S911</f>
        <v>0.51396532149999996</v>
      </c>
      <c r="U495" s="6">
        <f>[1]Emissions!T911</f>
        <v>0.51831428749999997</v>
      </c>
      <c r="V495" s="6">
        <f>[1]Emissions!U911</f>
        <v>0.52237038810000003</v>
      </c>
      <c r="W495" s="6">
        <f>[1]Emissions!V911</f>
        <v>0.52567928600000002</v>
      </c>
      <c r="X495" s="6">
        <f>[1]Emissions!W911</f>
        <v>0.52956265530000002</v>
      </c>
      <c r="Y495" s="6">
        <f>[1]Emissions!X911</f>
        <v>0.53354223879999996</v>
      </c>
      <c r="Z495" s="6">
        <f>[1]Emissions!Y911</f>
        <v>0.53755639300000002</v>
      </c>
      <c r="AA495" s="6">
        <f>[1]Emissions!Z911</f>
        <v>0.54170307100000004</v>
      </c>
      <c r="AB495" s="6">
        <f>[1]Emissions!AA911</f>
        <v>0.54427436770000004</v>
      </c>
      <c r="AC495" s="6">
        <f>[1]Emissions!AB911</f>
        <v>0.54820135739999998</v>
      </c>
      <c r="AD495" s="6">
        <f>[1]Emissions!AC911</f>
        <v>0.55249845610000003</v>
      </c>
      <c r="AE495" s="6">
        <f>[1]Emissions!AD911</f>
        <v>0.55680099130000005</v>
      </c>
      <c r="AF495" s="6">
        <f>[1]Emissions!AE911</f>
        <v>0.56113021510000005</v>
      </c>
      <c r="AG495" s="6">
        <f>[1]Emissions!AF911</f>
        <v>0.56562193059999999</v>
      </c>
      <c r="AH495" s="6">
        <f>[1]Emissions!AG911</f>
        <v>0.570397873</v>
      </c>
      <c r="AI495" s="6">
        <f>[1]Emissions!AH911</f>
        <v>0.57551295459999996</v>
      </c>
      <c r="AJ495" s="6">
        <f>[1]Emissions!AI911</f>
        <v>0.58094948550000003</v>
      </c>
      <c r="AK495" s="6">
        <f>[1]Emissions!AJ911</f>
        <v>0.586641195</v>
      </c>
      <c r="AL495" s="6">
        <f>[1]Emissions!AK911</f>
        <v>0.59250771229999999</v>
      </c>
    </row>
    <row r="496" spans="2:38" hidden="1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</row>
    <row r="497" spans="2:38" hidden="1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</row>
    <row r="498" spans="2:38" hidden="1" x14ac:dyDescent="0.3">
      <c r="B498" s="16" t="str">
        <f>[1]Emissions!A914</f>
        <v>ems_ci_co2_sfoo_0</v>
      </c>
      <c r="C498" s="6">
        <f>[1]Emissions!B914</f>
        <v>9.8745130159999999</v>
      </c>
      <c r="D498" s="6">
        <f>[1]Emissions!C914</f>
        <v>9.8694077199999999</v>
      </c>
      <c r="E498" s="6">
        <f>[1]Emissions!D914</f>
        <v>9.8505212550000003</v>
      </c>
      <c r="F498" s="6">
        <f>[1]Emissions!E914</f>
        <v>9.8486436929999996</v>
      </c>
      <c r="G498" s="6">
        <f>[1]Emissions!F914</f>
        <v>9.8734797929999996</v>
      </c>
      <c r="H498" s="6">
        <f>[1]Emissions!G914</f>
        <v>9.9243294500000001</v>
      </c>
      <c r="I498" s="6">
        <f>[1]Emissions!H914</f>
        <v>9.9897222390000007</v>
      </c>
      <c r="J498" s="6">
        <f>[1]Emissions!I914</f>
        <v>10.06466034</v>
      </c>
      <c r="K498" s="6">
        <f>[1]Emissions!J914</f>
        <v>10.14259066</v>
      </c>
      <c r="L498" s="6">
        <f>[1]Emissions!K914</f>
        <v>10.218381989999999</v>
      </c>
      <c r="M498" s="6">
        <f>[1]Emissions!L914</f>
        <v>10.296894180000001</v>
      </c>
      <c r="N498" s="6">
        <f>[1]Emissions!M914</f>
        <v>10.367331330000001</v>
      </c>
      <c r="O498" s="6">
        <f>[1]Emissions!N914</f>
        <v>10.43228701</v>
      </c>
      <c r="P498" s="6">
        <f>[1]Emissions!O914</f>
        <v>10.492293269999999</v>
      </c>
      <c r="Q498" s="6">
        <f>[1]Emissions!P914</f>
        <v>10.546844460000001</v>
      </c>
      <c r="R498" s="6">
        <f>[1]Emissions!Q914</f>
        <v>10.59521764</v>
      </c>
      <c r="S498" s="6">
        <f>[1]Emissions!R914</f>
        <v>10.637157090000001</v>
      </c>
      <c r="T498" s="6">
        <f>[1]Emissions!S914</f>
        <v>10.673187499999999</v>
      </c>
      <c r="U498" s="6">
        <f>[1]Emissions!T914</f>
        <v>10.70451435</v>
      </c>
      <c r="V498" s="6">
        <f>[1]Emissions!U914</f>
        <v>10.73267635</v>
      </c>
      <c r="W498" s="6">
        <f>[1]Emissions!V914</f>
        <v>10.75359098</v>
      </c>
      <c r="X498" s="6">
        <f>[1]Emissions!W914</f>
        <v>10.77591235</v>
      </c>
      <c r="Y498" s="6">
        <f>[1]Emissions!X914</f>
        <v>10.799147700000001</v>
      </c>
      <c r="Z498" s="6">
        <f>[1]Emissions!Y914</f>
        <v>10.823720870000001</v>
      </c>
      <c r="AA498" s="6">
        <f>[1]Emissions!Z914</f>
        <v>10.850029210000001</v>
      </c>
      <c r="AB498" s="6">
        <f>[1]Emissions!AA914</f>
        <v>10.86190158</v>
      </c>
      <c r="AC498" s="6">
        <f>[1]Emissions!AB914</f>
        <v>10.87456723</v>
      </c>
      <c r="AD498" s="6">
        <f>[1]Emissions!AC914</f>
        <v>10.886624810000001</v>
      </c>
      <c r="AE498" s="6">
        <f>[1]Emissions!AD914</f>
        <v>10.89846309</v>
      </c>
      <c r="AF498" s="6">
        <f>[1]Emissions!AE914</f>
        <v>10.911148109999999</v>
      </c>
      <c r="AG498" s="6">
        <f>[1]Emissions!AF914</f>
        <v>10.92585263</v>
      </c>
      <c r="AH498" s="6">
        <f>[1]Emissions!AG914</f>
        <v>10.943385149999999</v>
      </c>
      <c r="AI498" s="6">
        <f>[1]Emissions!AH914</f>
        <v>10.96395716</v>
      </c>
      <c r="AJ498" s="6">
        <f>[1]Emissions!AI914</f>
        <v>10.987223330000001</v>
      </c>
      <c r="AK498" s="6">
        <f>[1]Emissions!AJ914</f>
        <v>11.01251031</v>
      </c>
      <c r="AL498" s="6">
        <f>[1]Emissions!AK914</f>
        <v>11.039100680000001</v>
      </c>
    </row>
    <row r="499" spans="2:38" hidden="1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</row>
    <row r="500" spans="2:38" hidden="1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</row>
    <row r="501" spans="2:38" hidden="1" x14ac:dyDescent="0.3">
      <c r="B501" s="16" t="str">
        <f>[1]Emissions!A917</f>
        <v>ems_ci_co2_sveh_0</v>
      </c>
      <c r="C501" s="6">
        <f>[1]Emissions!B917</f>
        <v>1.2309463060000001</v>
      </c>
      <c r="D501" s="6">
        <f>[1]Emissions!C917</f>
        <v>1.226731378</v>
      </c>
      <c r="E501" s="6">
        <f>[1]Emissions!D917</f>
        <v>1.227561793</v>
      </c>
      <c r="F501" s="6">
        <f>[1]Emissions!E917</f>
        <v>1.236298632</v>
      </c>
      <c r="G501" s="6">
        <f>[1]Emissions!F917</f>
        <v>1.2542837520000001</v>
      </c>
      <c r="H501" s="6">
        <f>[1]Emissions!G917</f>
        <v>1.281640723</v>
      </c>
      <c r="I501" s="6">
        <f>[1]Emissions!H917</f>
        <v>1.3161088889999999</v>
      </c>
      <c r="J501" s="6">
        <f>[1]Emissions!I917</f>
        <v>1.3566592770000001</v>
      </c>
      <c r="K501" s="6">
        <f>[1]Emissions!J917</f>
        <v>1.4006865129999999</v>
      </c>
      <c r="L501" s="6">
        <f>[1]Emissions!K917</f>
        <v>1.445564708</v>
      </c>
      <c r="M501" s="6">
        <f>[1]Emissions!L917</f>
        <v>1.4907061340000001</v>
      </c>
      <c r="N501" s="6">
        <f>[1]Emissions!M917</f>
        <v>1.5326927690000001</v>
      </c>
      <c r="O501" s="6">
        <f>[1]Emissions!N917</f>
        <v>1.572936484</v>
      </c>
      <c r="P501" s="6">
        <f>[1]Emissions!O917</f>
        <v>1.611454964</v>
      </c>
      <c r="Q501" s="6">
        <f>[1]Emissions!P917</f>
        <v>1.647637236</v>
      </c>
      <c r="R501" s="6">
        <f>[1]Emissions!Q917</f>
        <v>1.6807257760000001</v>
      </c>
      <c r="S501" s="6">
        <f>[1]Emissions!R917</f>
        <v>1.7102801620000001</v>
      </c>
      <c r="T501" s="6">
        <f>[1]Emissions!S917</f>
        <v>1.73645589</v>
      </c>
      <c r="U501" s="6">
        <f>[1]Emissions!T917</f>
        <v>1.760011988</v>
      </c>
      <c r="V501" s="6">
        <f>[1]Emissions!U917</f>
        <v>1.78209942</v>
      </c>
      <c r="W501" s="6">
        <f>[1]Emissions!V917</f>
        <v>1.8028772630000001</v>
      </c>
      <c r="X501" s="6">
        <f>[1]Emissions!W917</f>
        <v>1.8253409030000001</v>
      </c>
      <c r="Y501" s="6">
        <f>[1]Emissions!X917</f>
        <v>1.8491321919999999</v>
      </c>
      <c r="Z501" s="6">
        <f>[1]Emissions!Y917</f>
        <v>1.8747032340000001</v>
      </c>
      <c r="AA501" s="6">
        <f>[1]Emissions!Z917</f>
        <v>1.9024919929999999</v>
      </c>
      <c r="AB501" s="6">
        <f>[1]Emissions!AA917</f>
        <v>1.9292158429999999</v>
      </c>
      <c r="AC501" s="6">
        <f>[1]Emissions!AB917</f>
        <v>1.9593894599999999</v>
      </c>
      <c r="AD501" s="6">
        <f>[1]Emissions!AC917</f>
        <v>1.990502475</v>
      </c>
      <c r="AE501" s="6">
        <f>[1]Emissions!AD917</f>
        <v>2.0216731280000002</v>
      </c>
      <c r="AF501" s="6">
        <f>[1]Emissions!AE917</f>
        <v>2.0528337589999999</v>
      </c>
      <c r="AG501" s="6">
        <f>[1]Emissions!AF917</f>
        <v>2.0843046510000001</v>
      </c>
      <c r="AH501" s="6">
        <f>[1]Emissions!AG917</f>
        <v>2.116399473</v>
      </c>
      <c r="AI501" s="6">
        <f>[1]Emissions!AH917</f>
        <v>2.1491700489999999</v>
      </c>
      <c r="AJ501" s="6">
        <f>[1]Emissions!AI917</f>
        <v>2.1823500020000002</v>
      </c>
      <c r="AK501" s="6">
        <f>[1]Emissions!AJ917</f>
        <v>2.2154665339999999</v>
      </c>
      <c r="AL501" s="6">
        <f>[1]Emissions!AK917</f>
        <v>2.2480336529999998</v>
      </c>
    </row>
    <row r="502" spans="2:38" hidden="1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</row>
    <row r="503" spans="2:38" hidden="1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</row>
    <row r="504" spans="2:38" hidden="1" x14ac:dyDescent="0.3">
      <c r="B504" s="16" t="str">
        <f>[1]Emissions!A920</f>
        <v>ems_ci_co2_sgla_0</v>
      </c>
      <c r="C504" s="6">
        <f>[1]Emissions!B920</f>
        <v>5.7377314860000004</v>
      </c>
      <c r="D504" s="6">
        <f>[1]Emissions!C920</f>
        <v>5.9219348500000004</v>
      </c>
      <c r="E504" s="6">
        <f>[1]Emissions!D920</f>
        <v>6.1411626259999998</v>
      </c>
      <c r="F504" s="6">
        <f>[1]Emissions!E920</f>
        <v>6.3111128829999998</v>
      </c>
      <c r="G504" s="6">
        <f>[1]Emissions!F920</f>
        <v>6.432599057</v>
      </c>
      <c r="H504" s="6">
        <f>[1]Emissions!G920</f>
        <v>6.5293570970000001</v>
      </c>
      <c r="I504" s="6">
        <f>[1]Emissions!H920</f>
        <v>6.5693700540000002</v>
      </c>
      <c r="J504" s="6">
        <f>[1]Emissions!I920</f>
        <v>6.6276995190000001</v>
      </c>
      <c r="K504" s="6">
        <f>[1]Emissions!J920</f>
        <v>6.7057588849999998</v>
      </c>
      <c r="L504" s="6">
        <f>[1]Emissions!K920</f>
        <v>6.7958581799999997</v>
      </c>
      <c r="M504" s="6">
        <f>[1]Emissions!L920</f>
        <v>6.9642526350000002</v>
      </c>
      <c r="N504" s="6">
        <f>[1]Emissions!M920</f>
        <v>7.0443949239999997</v>
      </c>
      <c r="O504" s="6">
        <f>[1]Emissions!N920</f>
        <v>7.1288100070000002</v>
      </c>
      <c r="P504" s="6">
        <f>[1]Emissions!O920</f>
        <v>7.2279861299999997</v>
      </c>
      <c r="Q504" s="6">
        <f>[1]Emissions!P920</f>
        <v>7.3360681550000004</v>
      </c>
      <c r="R504" s="6">
        <f>[1]Emissions!Q920</f>
        <v>7.4487011140000003</v>
      </c>
      <c r="S504" s="6">
        <f>[1]Emissions!R920</f>
        <v>7.5640923200000003</v>
      </c>
      <c r="T504" s="6">
        <f>[1]Emissions!S920</f>
        <v>7.6818307109999999</v>
      </c>
      <c r="U504" s="6">
        <f>[1]Emissions!T920</f>
        <v>7.8019764709999997</v>
      </c>
      <c r="V504" s="6">
        <f>[1]Emissions!U920</f>
        <v>7.9245936520000004</v>
      </c>
      <c r="W504" s="6">
        <f>[1]Emissions!V920</f>
        <v>7.9982683659999996</v>
      </c>
      <c r="X504" s="6">
        <f>[1]Emissions!W920</f>
        <v>8.1395211239999998</v>
      </c>
      <c r="Y504" s="6">
        <f>[1]Emissions!X920</f>
        <v>8.2854586799999996</v>
      </c>
      <c r="Z504" s="6">
        <f>[1]Emissions!Y920</f>
        <v>8.4253797949999996</v>
      </c>
      <c r="AA504" s="6">
        <f>[1]Emissions!Z920</f>
        <v>8.5619169809999995</v>
      </c>
      <c r="AB504" s="6">
        <f>[1]Emissions!AA920</f>
        <v>8.5466088800000009</v>
      </c>
      <c r="AC504" s="6">
        <f>[1]Emissions!AB920</f>
        <v>8.6642821689999998</v>
      </c>
      <c r="AD504" s="6">
        <f>[1]Emissions!AC920</f>
        <v>8.8069506289999993</v>
      </c>
      <c r="AE504" s="6">
        <f>[1]Emissions!AD920</f>
        <v>8.9480310599999999</v>
      </c>
      <c r="AF504" s="6">
        <f>[1]Emissions!AE920</f>
        <v>9.0864737529999999</v>
      </c>
      <c r="AG504" s="6">
        <f>[1]Emissions!AF920</f>
        <v>9.2244825000000006</v>
      </c>
      <c r="AH504" s="6">
        <f>[1]Emissions!AG920</f>
        <v>9.3634415119999996</v>
      </c>
      <c r="AI504" s="6">
        <f>[1]Emissions!AH920</f>
        <v>9.5038850450000005</v>
      </c>
      <c r="AJ504" s="6">
        <f>[1]Emissions!AI920</f>
        <v>9.6459771029999999</v>
      </c>
      <c r="AK504" s="6">
        <f>[1]Emissions!AJ920</f>
        <v>9.7898369600000006</v>
      </c>
      <c r="AL504" s="6">
        <f>[1]Emissions!AK920</f>
        <v>9.9356508259999998</v>
      </c>
    </row>
    <row r="505" spans="2:38" hidden="1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</row>
    <row r="506" spans="2:38" hidden="1" x14ac:dyDescent="0.3">
      <c r="B506" s="16" t="str">
        <f>[1]Emissions!A922</f>
        <v>ems_mat_co2_sgla_0</v>
      </c>
      <c r="C506" s="6">
        <f>[1]Emissions!B922</f>
        <v>13.811546010000001</v>
      </c>
      <c r="D506" s="6">
        <f>[1]Emissions!C922</f>
        <v>14.289599900000001</v>
      </c>
      <c r="E506" s="6">
        <f>[1]Emissions!D922</f>
        <v>14.860618499999999</v>
      </c>
      <c r="F506" s="6">
        <f>[1]Emissions!E922</f>
        <v>15.313864909999999</v>
      </c>
      <c r="G506" s="6">
        <f>[1]Emissions!F922</f>
        <v>15.64597382</v>
      </c>
      <c r="H506" s="6">
        <f>[1]Emissions!G922</f>
        <v>15.91219708</v>
      </c>
      <c r="I506" s="6">
        <f>[1]Emissions!H922</f>
        <v>16.03452068</v>
      </c>
      <c r="J506" s="6">
        <f>[1]Emissions!I922</f>
        <v>16.196400650000001</v>
      </c>
      <c r="K506" s="6">
        <f>[1]Emissions!J922</f>
        <v>16.403053499999999</v>
      </c>
      <c r="L506" s="6">
        <f>[1]Emissions!K922</f>
        <v>16.636781289999998</v>
      </c>
      <c r="M506" s="6">
        <f>[1]Emissions!L922</f>
        <v>17.0606346</v>
      </c>
      <c r="N506" s="6">
        <f>[1]Emissions!M922</f>
        <v>17.264649049999999</v>
      </c>
      <c r="O506" s="6">
        <f>[1]Emissions!N922</f>
        <v>17.473168449999999</v>
      </c>
      <c r="P506" s="6">
        <f>[1]Emissions!O922</f>
        <v>17.711528900000001</v>
      </c>
      <c r="Q506" s="6">
        <f>[1]Emissions!P922</f>
        <v>17.966636520000002</v>
      </c>
      <c r="R506" s="6">
        <f>[1]Emissions!Q922</f>
        <v>18.229961200000002</v>
      </c>
      <c r="S506" s="6">
        <f>[1]Emissions!R922</f>
        <v>18.49934524</v>
      </c>
      <c r="T506" s="6">
        <f>[1]Emissions!S922</f>
        <v>18.77554507</v>
      </c>
      <c r="U506" s="6">
        <f>[1]Emissions!T922</f>
        <v>19.05979434</v>
      </c>
      <c r="V506" s="6">
        <f>[1]Emissions!U922</f>
        <v>19.352737300000001</v>
      </c>
      <c r="W506" s="6">
        <f>[1]Emissions!V922</f>
        <v>19.528358860000001</v>
      </c>
      <c r="X506" s="6">
        <f>[1]Emissions!W922</f>
        <v>19.871931289999999</v>
      </c>
      <c r="Y506" s="6">
        <f>[1]Emissions!X922</f>
        <v>20.230215250000001</v>
      </c>
      <c r="Z506" s="6">
        <f>[1]Emissions!Y922</f>
        <v>20.576760629999999</v>
      </c>
      <c r="AA506" s="6">
        <f>[1]Emissions!Z922</f>
        <v>20.917316660000001</v>
      </c>
      <c r="AB506" s="6">
        <f>[1]Emissions!AA922</f>
        <v>20.887072180000001</v>
      </c>
      <c r="AC506" s="6">
        <f>[1]Emissions!AB922</f>
        <v>21.182485400000001</v>
      </c>
      <c r="AD506" s="6">
        <f>[1]Emissions!AC922</f>
        <v>21.540853169999998</v>
      </c>
      <c r="AE506" s="6">
        <f>[1]Emissions!AD922</f>
        <v>21.89715683</v>
      </c>
      <c r="AF506" s="6">
        <f>[1]Emissions!AE922</f>
        <v>22.247801549999998</v>
      </c>
      <c r="AG506" s="6">
        <f>[1]Emissions!AF922</f>
        <v>22.596725719999998</v>
      </c>
      <c r="AH506" s="6">
        <f>[1]Emissions!AG922</f>
        <v>22.946019</v>
      </c>
      <c r="AI506" s="6">
        <f>[1]Emissions!AH922</f>
        <v>23.296223170000001</v>
      </c>
      <c r="AJ506" s="6">
        <f>[1]Emissions!AI922</f>
        <v>23.647596539999999</v>
      </c>
      <c r="AK506" s="6">
        <f>[1]Emissions!AJ922</f>
        <v>24.000759850000001</v>
      </c>
      <c r="AL506" s="6">
        <f>[1]Emissions!AK922</f>
        <v>24.35669764</v>
      </c>
    </row>
    <row r="507" spans="2:38" hidden="1" x14ac:dyDescent="0.3">
      <c r="B507" s="16" t="str">
        <f>[1]Emissions!A923</f>
        <v>ems_ci_co2_spap_0</v>
      </c>
      <c r="C507" s="6">
        <f>[1]Emissions!B923</f>
        <v>3.0209650180000001</v>
      </c>
      <c r="D507" s="6">
        <f>[1]Emissions!C923</f>
        <v>3.0428973479999999</v>
      </c>
      <c r="E507" s="6">
        <f>[1]Emissions!D923</f>
        <v>3.073239633</v>
      </c>
      <c r="F507" s="6">
        <f>[1]Emissions!E923</f>
        <v>3.115107799</v>
      </c>
      <c r="G507" s="6">
        <f>[1]Emissions!F923</f>
        <v>3.1627616920000001</v>
      </c>
      <c r="H507" s="6">
        <f>[1]Emissions!G923</f>
        <v>3.2123495499999999</v>
      </c>
      <c r="I507" s="6">
        <f>[1]Emissions!H923</f>
        <v>3.2637592459999998</v>
      </c>
      <c r="J507" s="6">
        <f>[1]Emissions!I923</f>
        <v>3.313156701</v>
      </c>
      <c r="K507" s="6">
        <f>[1]Emissions!J923</f>
        <v>3.3617310260000002</v>
      </c>
      <c r="L507" s="6">
        <f>[1]Emissions!K923</f>
        <v>3.4110350220000001</v>
      </c>
      <c r="M507" s="6">
        <f>[1]Emissions!L923</f>
        <v>3.4594975300000002</v>
      </c>
      <c r="N507" s="6">
        <f>[1]Emissions!M923</f>
        <v>3.516656926</v>
      </c>
      <c r="O507" s="6">
        <f>[1]Emissions!N923</f>
        <v>3.5747543300000002</v>
      </c>
      <c r="P507" s="6">
        <f>[1]Emissions!O923</f>
        <v>3.632984478</v>
      </c>
      <c r="Q507" s="6">
        <f>[1]Emissions!P923</f>
        <v>3.6915657180000001</v>
      </c>
      <c r="R507" s="6">
        <f>[1]Emissions!Q923</f>
        <v>3.7508325720000002</v>
      </c>
      <c r="S507" s="6">
        <f>[1]Emissions!R923</f>
        <v>3.8111039560000002</v>
      </c>
      <c r="T507" s="6">
        <f>[1]Emissions!S923</f>
        <v>3.8726006110000002</v>
      </c>
      <c r="U507" s="6">
        <f>[1]Emissions!T923</f>
        <v>3.9353839069999998</v>
      </c>
      <c r="V507" s="6">
        <f>[1]Emissions!U923</f>
        <v>3.9993535869999999</v>
      </c>
      <c r="W507" s="6">
        <f>[1]Emissions!V923</f>
        <v>4.0655250120000002</v>
      </c>
      <c r="X507" s="6">
        <f>[1]Emissions!W923</f>
        <v>4.128428167</v>
      </c>
      <c r="Y507" s="6">
        <f>[1]Emissions!X923</f>
        <v>4.1928789240000004</v>
      </c>
      <c r="Z507" s="6">
        <f>[1]Emissions!Y923</f>
        <v>4.2589195870000003</v>
      </c>
      <c r="AA507" s="6">
        <f>[1]Emissions!Z923</f>
        <v>4.3260982779999999</v>
      </c>
      <c r="AB507" s="6">
        <f>[1]Emissions!AA923</f>
        <v>4.3965286150000003</v>
      </c>
      <c r="AC507" s="6">
        <f>[1]Emissions!AB923</f>
        <v>4.4591541269999997</v>
      </c>
      <c r="AD507" s="6">
        <f>[1]Emissions!AC923</f>
        <v>4.5217442910000001</v>
      </c>
      <c r="AE507" s="6">
        <f>[1]Emissions!AD923</f>
        <v>4.5857834459999998</v>
      </c>
      <c r="AF507" s="6">
        <f>[1]Emissions!AE923</f>
        <v>4.651536911</v>
      </c>
      <c r="AG507" s="6">
        <f>[1]Emissions!AF923</f>
        <v>4.7189409250000001</v>
      </c>
      <c r="AH507" s="6">
        <f>[1]Emissions!AG923</f>
        <v>4.7878063620000004</v>
      </c>
      <c r="AI507" s="6">
        <f>[1]Emissions!AH923</f>
        <v>4.8579502579999998</v>
      </c>
      <c r="AJ507" s="6">
        <f>[1]Emissions!AI923</f>
        <v>4.9292831259999996</v>
      </c>
      <c r="AK507" s="6">
        <f>[1]Emissions!AJ923</f>
        <v>5.0018306050000003</v>
      </c>
      <c r="AL507" s="6">
        <f>[1]Emissions!AK923</f>
        <v>5.0756963510000004</v>
      </c>
    </row>
    <row r="508" spans="2:38" hidden="1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</row>
    <row r="509" spans="2:38" hidden="1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</row>
    <row r="510" spans="2:38" hidden="1" x14ac:dyDescent="0.3">
      <c r="B510" s="16" t="str">
        <f>[1]Emissions!A926</f>
        <v>ems_ci_co2_sche_0</v>
      </c>
      <c r="C510" s="6">
        <f>[1]Emissions!B926</f>
        <v>3.8355450150000001</v>
      </c>
      <c r="D510" s="6">
        <f>[1]Emissions!C926</f>
        <v>3.8363217629999999</v>
      </c>
      <c r="E510" s="6">
        <f>[1]Emissions!D926</f>
        <v>3.8515053159999999</v>
      </c>
      <c r="F510" s="6">
        <f>[1]Emissions!E926</f>
        <v>3.8798679429999998</v>
      </c>
      <c r="G510" s="6">
        <f>[1]Emissions!F926</f>
        <v>3.9169910109999999</v>
      </c>
      <c r="H510" s="6">
        <f>[1]Emissions!G926</f>
        <v>3.96036988</v>
      </c>
      <c r="I510" s="6">
        <f>[1]Emissions!H926</f>
        <v>4.0041086549999996</v>
      </c>
      <c r="J510" s="6">
        <f>[1]Emissions!I926</f>
        <v>4.0512726490000004</v>
      </c>
      <c r="K510" s="6">
        <f>[1]Emissions!J926</f>
        <v>4.101701534</v>
      </c>
      <c r="L510" s="6">
        <f>[1]Emissions!K926</f>
        <v>4.1549446760000004</v>
      </c>
      <c r="M510" s="6">
        <f>[1]Emissions!L926</f>
        <v>4.2173558209999999</v>
      </c>
      <c r="N510" s="6">
        <f>[1]Emissions!M926</f>
        <v>4.27640698</v>
      </c>
      <c r="O510" s="6">
        <f>[1]Emissions!N926</f>
        <v>4.336624016</v>
      </c>
      <c r="P510" s="6">
        <f>[1]Emissions!O926</f>
        <v>4.3985106439999999</v>
      </c>
      <c r="Q510" s="6">
        <f>[1]Emissions!P926</f>
        <v>4.4615459419999999</v>
      </c>
      <c r="R510" s="6">
        <f>[1]Emissions!Q926</f>
        <v>4.5253828619999998</v>
      </c>
      <c r="S510" s="6">
        <f>[1]Emissions!R926</f>
        <v>4.5899726110000003</v>
      </c>
      <c r="T510" s="6">
        <f>[1]Emissions!S926</f>
        <v>4.6554448869999998</v>
      </c>
      <c r="U510" s="6">
        <f>[1]Emissions!T926</f>
        <v>4.7219690160000001</v>
      </c>
      <c r="V510" s="6">
        <f>[1]Emissions!U926</f>
        <v>4.7896635600000002</v>
      </c>
      <c r="W510" s="6">
        <f>[1]Emissions!V926</f>
        <v>4.8535264070000004</v>
      </c>
      <c r="X510" s="6">
        <f>[1]Emissions!W926</f>
        <v>4.9229227260000004</v>
      </c>
      <c r="Y510" s="6">
        <f>[1]Emissions!X926</f>
        <v>4.994390288</v>
      </c>
      <c r="Z510" s="6">
        <f>[1]Emissions!Y926</f>
        <v>5.0670224949999998</v>
      </c>
      <c r="AA510" s="6">
        <f>[1]Emissions!Z926</f>
        <v>5.1408116379999997</v>
      </c>
      <c r="AB510" s="6">
        <f>[1]Emissions!AA926</f>
        <v>5.2007097020000002</v>
      </c>
      <c r="AC510" s="6">
        <f>[1]Emissions!AB926</f>
        <v>5.2689003080000001</v>
      </c>
      <c r="AD510" s="6">
        <f>[1]Emissions!AC926</f>
        <v>5.339970084</v>
      </c>
      <c r="AE510" s="6">
        <f>[1]Emissions!AD926</f>
        <v>5.4124947470000002</v>
      </c>
      <c r="AF510" s="6">
        <f>[1]Emissions!AE926</f>
        <v>5.4865517779999999</v>
      </c>
      <c r="AG510" s="6">
        <f>[1]Emissions!AF926</f>
        <v>5.5623213739999997</v>
      </c>
      <c r="AH510" s="6">
        <f>[1]Emissions!AG926</f>
        <v>5.6398128170000001</v>
      </c>
      <c r="AI510" s="6">
        <f>[1]Emissions!AH926</f>
        <v>5.718911555</v>
      </c>
      <c r="AJ510" s="6">
        <f>[1]Emissions!AI926</f>
        <v>5.7994802429999996</v>
      </c>
      <c r="AK510" s="6">
        <f>[1]Emissions!AJ926</f>
        <v>5.8814303539999999</v>
      </c>
      <c r="AL510" s="6">
        <f>[1]Emissions!AK926</f>
        <v>5.9647420320000002</v>
      </c>
    </row>
    <row r="511" spans="2:38" hidden="1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</row>
    <row r="512" spans="2:38" hidden="1" x14ac:dyDescent="0.3">
      <c r="B512" s="16" t="str">
        <f>[1]Emissions!A928</f>
        <v>ems_mat_co2_sche_0</v>
      </c>
      <c r="C512" s="6">
        <f>[1]Emissions!B928</f>
        <v>2.5967530060000001</v>
      </c>
      <c r="D512" s="6">
        <f>[1]Emissions!C928</f>
        <v>2.6019680140000001</v>
      </c>
      <c r="E512" s="6">
        <f>[1]Emissions!D928</f>
        <v>2.6180672230000002</v>
      </c>
      <c r="F512" s="6">
        <f>[1]Emissions!E928</f>
        <v>2.6434660440000002</v>
      </c>
      <c r="G512" s="6">
        <f>[1]Emissions!F928</f>
        <v>2.6746902019999999</v>
      </c>
      <c r="H512" s="6">
        <f>[1]Emissions!G928</f>
        <v>2.709807042</v>
      </c>
      <c r="I512" s="6">
        <f>[1]Emissions!H928</f>
        <v>2.7447454740000001</v>
      </c>
      <c r="J512" s="6">
        <f>[1]Emissions!I928</f>
        <v>2.7815412039999998</v>
      </c>
      <c r="K512" s="6">
        <f>[1]Emissions!J928</f>
        <v>2.8201376890000001</v>
      </c>
      <c r="L512" s="6">
        <f>[1]Emissions!K928</f>
        <v>2.8602278390000002</v>
      </c>
      <c r="M512" s="6">
        <f>[1]Emissions!L928</f>
        <v>2.9061988680000002</v>
      </c>
      <c r="N512" s="6">
        <f>[1]Emissions!M928</f>
        <v>2.9491410290000002</v>
      </c>
      <c r="O512" s="6">
        <f>[1]Emissions!N928</f>
        <v>2.9918868179999998</v>
      </c>
      <c r="P512" s="6">
        <f>[1]Emissions!O928</f>
        <v>3.0347357239999999</v>
      </c>
      <c r="Q512" s="6">
        <f>[1]Emissions!P928</f>
        <v>3.0774913700000002</v>
      </c>
      <c r="R512" s="6">
        <f>[1]Emissions!Q928</f>
        <v>3.1201959600000002</v>
      </c>
      <c r="S512" s="6">
        <f>[1]Emissions!R928</f>
        <v>3.1631206359999999</v>
      </c>
      <c r="T512" s="6">
        <f>[1]Emissions!S928</f>
        <v>3.206614692</v>
      </c>
      <c r="U512" s="6">
        <f>[1]Emissions!T928</f>
        <v>3.250981323</v>
      </c>
      <c r="V512" s="6">
        <f>[1]Emissions!U928</f>
        <v>3.2964182449999999</v>
      </c>
      <c r="W512" s="6">
        <f>[1]Emissions!V928</f>
        <v>3.3394699590000001</v>
      </c>
      <c r="X512" s="6">
        <f>[1]Emissions!W928</f>
        <v>3.3867110130000002</v>
      </c>
      <c r="Y512" s="6">
        <f>[1]Emissions!X928</f>
        <v>3.435834973</v>
      </c>
      <c r="Z512" s="6">
        <f>[1]Emissions!Y928</f>
        <v>3.4861994599999999</v>
      </c>
      <c r="AA512" s="6">
        <f>[1]Emissions!Z928</f>
        <v>3.5377262360000001</v>
      </c>
      <c r="AB512" s="6">
        <f>[1]Emissions!AA928</f>
        <v>3.5797929970000002</v>
      </c>
      <c r="AC512" s="6">
        <f>[1]Emissions!AB928</f>
        <v>3.6276989959999999</v>
      </c>
      <c r="AD512" s="6">
        <f>[1]Emissions!AC928</f>
        <v>3.6778329919999999</v>
      </c>
      <c r="AE512" s="6">
        <f>[1]Emissions!AD928</f>
        <v>3.729197004</v>
      </c>
      <c r="AF512" s="6">
        <f>[1]Emissions!AE928</f>
        <v>3.7817142960000001</v>
      </c>
      <c r="AG512" s="6">
        <f>[1]Emissions!AF928</f>
        <v>3.835330108</v>
      </c>
      <c r="AH512" s="6">
        <f>[1]Emissions!AG928</f>
        <v>3.8898890929999999</v>
      </c>
      <c r="AI512" s="6">
        <f>[1]Emissions!AH928</f>
        <v>3.9452107270000001</v>
      </c>
      <c r="AJ512" s="6">
        <f>[1]Emissions!AI928</f>
        <v>4.0011701139999998</v>
      </c>
      <c r="AK512" s="6">
        <f>[1]Emissions!AJ928</f>
        <v>4.0577317739999996</v>
      </c>
      <c r="AL512" s="6">
        <f>[1]Emissions!AK928</f>
        <v>4.1149342349999998</v>
      </c>
    </row>
    <row r="513" spans="2:38" hidden="1" x14ac:dyDescent="0.3">
      <c r="B513" s="16" t="str">
        <f>[1]Emissions!A929</f>
        <v>ems_ci_co2_spla_0</v>
      </c>
      <c r="C513" s="6">
        <f>[1]Emissions!B929</f>
        <v>1.295658891</v>
      </c>
      <c r="D513" s="6">
        <f>[1]Emissions!C929</f>
        <v>1.2966217440000001</v>
      </c>
      <c r="E513" s="6">
        <f>[1]Emissions!D929</f>
        <v>1.3027146510000001</v>
      </c>
      <c r="F513" s="6">
        <f>[1]Emissions!E929</f>
        <v>1.313259913</v>
      </c>
      <c r="G513" s="6">
        <f>[1]Emissions!F929</f>
        <v>1.3277831710000001</v>
      </c>
      <c r="H513" s="6">
        <f>[1]Emissions!G929</f>
        <v>1.3462648500000001</v>
      </c>
      <c r="I513" s="6">
        <f>[1]Emissions!H929</f>
        <v>1.3657116840000001</v>
      </c>
      <c r="J513" s="6">
        <f>[1]Emissions!I929</f>
        <v>1.388316959</v>
      </c>
      <c r="K513" s="6">
        <f>[1]Emissions!J929</f>
        <v>1.413198285</v>
      </c>
      <c r="L513" s="6">
        <f>[1]Emissions!K929</f>
        <v>1.4392571860000001</v>
      </c>
      <c r="M513" s="6">
        <f>[1]Emissions!L929</f>
        <v>1.469438797</v>
      </c>
      <c r="N513" s="6">
        <f>[1]Emissions!M929</f>
        <v>1.4958434089999999</v>
      </c>
      <c r="O513" s="6">
        <f>[1]Emissions!N929</f>
        <v>1.5223688289999999</v>
      </c>
      <c r="P513" s="6">
        <f>[1]Emissions!O929</f>
        <v>1.549443726</v>
      </c>
      <c r="Q513" s="6">
        <f>[1]Emissions!P929</f>
        <v>1.5765817259999999</v>
      </c>
      <c r="R513" s="6">
        <f>[1]Emissions!Q929</f>
        <v>1.6033038040000001</v>
      </c>
      <c r="S513" s="6">
        <f>[1]Emissions!R929</f>
        <v>1.629346135</v>
      </c>
      <c r="T513" s="6">
        <f>[1]Emissions!S929</f>
        <v>1.6546912819999999</v>
      </c>
      <c r="U513" s="6">
        <f>[1]Emissions!T929</f>
        <v>1.679522288</v>
      </c>
      <c r="V513" s="6">
        <f>[1]Emissions!U929</f>
        <v>1.7041356299999999</v>
      </c>
      <c r="W513" s="6">
        <f>[1]Emissions!V929</f>
        <v>1.726088356</v>
      </c>
      <c r="X513" s="6">
        <f>[1]Emissions!W929</f>
        <v>1.7513319089999999</v>
      </c>
      <c r="Y513" s="6">
        <f>[1]Emissions!X929</f>
        <v>1.7773337629999999</v>
      </c>
      <c r="Z513" s="6">
        <f>[1]Emissions!Y929</f>
        <v>1.803713433</v>
      </c>
      <c r="AA513" s="6">
        <f>[1]Emissions!Z929</f>
        <v>1.8306895249999999</v>
      </c>
      <c r="AB513" s="6">
        <f>[1]Emissions!AA929</f>
        <v>1.8500925100000001</v>
      </c>
      <c r="AC513" s="6">
        <f>[1]Emissions!AB929</f>
        <v>1.875840414</v>
      </c>
      <c r="AD513" s="6">
        <f>[1]Emissions!AC929</f>
        <v>1.9030729719999999</v>
      </c>
      <c r="AE513" s="6">
        <f>[1]Emissions!AD929</f>
        <v>1.930475661</v>
      </c>
      <c r="AF513" s="6">
        <f>[1]Emissions!AE929</f>
        <v>1.9580793910000001</v>
      </c>
      <c r="AG513" s="6">
        <f>[1]Emissions!AF929</f>
        <v>1.9861478029999999</v>
      </c>
      <c r="AH513" s="6">
        <f>[1]Emissions!AG929</f>
        <v>2.0148674039999999</v>
      </c>
      <c r="AI513" s="6">
        <f>[1]Emissions!AH929</f>
        <v>2.0442791229999999</v>
      </c>
      <c r="AJ513" s="6">
        <f>[1]Emissions!AI929</f>
        <v>2.0742993009999999</v>
      </c>
      <c r="AK513" s="6">
        <f>[1]Emissions!AJ929</f>
        <v>2.1047806009999999</v>
      </c>
      <c r="AL513" s="6">
        <f>[1]Emissions!AK929</f>
        <v>2.1355795340000001</v>
      </c>
    </row>
    <row r="514" spans="2:38" hidden="1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</row>
    <row r="515" spans="2:38" hidden="1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</row>
    <row r="516" spans="2:38" hidden="1" x14ac:dyDescent="0.3">
      <c r="B516" s="16" t="str">
        <f>[1]Emissions!A932</f>
        <v>ems_ci_co2_smet_0</v>
      </c>
      <c r="C516" s="6">
        <f>[1]Emissions!B932</f>
        <v>7.5628993400000004</v>
      </c>
      <c r="D516" s="6">
        <f>[1]Emissions!C932</f>
        <v>7.6675106130000001</v>
      </c>
      <c r="E516" s="6">
        <f>[1]Emissions!D932</f>
        <v>7.7892053629999998</v>
      </c>
      <c r="F516" s="6">
        <f>[1]Emissions!E932</f>
        <v>7.9069616649999999</v>
      </c>
      <c r="G516" s="6">
        <f>[1]Emissions!F932</f>
        <v>8.0162116660000002</v>
      </c>
      <c r="H516" s="6">
        <f>[1]Emissions!G932</f>
        <v>8.1186298449999992</v>
      </c>
      <c r="I516" s="6">
        <f>[1]Emissions!H932</f>
        <v>8.2014652790000007</v>
      </c>
      <c r="J516" s="6">
        <f>[1]Emissions!I932</f>
        <v>8.2847933109999996</v>
      </c>
      <c r="K516" s="6">
        <f>[1]Emissions!J932</f>
        <v>8.3716692819999992</v>
      </c>
      <c r="L516" s="6">
        <f>[1]Emissions!K932</f>
        <v>8.4631587419999992</v>
      </c>
      <c r="M516" s="6">
        <f>[1]Emissions!L932</f>
        <v>8.5838781100000006</v>
      </c>
      <c r="N516" s="6">
        <f>[1]Emissions!M932</f>
        <v>8.6856033050000008</v>
      </c>
      <c r="O516" s="6">
        <f>[1]Emissions!N932</f>
        <v>8.7928958690000005</v>
      </c>
      <c r="P516" s="6">
        <f>[1]Emissions!O932</f>
        <v>8.9084036619999996</v>
      </c>
      <c r="Q516" s="6">
        <f>[1]Emissions!P932</f>
        <v>9.0304307549999994</v>
      </c>
      <c r="R516" s="6">
        <f>[1]Emissions!Q932</f>
        <v>9.1574990409999995</v>
      </c>
      <c r="S516" s="6">
        <f>[1]Emissions!R932</f>
        <v>9.2887390510000003</v>
      </c>
      <c r="T516" s="6">
        <f>[1]Emissions!S932</f>
        <v>9.4235653020000001</v>
      </c>
      <c r="U516" s="6">
        <f>[1]Emissions!T932</f>
        <v>9.5613837490000009</v>
      </c>
      <c r="V516" s="6">
        <f>[1]Emissions!U932</f>
        <v>9.7014774280000005</v>
      </c>
      <c r="W516" s="6">
        <f>[1]Emissions!V932</f>
        <v>9.8261521950000006</v>
      </c>
      <c r="X516" s="6">
        <f>[1]Emissions!W932</f>
        <v>9.9698981730000007</v>
      </c>
      <c r="Y516" s="6">
        <f>[1]Emissions!X932</f>
        <v>10.11561884</v>
      </c>
      <c r="Z516" s="6">
        <f>[1]Emissions!Y932</f>
        <v>10.26022013</v>
      </c>
      <c r="AA516" s="6">
        <f>[1]Emissions!Z932</f>
        <v>10.404066309999999</v>
      </c>
      <c r="AB516" s="6">
        <f>[1]Emissions!AA932</f>
        <v>10.49860501</v>
      </c>
      <c r="AC516" s="6">
        <f>[1]Emissions!AB932</f>
        <v>10.62628145</v>
      </c>
      <c r="AD516" s="6">
        <f>[1]Emissions!AC932</f>
        <v>10.761573350000001</v>
      </c>
      <c r="AE516" s="6">
        <f>[1]Emissions!AD932</f>
        <v>10.89919471</v>
      </c>
      <c r="AF516" s="6">
        <f>[1]Emissions!AE932</f>
        <v>11.0395238</v>
      </c>
      <c r="AG516" s="6">
        <f>[1]Emissions!AF932</f>
        <v>11.183433150000001</v>
      </c>
      <c r="AH516" s="6">
        <f>[1]Emissions!AG932</f>
        <v>11.33134802</v>
      </c>
      <c r="AI516" s="6">
        <f>[1]Emissions!AH932</f>
        <v>11.483346989999999</v>
      </c>
      <c r="AJ516" s="6">
        <f>[1]Emissions!AI932</f>
        <v>11.63940491</v>
      </c>
      <c r="AK516" s="6">
        <f>[1]Emissions!AJ932</f>
        <v>11.799545910000001</v>
      </c>
      <c r="AL516" s="6">
        <f>[1]Emissions!AK932</f>
        <v>11.963867130000001</v>
      </c>
    </row>
    <row r="517" spans="2:38" hidden="1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</row>
    <row r="518" spans="2:38" hidden="1" x14ac:dyDescent="0.3">
      <c r="B518" s="16" t="str">
        <f>[1]Emissions!A934</f>
        <v>ems_mat_co2_smet_0</v>
      </c>
      <c r="C518" s="6">
        <f>[1]Emissions!B934</f>
        <v>12.83036916</v>
      </c>
      <c r="D518" s="6">
        <f>[1]Emissions!C934</f>
        <v>13.03812224</v>
      </c>
      <c r="E518" s="6">
        <f>[1]Emissions!D934</f>
        <v>13.290492349999999</v>
      </c>
      <c r="F518" s="6">
        <f>[1]Emissions!E934</f>
        <v>13.55251202</v>
      </c>
      <c r="G518" s="6">
        <f>[1]Emissions!F934</f>
        <v>13.815413339999999</v>
      </c>
      <c r="H518" s="6">
        <f>[1]Emissions!G934</f>
        <v>14.079563070000001</v>
      </c>
      <c r="I518" s="6">
        <f>[1]Emissions!H934</f>
        <v>14.31895082</v>
      </c>
      <c r="J518" s="6">
        <f>[1]Emissions!I934</f>
        <v>14.5631469</v>
      </c>
      <c r="K518" s="6">
        <f>[1]Emissions!J934</f>
        <v>14.812359389999999</v>
      </c>
      <c r="L518" s="6">
        <f>[1]Emissions!K934</f>
        <v>15.06342373</v>
      </c>
      <c r="M518" s="6">
        <f>[1]Emissions!L934</f>
        <v>15.356272130000001</v>
      </c>
      <c r="N518" s="6">
        <f>[1]Emissions!M934</f>
        <v>15.601653929999999</v>
      </c>
      <c r="O518" s="6">
        <f>[1]Emissions!N934</f>
        <v>15.84092148</v>
      </c>
      <c r="P518" s="6">
        <f>[1]Emissions!O934</f>
        <v>16.078519230000001</v>
      </c>
      <c r="Q518" s="6">
        <f>[1]Emissions!P934</f>
        <v>16.312653820000001</v>
      </c>
      <c r="R518" s="6">
        <f>[1]Emissions!Q934</f>
        <v>16.54301173</v>
      </c>
      <c r="S518" s="6">
        <f>[1]Emissions!R934</f>
        <v>16.77109467</v>
      </c>
      <c r="T518" s="6">
        <f>[1]Emissions!S934</f>
        <v>16.999288239999998</v>
      </c>
      <c r="U518" s="6">
        <f>[1]Emissions!T934</f>
        <v>17.230020809999999</v>
      </c>
      <c r="V518" s="6">
        <f>[1]Emissions!U934</f>
        <v>17.465268049999999</v>
      </c>
      <c r="W518" s="6">
        <f>[1]Emissions!V934</f>
        <v>17.675732369999999</v>
      </c>
      <c r="X518" s="6">
        <f>[1]Emissions!W934</f>
        <v>17.925554720000001</v>
      </c>
      <c r="Y518" s="6">
        <f>[1]Emissions!X934</f>
        <v>18.185741700000001</v>
      </c>
      <c r="Z518" s="6">
        <f>[1]Emissions!Y934</f>
        <v>18.451480490000002</v>
      </c>
      <c r="AA518" s="6">
        <f>[1]Emissions!Z934</f>
        <v>18.72332845</v>
      </c>
      <c r="AB518" s="6">
        <f>[1]Emissions!AA934</f>
        <v>18.912484599999999</v>
      </c>
      <c r="AC518" s="6">
        <f>[1]Emissions!AB934</f>
        <v>19.16557418</v>
      </c>
      <c r="AD518" s="6">
        <f>[1]Emissions!AC934</f>
        <v>19.43573095</v>
      </c>
      <c r="AE518" s="6">
        <f>[1]Emissions!AD934</f>
        <v>19.712016739999999</v>
      </c>
      <c r="AF518" s="6">
        <f>[1]Emissions!AE934</f>
        <v>19.993521220000002</v>
      </c>
      <c r="AG518" s="6">
        <f>[1]Emissions!AF934</f>
        <v>20.280266269999998</v>
      </c>
      <c r="AH518" s="6">
        <f>[1]Emissions!AG934</f>
        <v>20.571652069999999</v>
      </c>
      <c r="AI518" s="6">
        <f>[1]Emissions!AH934</f>
        <v>20.866724479999998</v>
      </c>
      <c r="AJ518" s="6">
        <f>[1]Emissions!AI934</f>
        <v>21.164652759999999</v>
      </c>
      <c r="AK518" s="6">
        <f>[1]Emissions!AJ934</f>
        <v>21.465009340000002</v>
      </c>
      <c r="AL518" s="6">
        <f>[1]Emissions!AK934</f>
        <v>21.767790980000001</v>
      </c>
    </row>
    <row r="519" spans="2:38" hidden="1" x14ac:dyDescent="0.3">
      <c r="B519" s="16" t="str">
        <f>[1]Emissions!A935</f>
        <v>ems_ci_co2_sigo_0</v>
      </c>
      <c r="C519" s="6">
        <f>[1]Emissions!B935</f>
        <v>3.0056231269999998</v>
      </c>
      <c r="D519" s="6">
        <f>[1]Emissions!C935</f>
        <v>3.0050600699999999</v>
      </c>
      <c r="E519" s="6">
        <f>[1]Emissions!D935</f>
        <v>3.0151146799999999</v>
      </c>
      <c r="F519" s="6">
        <f>[1]Emissions!E935</f>
        <v>3.035967694</v>
      </c>
      <c r="G519" s="6">
        <f>[1]Emissions!F935</f>
        <v>3.065763375</v>
      </c>
      <c r="H519" s="6">
        <f>[1]Emissions!G935</f>
        <v>3.103444187</v>
      </c>
      <c r="I519" s="6">
        <f>[1]Emissions!H935</f>
        <v>3.1434849200000001</v>
      </c>
      <c r="J519" s="6">
        <f>[1]Emissions!I935</f>
        <v>3.1887648149999999</v>
      </c>
      <c r="K519" s="6">
        <f>[1]Emissions!J935</f>
        <v>3.2379877939999999</v>
      </c>
      <c r="L519" s="6">
        <f>[1]Emissions!K935</f>
        <v>3.2895911390000001</v>
      </c>
      <c r="M519" s="6">
        <f>[1]Emissions!L935</f>
        <v>3.3485871829999998</v>
      </c>
      <c r="N519" s="6">
        <f>[1]Emissions!M935</f>
        <v>3.4028865829999999</v>
      </c>
      <c r="O519" s="6">
        <f>[1]Emissions!N935</f>
        <v>3.4578130150000002</v>
      </c>
      <c r="P519" s="6">
        <f>[1]Emissions!O935</f>
        <v>3.5139753869999999</v>
      </c>
      <c r="Q519" s="6">
        <f>[1]Emissions!P935</f>
        <v>3.5705342280000001</v>
      </c>
      <c r="R519" s="6">
        <f>[1]Emissions!Q935</f>
        <v>3.6266887190000001</v>
      </c>
      <c r="S519" s="6">
        <f>[1]Emissions!R935</f>
        <v>3.682040186</v>
      </c>
      <c r="T519" s="6">
        <f>[1]Emissions!S935</f>
        <v>3.7366225919999998</v>
      </c>
      <c r="U519" s="6">
        <f>[1]Emissions!T935</f>
        <v>3.7907888550000002</v>
      </c>
      <c r="V519" s="6">
        <f>[1]Emissions!U935</f>
        <v>3.8450410829999999</v>
      </c>
      <c r="W519" s="6">
        <f>[1]Emissions!V935</f>
        <v>3.8953063330000002</v>
      </c>
      <c r="X519" s="6">
        <f>[1]Emissions!W935</f>
        <v>3.9508405880000002</v>
      </c>
      <c r="Y519" s="6">
        <f>[1]Emissions!X935</f>
        <v>4.0081338710000001</v>
      </c>
      <c r="Z519" s="6">
        <f>[1]Emissions!Y935</f>
        <v>4.0665070840000004</v>
      </c>
      <c r="AA519" s="6">
        <f>[1]Emissions!Z935</f>
        <v>4.126226559</v>
      </c>
      <c r="AB519" s="6">
        <f>[1]Emissions!AA935</f>
        <v>4.1736262750000002</v>
      </c>
      <c r="AC519" s="6">
        <f>[1]Emissions!AB935</f>
        <v>4.2303248230000001</v>
      </c>
      <c r="AD519" s="6">
        <f>[1]Emissions!AC935</f>
        <v>4.2896938540000003</v>
      </c>
      <c r="AE519" s="6">
        <f>[1]Emissions!AD935</f>
        <v>4.3498045860000003</v>
      </c>
      <c r="AF519" s="6">
        <f>[1]Emissions!AE935</f>
        <v>4.4107635480000003</v>
      </c>
      <c r="AG519" s="6">
        <f>[1]Emissions!AF935</f>
        <v>4.473004424</v>
      </c>
      <c r="AH519" s="6">
        <f>[1]Emissions!AG935</f>
        <v>4.5367893180000003</v>
      </c>
      <c r="AI519" s="6">
        <f>[1]Emissions!AH935</f>
        <v>4.6021181069999999</v>
      </c>
      <c r="AJ519" s="6">
        <f>[1]Emissions!AI935</f>
        <v>4.6687926329999998</v>
      </c>
      <c r="AK519" s="6">
        <f>[1]Emissions!AJ935</f>
        <v>4.7365376560000003</v>
      </c>
      <c r="AL519" s="6">
        <f>[1]Emissions!AK935</f>
        <v>4.8051149860000004</v>
      </c>
    </row>
    <row r="520" spans="2:38" hidden="1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</row>
    <row r="521" spans="2:38" hidden="1" x14ac:dyDescent="0.3">
      <c r="B521" s="16" t="str">
        <f>[1]Emissions!A937</f>
        <v>ems_mat_co2_sigo_0</v>
      </c>
      <c r="C521" s="6">
        <f>[1]Emissions!B937</f>
        <v>0.4736282443</v>
      </c>
      <c r="D521" s="6">
        <f>[1]Emissions!C937</f>
        <v>0.47583760689999999</v>
      </c>
      <c r="E521" s="6">
        <f>[1]Emissions!D937</f>
        <v>0.47997158540000001</v>
      </c>
      <c r="F521" s="6">
        <f>[1]Emissions!E937</f>
        <v>0.48548058109999997</v>
      </c>
      <c r="G521" s="6">
        <f>[1]Emissions!F937</f>
        <v>0.49175620939999998</v>
      </c>
      <c r="H521" s="6">
        <f>[1]Emissions!G937</f>
        <v>0.49855205180000001</v>
      </c>
      <c r="I521" s="6">
        <f>[1]Emissions!H937</f>
        <v>0.50508666960000004</v>
      </c>
      <c r="J521" s="6">
        <f>[1]Emissions!I937</f>
        <v>0.51195883669999998</v>
      </c>
      <c r="K521" s="6">
        <f>[1]Emissions!J937</f>
        <v>0.51918173999999995</v>
      </c>
      <c r="L521" s="6">
        <f>[1]Emissions!K937</f>
        <v>0.52668561219999999</v>
      </c>
      <c r="M521" s="6">
        <f>[1]Emissions!L937</f>
        <v>0.53542497320000004</v>
      </c>
      <c r="N521" s="6">
        <f>[1]Emissions!M937</f>
        <v>0.5433744841</v>
      </c>
      <c r="O521" s="6">
        <f>[1]Emissions!N937</f>
        <v>0.55126825619999997</v>
      </c>
      <c r="P521" s="6">
        <f>[1]Emissions!O937</f>
        <v>0.55919014879999995</v>
      </c>
      <c r="Q521" s="6">
        <f>[1]Emissions!P937</f>
        <v>0.56708996069999995</v>
      </c>
      <c r="R521" s="6">
        <f>[1]Emissions!Q937</f>
        <v>0.57496714660000003</v>
      </c>
      <c r="S521" s="6">
        <f>[1]Emissions!R937</f>
        <v>0.58287096419999995</v>
      </c>
      <c r="T521" s="6">
        <f>[1]Emissions!S937</f>
        <v>0.59086831090000003</v>
      </c>
      <c r="U521" s="6">
        <f>[1]Emissions!T937</f>
        <v>0.59901800999999999</v>
      </c>
      <c r="V521" s="6">
        <f>[1]Emissions!U937</f>
        <v>0.60735885150000002</v>
      </c>
      <c r="W521" s="6">
        <f>[1]Emissions!V937</f>
        <v>0.61513960199999995</v>
      </c>
      <c r="X521" s="6">
        <f>[1]Emissions!W937</f>
        <v>0.623839107</v>
      </c>
      <c r="Y521" s="6">
        <f>[1]Emissions!X937</f>
        <v>0.63289464200000001</v>
      </c>
      <c r="Z521" s="6">
        <f>[1]Emissions!Y937</f>
        <v>0.64215733149999998</v>
      </c>
      <c r="AA521" s="6">
        <f>[1]Emissions!Z937</f>
        <v>0.65161987740000005</v>
      </c>
      <c r="AB521" s="6">
        <f>[1]Emissions!AA937</f>
        <v>0.65898037529999998</v>
      </c>
      <c r="AC521" s="6">
        <f>[1]Emissions!AB937</f>
        <v>0.66774358820000002</v>
      </c>
      <c r="AD521" s="6">
        <f>[1]Emissions!AC937</f>
        <v>0.67698740970000004</v>
      </c>
      <c r="AE521" s="6">
        <f>[1]Emissions!AD937</f>
        <v>0.68644674760000002</v>
      </c>
      <c r="AF521" s="6">
        <f>[1]Emissions!AE937</f>
        <v>0.69610064309999997</v>
      </c>
      <c r="AG521" s="6">
        <f>[1]Emissions!AF937</f>
        <v>0.70594322929999997</v>
      </c>
      <c r="AH521" s="6">
        <f>[1]Emissions!AG937</f>
        <v>0.71594879830000002</v>
      </c>
      <c r="AI521" s="6">
        <f>[1]Emissions!AH937</f>
        <v>0.72608564480000004</v>
      </c>
      <c r="AJ521" s="6">
        <f>[1]Emissions!AI937</f>
        <v>0.73633213470000003</v>
      </c>
      <c r="AK521" s="6">
        <f>[1]Emissions!AJ937</f>
        <v>0.74668332400000004</v>
      </c>
      <c r="AL521" s="6">
        <f>[1]Emissions!AK937</f>
        <v>0.75714775339999996</v>
      </c>
    </row>
    <row r="522" spans="2:38" hidden="1" x14ac:dyDescent="0.3">
      <c r="B522" s="16" t="str">
        <f>[1]Emissions!A938</f>
        <v>ems_ci_co2_scgo_0</v>
      </c>
      <c r="C522" s="6">
        <f>[1]Emissions!B938</f>
        <v>0.69687883630000003</v>
      </c>
      <c r="D522" s="6">
        <f>[1]Emissions!C938</f>
        <v>0.68142975699999997</v>
      </c>
      <c r="E522" s="6">
        <f>[1]Emissions!D938</f>
        <v>0.66934173649999995</v>
      </c>
      <c r="F522" s="6">
        <f>[1]Emissions!E938</f>
        <v>0.66353298409999995</v>
      </c>
      <c r="G522" s="6">
        <f>[1]Emissions!F938</f>
        <v>0.66198464059999995</v>
      </c>
      <c r="H522" s="6">
        <f>[1]Emissions!G938</f>
        <v>0.66318699430000005</v>
      </c>
      <c r="I522" s="6">
        <f>[1]Emissions!H938</f>
        <v>0.66740780399999999</v>
      </c>
      <c r="J522" s="6">
        <f>[1]Emissions!I938</f>
        <v>0.67224967260000001</v>
      </c>
      <c r="K522" s="6">
        <f>[1]Emissions!J938</f>
        <v>0.67782973150000003</v>
      </c>
      <c r="L522" s="6">
        <f>[1]Emissions!K938</f>
        <v>0.68437279159999997</v>
      </c>
      <c r="M522" s="6">
        <f>[1]Emissions!L938</f>
        <v>0.69010714429999997</v>
      </c>
      <c r="N522" s="6">
        <f>[1]Emissions!M938</f>
        <v>0.70028606280000005</v>
      </c>
      <c r="O522" s="6">
        <f>[1]Emissions!N938</f>
        <v>0.71105597720000002</v>
      </c>
      <c r="P522" s="6">
        <f>[1]Emissions!O938</f>
        <v>0.72227647129999994</v>
      </c>
      <c r="Q522" s="6">
        <f>[1]Emissions!P938</f>
        <v>0.73400508499999995</v>
      </c>
      <c r="R522" s="6">
        <f>[1]Emissions!Q938</f>
        <v>0.74622632680000001</v>
      </c>
      <c r="S522" s="6">
        <f>[1]Emissions!R938</f>
        <v>0.75888141229999995</v>
      </c>
      <c r="T522" s="6">
        <f>[1]Emissions!S938</f>
        <v>0.77189544160000001</v>
      </c>
      <c r="U522" s="6">
        <f>[1]Emissions!T938</f>
        <v>0.78518719479999999</v>
      </c>
      <c r="V522" s="6">
        <f>[1]Emissions!U938</f>
        <v>0.79867394420000004</v>
      </c>
      <c r="W522" s="6">
        <f>[1]Emissions!V938</f>
        <v>0.81344251590000005</v>
      </c>
      <c r="X522" s="6">
        <f>[1]Emissions!W938</f>
        <v>0.82610882220000004</v>
      </c>
      <c r="Y522" s="6">
        <f>[1]Emissions!X938</f>
        <v>0.83913440790000005</v>
      </c>
      <c r="Z522" s="6">
        <f>[1]Emissions!Y938</f>
        <v>0.85249868070000001</v>
      </c>
      <c r="AA522" s="6">
        <f>[1]Emissions!Z938</f>
        <v>0.86606047809999998</v>
      </c>
      <c r="AB522" s="6">
        <f>[1]Emissions!AA938</f>
        <v>0.88273783930000005</v>
      </c>
      <c r="AC522" s="6">
        <f>[1]Emissions!AB938</f>
        <v>0.89528888939999995</v>
      </c>
      <c r="AD522" s="6">
        <f>[1]Emissions!AC938</f>
        <v>0.907696948</v>
      </c>
      <c r="AE522" s="6">
        <f>[1]Emissions!AD938</f>
        <v>0.92040869660000002</v>
      </c>
      <c r="AF522" s="6">
        <f>[1]Emissions!AE938</f>
        <v>0.93349323620000002</v>
      </c>
      <c r="AG522" s="6">
        <f>[1]Emissions!AF938</f>
        <v>0.94697624739999997</v>
      </c>
      <c r="AH522" s="6">
        <f>[1]Emissions!AG938</f>
        <v>0.96086813670000004</v>
      </c>
      <c r="AI522" s="6">
        <f>[1]Emissions!AH938</f>
        <v>0.9751691281</v>
      </c>
      <c r="AJ522" s="6">
        <f>[1]Emissions!AI938</f>
        <v>0.98987566650000003</v>
      </c>
      <c r="AK522" s="6">
        <f>[1]Emissions!AJ938</f>
        <v>1.004985574</v>
      </c>
      <c r="AL522" s="6">
        <f>[1]Emissions!AK938</f>
        <v>1.0204997849999999</v>
      </c>
    </row>
    <row r="523" spans="2:38" hidden="1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</row>
    <row r="524" spans="2:38" hidden="1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</row>
    <row r="525" spans="2:38" hidden="1" x14ac:dyDescent="0.3">
      <c r="B525" s="16" t="str">
        <f>[1]Emissions!A941</f>
        <v>ems_ci_co2_scon_0</v>
      </c>
      <c r="C525" s="6">
        <f>[1]Emissions!B941</f>
        <v>7.5467149940000002</v>
      </c>
      <c r="D525" s="6">
        <f>[1]Emissions!C941</f>
        <v>8.0106447000000003</v>
      </c>
      <c r="E525" s="6">
        <f>[1]Emissions!D941</f>
        <v>8.5077703519999996</v>
      </c>
      <c r="F525" s="6">
        <f>[1]Emissions!E941</f>
        <v>8.8221014150000006</v>
      </c>
      <c r="G525" s="6">
        <f>[1]Emissions!F941</f>
        <v>8.9967074730000007</v>
      </c>
      <c r="H525" s="6">
        <f>[1]Emissions!G941</f>
        <v>9.1051100389999995</v>
      </c>
      <c r="I525" s="6">
        <f>[1]Emissions!H941</f>
        <v>9.0491816049999994</v>
      </c>
      <c r="J525" s="6">
        <f>[1]Emissions!I941</f>
        <v>9.0647164700000005</v>
      </c>
      <c r="K525" s="6">
        <f>[1]Emissions!J941</f>
        <v>9.1296693859999998</v>
      </c>
      <c r="L525" s="6">
        <f>[1]Emissions!K941</f>
        <v>9.2219508959999992</v>
      </c>
      <c r="M525" s="6">
        <f>[1]Emissions!L941</f>
        <v>9.5375223519999999</v>
      </c>
      <c r="N525" s="6">
        <f>[1]Emissions!M941</f>
        <v>9.5610529829999997</v>
      </c>
      <c r="O525" s="6">
        <f>[1]Emissions!N941</f>
        <v>9.6308432560000004</v>
      </c>
      <c r="P525" s="6">
        <f>[1]Emissions!O941</f>
        <v>9.7428816359999999</v>
      </c>
      <c r="Q525" s="6">
        <f>[1]Emissions!P941</f>
        <v>9.8772949620000006</v>
      </c>
      <c r="R525" s="6">
        <f>[1]Emissions!Q941</f>
        <v>10.023804350000001</v>
      </c>
      <c r="S525" s="6">
        <f>[1]Emissions!R941</f>
        <v>10.178245179999999</v>
      </c>
      <c r="T525" s="6">
        <f>[1]Emissions!S941</f>
        <v>10.33911617</v>
      </c>
      <c r="U525" s="6">
        <f>[1]Emissions!T941</f>
        <v>10.50574378</v>
      </c>
      <c r="V525" s="6">
        <f>[1]Emissions!U941</f>
        <v>10.67749422</v>
      </c>
      <c r="W525" s="6">
        <f>[1]Emissions!V941</f>
        <v>10.705354809999999</v>
      </c>
      <c r="X525" s="6">
        <f>[1]Emissions!W941</f>
        <v>10.948343769999999</v>
      </c>
      <c r="Y525" s="6">
        <f>[1]Emissions!X941</f>
        <v>11.17632783</v>
      </c>
      <c r="Z525" s="6">
        <f>[1]Emissions!Y941</f>
        <v>11.3822218</v>
      </c>
      <c r="AA525" s="6">
        <f>[1]Emissions!Z941</f>
        <v>11.577296759999999</v>
      </c>
      <c r="AB525" s="6">
        <f>[1]Emissions!AA941</f>
        <v>11.33409245</v>
      </c>
      <c r="AC525" s="6">
        <f>[1]Emissions!AB941</f>
        <v>11.534998059999999</v>
      </c>
      <c r="AD525" s="6">
        <f>[1]Emissions!AC941</f>
        <v>11.75798593</v>
      </c>
      <c r="AE525" s="6">
        <f>[1]Emissions!AD941</f>
        <v>11.96593783</v>
      </c>
      <c r="AF525" s="6">
        <f>[1]Emissions!AE941</f>
        <v>12.16425987</v>
      </c>
      <c r="AG525" s="6">
        <f>[1]Emissions!AF941</f>
        <v>12.358822740000001</v>
      </c>
      <c r="AH525" s="6">
        <f>[1]Emissions!AG941</f>
        <v>12.552650809999999</v>
      </c>
      <c r="AI525" s="6">
        <f>[1]Emissions!AH941</f>
        <v>12.747074270000001</v>
      </c>
      <c r="AJ525" s="6">
        <f>[1]Emissions!AI941</f>
        <v>12.94279914</v>
      </c>
      <c r="AK525" s="6">
        <f>[1]Emissions!AJ941</f>
        <v>13.14044241</v>
      </c>
      <c r="AL525" s="6">
        <f>[1]Emissions!AK941</f>
        <v>13.340650460000001</v>
      </c>
    </row>
    <row r="526" spans="2:38" hidden="1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</row>
    <row r="527" spans="2:38" hidden="1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</row>
    <row r="528" spans="2:38" hidden="1" x14ac:dyDescent="0.3">
      <c r="B528" s="16" t="str">
        <f>[1]Emissions!A944</f>
        <v>ems_ci_co2_srai_0</v>
      </c>
      <c r="C528" s="6">
        <f>[1]Emissions!B944</f>
        <v>5.5901665349999998</v>
      </c>
      <c r="D528" s="6">
        <f>[1]Emissions!C944</f>
        <v>5.5828931639999997</v>
      </c>
      <c r="E528" s="6">
        <f>[1]Emissions!D944</f>
        <v>5.5864923070000003</v>
      </c>
      <c r="F528" s="6">
        <f>[1]Emissions!E944</f>
        <v>5.6080890969999997</v>
      </c>
      <c r="G528" s="6">
        <f>[1]Emissions!F944</f>
        <v>5.6416718570000004</v>
      </c>
      <c r="H528" s="6">
        <f>[1]Emissions!G944</f>
        <v>5.6829418829999998</v>
      </c>
      <c r="I528" s="6">
        <f>[1]Emissions!H944</f>
        <v>5.7289291430000002</v>
      </c>
      <c r="J528" s="6">
        <f>[1]Emissions!I944</f>
        <v>5.7778495550000004</v>
      </c>
      <c r="K528" s="6">
        <f>[1]Emissions!J944</f>
        <v>5.83042354</v>
      </c>
      <c r="L528" s="6">
        <f>[1]Emissions!K944</f>
        <v>5.8875608389999998</v>
      </c>
      <c r="M528" s="6">
        <f>[1]Emissions!L944</f>
        <v>5.9508492979999996</v>
      </c>
      <c r="N528" s="6">
        <f>[1]Emissions!M944</f>
        <v>6.0218262530000004</v>
      </c>
      <c r="O528" s="6">
        <f>[1]Emissions!N944</f>
        <v>6.0960647220000004</v>
      </c>
      <c r="P528" s="6">
        <f>[1]Emissions!O944</f>
        <v>6.1725999810000003</v>
      </c>
      <c r="Q528" s="6">
        <f>[1]Emissions!P944</f>
        <v>6.251110873</v>
      </c>
      <c r="R528" s="6">
        <f>[1]Emissions!Q944</f>
        <v>6.3314705690000004</v>
      </c>
      <c r="S528" s="6">
        <f>[1]Emissions!R944</f>
        <v>6.4136213050000004</v>
      </c>
      <c r="T528" s="6">
        <f>[1]Emissions!S944</f>
        <v>6.4974666790000004</v>
      </c>
      <c r="U528" s="6">
        <f>[1]Emissions!T944</f>
        <v>6.5828048399999997</v>
      </c>
      <c r="V528" s="6">
        <f>[1]Emissions!U944</f>
        <v>6.669333322</v>
      </c>
      <c r="W528" s="6">
        <f>[1]Emissions!V944</f>
        <v>6.755271649</v>
      </c>
      <c r="X528" s="6">
        <f>[1]Emissions!W944</f>
        <v>6.8404112440000002</v>
      </c>
      <c r="Y528" s="6">
        <f>[1]Emissions!X944</f>
        <v>6.9270445550000002</v>
      </c>
      <c r="Z528" s="6">
        <f>[1]Emissions!Y944</f>
        <v>7.015007583</v>
      </c>
      <c r="AA528" s="6">
        <f>[1]Emissions!Z944</f>
        <v>7.1039835880000002</v>
      </c>
      <c r="AB528" s="6">
        <f>[1]Emissions!AA944</f>
        <v>7.1885336110000004</v>
      </c>
      <c r="AC528" s="6">
        <f>[1]Emissions!AB944</f>
        <v>7.2697884979999996</v>
      </c>
      <c r="AD528" s="6">
        <f>[1]Emissions!AC944</f>
        <v>7.3517488889999996</v>
      </c>
      <c r="AE528" s="6">
        <f>[1]Emissions!AD944</f>
        <v>7.4354218620000001</v>
      </c>
      <c r="AF528" s="6">
        <f>[1]Emissions!AE944</f>
        <v>7.5211843849999998</v>
      </c>
      <c r="AG528" s="6">
        <f>[1]Emissions!AF944</f>
        <v>7.609132088</v>
      </c>
      <c r="AH528" s="6">
        <f>[1]Emissions!AG944</f>
        <v>7.6992043739999998</v>
      </c>
      <c r="AI528" s="6">
        <f>[1]Emissions!AH944</f>
        <v>7.7913096819999996</v>
      </c>
      <c r="AJ528" s="6">
        <f>[1]Emissions!AI944</f>
        <v>7.8854122269999998</v>
      </c>
      <c r="AK528" s="6">
        <f>[1]Emissions!AJ944</f>
        <v>7.9815534750000001</v>
      </c>
      <c r="AL528" s="6">
        <f>[1]Emissions!AK944</f>
        <v>8.0798170989999996</v>
      </c>
    </row>
    <row r="529" spans="2:38" hidden="1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</row>
    <row r="530" spans="2:38" hidden="1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</row>
    <row r="531" spans="2:38" hidden="1" x14ac:dyDescent="0.3">
      <c r="B531" s="16" t="str">
        <f>[1]Emissions!A947</f>
        <v>ems_ci_co2_sroa_0</v>
      </c>
      <c r="C531" s="6">
        <f>[1]Emissions!B947</f>
        <v>16.040054869999999</v>
      </c>
      <c r="D531" s="6">
        <f>[1]Emissions!C947</f>
        <v>15.99344673</v>
      </c>
      <c r="E531" s="6">
        <f>[1]Emissions!D947</f>
        <v>15.97470798</v>
      </c>
      <c r="F531" s="6">
        <f>[1]Emissions!E947</f>
        <v>16.0125213</v>
      </c>
      <c r="G531" s="6">
        <f>[1]Emissions!F947</f>
        <v>16.091816179999999</v>
      </c>
      <c r="H531" s="6">
        <f>[1]Emissions!G947</f>
        <v>16.199527710000002</v>
      </c>
      <c r="I531" s="6">
        <f>[1]Emissions!H947</f>
        <v>16.325632540000001</v>
      </c>
      <c r="J531" s="6">
        <f>[1]Emissions!I947</f>
        <v>16.463079539999999</v>
      </c>
      <c r="K531" s="6">
        <f>[1]Emissions!J947</f>
        <v>16.612025419999998</v>
      </c>
      <c r="L531" s="6">
        <f>[1]Emissions!K947</f>
        <v>16.773820130000001</v>
      </c>
      <c r="M531" s="6">
        <f>[1]Emissions!L947</f>
        <v>16.951564000000001</v>
      </c>
      <c r="N531" s="6">
        <f>[1]Emissions!M947</f>
        <v>17.15102714</v>
      </c>
      <c r="O531" s="6">
        <f>[1]Emissions!N947</f>
        <v>17.360005600000001</v>
      </c>
      <c r="P531" s="6">
        <f>[1]Emissions!O947</f>
        <v>17.57574237</v>
      </c>
      <c r="Q531" s="6">
        <f>[1]Emissions!P947</f>
        <v>17.796969600000001</v>
      </c>
      <c r="R531" s="6">
        <f>[1]Emissions!Q947</f>
        <v>18.022876709999998</v>
      </c>
      <c r="S531" s="6">
        <f>[1]Emissions!R947</f>
        <v>18.252981930000001</v>
      </c>
      <c r="T531" s="6">
        <f>[1]Emissions!S947</f>
        <v>18.48693754</v>
      </c>
      <c r="U531" s="6">
        <f>[1]Emissions!T947</f>
        <v>18.724324960000001</v>
      </c>
      <c r="V531" s="6">
        <f>[1]Emissions!U947</f>
        <v>18.964573619999999</v>
      </c>
      <c r="W531" s="6">
        <f>[1]Emissions!V947</f>
        <v>19.203583139999999</v>
      </c>
      <c r="X531" s="6">
        <f>[1]Emissions!W947</f>
        <v>19.439994710000001</v>
      </c>
      <c r="Y531" s="6">
        <f>[1]Emissions!X947</f>
        <v>19.680454210000001</v>
      </c>
      <c r="Z531" s="6">
        <f>[1]Emissions!Y947</f>
        <v>19.924705629999998</v>
      </c>
      <c r="AA531" s="6">
        <f>[1]Emissions!Z947</f>
        <v>20.172040020000001</v>
      </c>
      <c r="AB531" s="6">
        <f>[1]Emissions!AA947</f>
        <v>20.408829709999999</v>
      </c>
      <c r="AC531" s="6">
        <f>[1]Emissions!AB947</f>
        <v>20.63640964</v>
      </c>
      <c r="AD531" s="6">
        <f>[1]Emissions!AC947</f>
        <v>20.865537199999999</v>
      </c>
      <c r="AE531" s="6">
        <f>[1]Emissions!AD947</f>
        <v>21.098955650000001</v>
      </c>
      <c r="AF531" s="6">
        <f>[1]Emissions!AE947</f>
        <v>21.337935330000001</v>
      </c>
      <c r="AG531" s="6">
        <f>[1]Emissions!AF947</f>
        <v>21.58303635</v>
      </c>
      <c r="AH531" s="6">
        <f>[1]Emissions!AG947</f>
        <v>21.834289739999999</v>
      </c>
      <c r="AI531" s="6">
        <f>[1]Emissions!AH947</f>
        <v>22.091475119999998</v>
      </c>
      <c r="AJ531" s="6">
        <f>[1]Emissions!AI947</f>
        <v>22.35438194</v>
      </c>
      <c r="AK531" s="6">
        <f>[1]Emissions!AJ947</f>
        <v>22.622945390000002</v>
      </c>
      <c r="AL531" s="6">
        <f>[1]Emissions!AK947</f>
        <v>22.89723742</v>
      </c>
    </row>
    <row r="532" spans="2:38" hidden="1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</row>
    <row r="533" spans="2:38" hidden="1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</row>
    <row r="534" spans="2:38" hidden="1" x14ac:dyDescent="0.3">
      <c r="B534" s="16" t="str">
        <f>[1]Emissions!A950</f>
        <v>ems_ci_co2_swat_0</v>
      </c>
      <c r="C534" s="6">
        <f>[1]Emissions!B950</f>
        <v>3.7869718140000002</v>
      </c>
      <c r="D534" s="6">
        <f>[1]Emissions!C950</f>
        <v>3.8481040050000002</v>
      </c>
      <c r="E534" s="6">
        <f>[1]Emissions!D950</f>
        <v>3.9193764029999998</v>
      </c>
      <c r="F534" s="6">
        <f>[1]Emissions!E950</f>
        <v>3.9971934099999999</v>
      </c>
      <c r="G534" s="6">
        <f>[1]Emissions!F950</f>
        <v>4.0794118580000003</v>
      </c>
      <c r="H534" s="6">
        <f>[1]Emissions!G950</f>
        <v>4.1637404990000002</v>
      </c>
      <c r="I534" s="6">
        <f>[1]Emissions!H950</f>
        <v>4.2446407639999997</v>
      </c>
      <c r="J534" s="6">
        <f>[1]Emissions!I950</f>
        <v>4.3237017509999998</v>
      </c>
      <c r="K534" s="6">
        <f>[1]Emissions!J950</f>
        <v>4.400682142</v>
      </c>
      <c r="L534" s="6">
        <f>[1]Emissions!K950</f>
        <v>4.475712605</v>
      </c>
      <c r="M534" s="6">
        <f>[1]Emissions!L950</f>
        <v>4.5554733900000004</v>
      </c>
      <c r="N534" s="6">
        <f>[1]Emissions!M950</f>
        <v>4.6292662499999997</v>
      </c>
      <c r="O534" s="6">
        <f>[1]Emissions!N950</f>
        <v>4.7019014810000002</v>
      </c>
      <c r="P534" s="6">
        <f>[1]Emissions!O950</f>
        <v>4.773820261</v>
      </c>
      <c r="Q534" s="6">
        <f>[1]Emissions!P950</f>
        <v>4.8448917380000003</v>
      </c>
      <c r="R534" s="6">
        <f>[1]Emissions!Q950</f>
        <v>4.9151142459999999</v>
      </c>
      <c r="S534" s="6">
        <f>[1]Emissions!R950</f>
        <v>4.9847726220000004</v>
      </c>
      <c r="T534" s="6">
        <f>[1]Emissions!S950</f>
        <v>5.0543855730000002</v>
      </c>
      <c r="U534" s="6">
        <f>[1]Emissions!T950</f>
        <v>5.1245591130000001</v>
      </c>
      <c r="V534" s="6">
        <f>[1]Emissions!U950</f>
        <v>5.1958376910000004</v>
      </c>
      <c r="W534" s="6">
        <f>[1]Emissions!V950</f>
        <v>5.2640289060000001</v>
      </c>
      <c r="X534" s="6">
        <f>[1]Emissions!W950</f>
        <v>5.3377479589999997</v>
      </c>
      <c r="Y534" s="6">
        <f>[1]Emissions!X950</f>
        <v>5.4137539969999997</v>
      </c>
      <c r="Z534" s="6">
        <f>[1]Emissions!Y950</f>
        <v>5.4917548260000002</v>
      </c>
      <c r="AA534" s="6">
        <f>[1]Emissions!Z950</f>
        <v>5.5717262270000001</v>
      </c>
      <c r="AB534" s="6">
        <f>[1]Emissions!AA950</f>
        <v>5.6403525029999999</v>
      </c>
      <c r="AC534" s="6">
        <f>[1]Emissions!AB950</f>
        <v>5.7156068390000003</v>
      </c>
      <c r="AD534" s="6">
        <f>[1]Emissions!AC950</f>
        <v>5.7928652850000004</v>
      </c>
      <c r="AE534" s="6">
        <f>[1]Emissions!AD950</f>
        <v>5.8718168999999998</v>
      </c>
      <c r="AF534" s="6">
        <f>[1]Emissions!AE950</f>
        <v>5.9526768499999996</v>
      </c>
      <c r="AG534" s="6">
        <f>[1]Emissions!AF950</f>
        <v>6.0355654559999996</v>
      </c>
      <c r="AH534" s="6">
        <f>[1]Emissions!AG950</f>
        <v>6.1203894280000002</v>
      </c>
      <c r="AI534" s="6">
        <f>[1]Emissions!AH950</f>
        <v>6.2068884180000001</v>
      </c>
      <c r="AJ534" s="6">
        <f>[1]Emissions!AI950</f>
        <v>6.2947501580000003</v>
      </c>
      <c r="AK534" s="6">
        <f>[1]Emissions!AJ950</f>
        <v>6.3837237059999996</v>
      </c>
      <c r="AL534" s="6">
        <f>[1]Emissions!AK950</f>
        <v>6.4736841350000001</v>
      </c>
    </row>
    <row r="535" spans="2:38" hidden="1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</row>
    <row r="536" spans="2:38" hidden="1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</row>
    <row r="537" spans="2:38" hidden="1" x14ac:dyDescent="0.3">
      <c r="B537" s="16" t="str">
        <f>[1]Emissions!A953</f>
        <v>ems_ci_co2_sair_0</v>
      </c>
      <c r="C537" s="6">
        <f>[1]Emissions!B953</f>
        <v>19.866369049999999</v>
      </c>
      <c r="D537" s="6">
        <f>[1]Emissions!C953</f>
        <v>20.138514430000001</v>
      </c>
      <c r="E537" s="6">
        <f>[1]Emissions!D953</f>
        <v>20.463111090000002</v>
      </c>
      <c r="F537" s="6">
        <f>[1]Emissions!E953</f>
        <v>20.826090870000002</v>
      </c>
      <c r="G537" s="6">
        <f>[1]Emissions!F953</f>
        <v>21.212251089999999</v>
      </c>
      <c r="H537" s="6">
        <f>[1]Emissions!G953</f>
        <v>21.612245690000002</v>
      </c>
      <c r="I537" s="6">
        <f>[1]Emissions!H953</f>
        <v>22.008832819999999</v>
      </c>
      <c r="J537" s="6">
        <f>[1]Emissions!I953</f>
        <v>22.408005719999998</v>
      </c>
      <c r="K537" s="6">
        <f>[1]Emissions!J953</f>
        <v>22.813205839999998</v>
      </c>
      <c r="L537" s="6">
        <f>[1]Emissions!K953</f>
        <v>23.227148530000001</v>
      </c>
      <c r="M537" s="6">
        <f>[1]Emissions!L953</f>
        <v>23.673083859999998</v>
      </c>
      <c r="N537" s="6">
        <f>[1]Emissions!M953</f>
        <v>24.117993779999999</v>
      </c>
      <c r="O537" s="6">
        <f>[1]Emissions!N953</f>
        <v>24.565988879999999</v>
      </c>
      <c r="P537" s="6">
        <f>[1]Emissions!O953</f>
        <v>25.01553277</v>
      </c>
      <c r="Q537" s="6">
        <f>[1]Emissions!P953</f>
        <v>25.466011009999999</v>
      </c>
      <c r="R537" s="6">
        <f>[1]Emissions!Q953</f>
        <v>25.918191629999999</v>
      </c>
      <c r="S537" s="6">
        <f>[1]Emissions!R953</f>
        <v>26.37373066</v>
      </c>
      <c r="T537" s="6">
        <f>[1]Emissions!S953</f>
        <v>26.834436050000001</v>
      </c>
      <c r="U537" s="6">
        <f>[1]Emissions!T953</f>
        <v>27.30171571</v>
      </c>
      <c r="V537" s="6">
        <f>[1]Emissions!U953</f>
        <v>27.776385640000001</v>
      </c>
      <c r="W537" s="6">
        <f>[1]Emissions!V953</f>
        <v>28.240587819999998</v>
      </c>
      <c r="X537" s="6">
        <f>[1]Emissions!W953</f>
        <v>28.721312829999999</v>
      </c>
      <c r="Y537" s="6">
        <f>[1]Emissions!X953</f>
        <v>29.214188310000001</v>
      </c>
      <c r="Z537" s="6">
        <f>[1]Emissions!Y953</f>
        <v>29.718549979999999</v>
      </c>
      <c r="AA537" s="6">
        <f>[1]Emissions!Z953</f>
        <v>30.233838739999999</v>
      </c>
      <c r="AB537" s="6">
        <f>[1]Emissions!AA953</f>
        <v>30.70375546</v>
      </c>
      <c r="AC537" s="6">
        <f>[1]Emissions!AB953</f>
        <v>31.18727921</v>
      </c>
      <c r="AD537" s="6">
        <f>[1]Emissions!AC953</f>
        <v>31.680869080000001</v>
      </c>
      <c r="AE537" s="6">
        <f>[1]Emissions!AD953</f>
        <v>32.185853770000001</v>
      </c>
      <c r="AF537" s="6">
        <f>[1]Emissions!AE953</f>
        <v>32.702667210000001</v>
      </c>
      <c r="AG537" s="6">
        <f>[1]Emissions!AF953</f>
        <v>33.230760060000001</v>
      </c>
      <c r="AH537" s="6">
        <f>[1]Emissions!AG953</f>
        <v>33.769129999999997</v>
      </c>
      <c r="AI537" s="6">
        <f>[1]Emissions!AH953</f>
        <v>34.316912680000002</v>
      </c>
      <c r="AJ537" s="6">
        <f>[1]Emissions!AI953</f>
        <v>34.873756829999998</v>
      </c>
      <c r="AK537" s="6">
        <f>[1]Emissions!AJ953</f>
        <v>35.439878370000002</v>
      </c>
      <c r="AL537" s="6">
        <f>[1]Emissions!AK953</f>
        <v>36.015847649999998</v>
      </c>
    </row>
    <row r="538" spans="2:38" hidden="1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</row>
    <row r="539" spans="2:38" hidden="1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</row>
    <row r="540" spans="2:38" hidden="1" x14ac:dyDescent="0.3">
      <c r="B540" s="16" t="str">
        <f>[1]Emissions!A956</f>
        <v>ems_ci_co2_spri_0</v>
      </c>
      <c r="C540" s="6">
        <f>[1]Emissions!B956</f>
        <v>30.81987728</v>
      </c>
      <c r="D540" s="6">
        <f>[1]Emissions!C956</f>
        <v>30.515654260000002</v>
      </c>
      <c r="E540" s="6">
        <f>[1]Emissions!D956</f>
        <v>30.273551659999999</v>
      </c>
      <c r="F540" s="6">
        <f>[1]Emissions!E956</f>
        <v>30.282171559999998</v>
      </c>
      <c r="G540" s="6">
        <f>[1]Emissions!F956</f>
        <v>30.55353173</v>
      </c>
      <c r="H540" s="6">
        <f>[1]Emissions!G956</f>
        <v>31.071596190000001</v>
      </c>
      <c r="I540" s="6">
        <f>[1]Emissions!H956</f>
        <v>31.82982076</v>
      </c>
      <c r="J540" s="6">
        <f>[1]Emissions!I956</f>
        <v>32.722756820000001</v>
      </c>
      <c r="K540" s="6">
        <f>[1]Emissions!J956</f>
        <v>33.698090110000003</v>
      </c>
      <c r="L540" s="6">
        <f>[1]Emissions!K956</f>
        <v>34.709195710000003</v>
      </c>
      <c r="M540" s="6">
        <f>[1]Emissions!L956</f>
        <v>35.647802929999997</v>
      </c>
      <c r="N540" s="6">
        <f>[1]Emissions!M956</f>
        <v>36.705570719999997</v>
      </c>
      <c r="O540" s="6">
        <f>[1]Emissions!N956</f>
        <v>37.764449659999997</v>
      </c>
      <c r="P540" s="6">
        <f>[1]Emissions!O956</f>
        <v>38.820538970000001</v>
      </c>
      <c r="Q540" s="6">
        <f>[1]Emissions!P956</f>
        <v>39.859969419999999</v>
      </c>
      <c r="R540" s="6">
        <f>[1]Emissions!Q956</f>
        <v>40.85777255</v>
      </c>
      <c r="S540" s="6">
        <f>[1]Emissions!R956</f>
        <v>41.791201559999998</v>
      </c>
      <c r="T540" s="6">
        <f>[1]Emissions!S956</f>
        <v>42.649780499999999</v>
      </c>
      <c r="U540" s="6">
        <f>[1]Emissions!T956</f>
        <v>43.43820049</v>
      </c>
      <c r="V540" s="6">
        <f>[1]Emissions!U956</f>
        <v>44.173000799999997</v>
      </c>
      <c r="W540" s="6">
        <f>[1]Emissions!V956</f>
        <v>44.9256593</v>
      </c>
      <c r="X540" s="6">
        <f>[1]Emissions!W956</f>
        <v>45.57920214</v>
      </c>
      <c r="Y540" s="6">
        <f>[1]Emissions!X956</f>
        <v>46.239518930000003</v>
      </c>
      <c r="Z540" s="6">
        <f>[1]Emissions!Y956</f>
        <v>46.921321900000002</v>
      </c>
      <c r="AA540" s="6">
        <f>[1]Emissions!Z956</f>
        <v>47.633789929999999</v>
      </c>
      <c r="AB540" s="6">
        <f>[1]Emissions!AA956</f>
        <v>48.499861039999999</v>
      </c>
      <c r="AC540" s="6">
        <f>[1]Emissions!AB956</f>
        <v>49.241852520000002</v>
      </c>
      <c r="AD540" s="6">
        <f>[1]Emissions!AC956</f>
        <v>49.975532960000002</v>
      </c>
      <c r="AE540" s="6">
        <f>[1]Emissions!AD956</f>
        <v>50.703238859999999</v>
      </c>
      <c r="AF540" s="6">
        <f>[1]Emissions!AE956</f>
        <v>51.432348529999999</v>
      </c>
      <c r="AG540" s="6">
        <f>[1]Emissions!AF956</f>
        <v>52.178799230000003</v>
      </c>
      <c r="AH540" s="6">
        <f>[1]Emissions!AG956</f>
        <v>52.957609079999997</v>
      </c>
      <c r="AI540" s="6">
        <f>[1]Emissions!AH956</f>
        <v>53.775764580000001</v>
      </c>
      <c r="AJ540" s="6">
        <f>[1]Emissions!AI956</f>
        <v>54.630336530000001</v>
      </c>
      <c r="AK540" s="6">
        <f>[1]Emissions!AJ956</f>
        <v>55.511192280000003</v>
      </c>
      <c r="AL540" s="6">
        <f>[1]Emissions!AK956</f>
        <v>56.406092479999998</v>
      </c>
    </row>
    <row r="541" spans="2:38" hidden="1" x14ac:dyDescent="0.3">
      <c r="B541" s="16" t="str">
        <f>[1]Emissions!A957</f>
        <v>ems_y_co2_spri_0</v>
      </c>
      <c r="C541" s="6">
        <f>[1]Emissions!B957</f>
        <v>0.4044219423</v>
      </c>
      <c r="D541" s="6">
        <f>[1]Emissions!C957</f>
        <v>0.40722793660000001</v>
      </c>
      <c r="E541" s="6">
        <f>[1]Emissions!D957</f>
        <v>0.41175775860000002</v>
      </c>
      <c r="F541" s="6">
        <f>[1]Emissions!E957</f>
        <v>0.4180332142</v>
      </c>
      <c r="G541" s="6">
        <f>[1]Emissions!F957</f>
        <v>0.42494240030000002</v>
      </c>
      <c r="H541" s="6">
        <f>[1]Emissions!G957</f>
        <v>0.43201028200000002</v>
      </c>
      <c r="I541" s="6">
        <f>[1]Emissions!H957</f>
        <v>0.439609103</v>
      </c>
      <c r="J541" s="6">
        <f>[1]Emissions!I957</f>
        <v>0.44674564979999998</v>
      </c>
      <c r="K541" s="6">
        <f>[1]Emissions!J957</f>
        <v>0.45377950049999999</v>
      </c>
      <c r="L541" s="6">
        <f>[1]Emissions!K957</f>
        <v>0.46093630089999998</v>
      </c>
      <c r="M541" s="6">
        <f>[1]Emissions!L957</f>
        <v>0.46745371289999998</v>
      </c>
      <c r="N541" s="6">
        <f>[1]Emissions!M957</f>
        <v>0.47598241209999997</v>
      </c>
      <c r="O541" s="6">
        <f>[1]Emissions!N957</f>
        <v>0.48419456789999998</v>
      </c>
      <c r="P541" s="6">
        <f>[1]Emissions!O957</f>
        <v>0.49221669800000001</v>
      </c>
      <c r="Q541" s="6">
        <f>[1]Emissions!P957</f>
        <v>0.50015600169999996</v>
      </c>
      <c r="R541" s="6">
        <f>[1]Emissions!Q957</f>
        <v>0.50812084440000005</v>
      </c>
      <c r="S541" s="6">
        <f>[1]Emissions!R957</f>
        <v>0.51620874029999997</v>
      </c>
      <c r="T541" s="6">
        <f>[1]Emissions!S957</f>
        <v>0.52448791890000002</v>
      </c>
      <c r="U541" s="6">
        <f>[1]Emissions!T957</f>
        <v>0.53298865790000005</v>
      </c>
      <c r="V541" s="6">
        <f>[1]Emissions!U957</f>
        <v>0.54170797940000004</v>
      </c>
      <c r="W541" s="6">
        <f>[1]Emissions!V957</f>
        <v>0.55110906959999995</v>
      </c>
      <c r="X541" s="6">
        <f>[1]Emissions!W957</f>
        <v>0.55954918730000003</v>
      </c>
      <c r="Y541" s="6">
        <f>[1]Emissions!X957</f>
        <v>0.5684846268</v>
      </c>
      <c r="Z541" s="6">
        <f>[1]Emissions!Y957</f>
        <v>0.57775038590000005</v>
      </c>
      <c r="AA541" s="6">
        <f>[1]Emissions!Z957</f>
        <v>0.58724547579999997</v>
      </c>
      <c r="AB541" s="6">
        <f>[1]Emissions!AA957</f>
        <v>0.59808454170000003</v>
      </c>
      <c r="AC541" s="6">
        <f>[1]Emissions!AB957</f>
        <v>0.60677673229999995</v>
      </c>
      <c r="AD541" s="6">
        <f>[1]Emissions!AC957</f>
        <v>0.61571854349999999</v>
      </c>
      <c r="AE541" s="6">
        <f>[1]Emissions!AD957</f>
        <v>0.62491052869999997</v>
      </c>
      <c r="AF541" s="6">
        <f>[1]Emissions!AE957</f>
        <v>0.6343271815</v>
      </c>
      <c r="AG541" s="6">
        <f>[1]Emissions!AF957</f>
        <v>0.64391686999999997</v>
      </c>
      <c r="AH541" s="6">
        <f>[1]Emissions!AG957</f>
        <v>0.65362443169999995</v>
      </c>
      <c r="AI541" s="6">
        <f>[1]Emissions!AH957</f>
        <v>0.66341380409999995</v>
      </c>
      <c r="AJ541" s="6">
        <f>[1]Emissions!AI957</f>
        <v>0.67327813270000003</v>
      </c>
      <c r="AK541" s="6">
        <f>[1]Emissions!AJ957</f>
        <v>0.68323565730000002</v>
      </c>
      <c r="AL541" s="6">
        <f>[1]Emissions!AK957</f>
        <v>0.69331641349999995</v>
      </c>
    </row>
    <row r="542" spans="2:38" hidden="1" x14ac:dyDescent="0.3">
      <c r="B542" s="16" t="str">
        <f>[1]Emissions!A958</f>
        <v>ems_mat_co2_spri_0</v>
      </c>
      <c r="C542" s="6">
        <f>[1]Emissions!B958</f>
        <v>0.59293969349999998</v>
      </c>
      <c r="D542" s="6">
        <f>[1]Emissions!C958</f>
        <v>0.59744163340000001</v>
      </c>
      <c r="E542" s="6">
        <f>[1]Emissions!D958</f>
        <v>0.60385157209999996</v>
      </c>
      <c r="F542" s="6">
        <f>[1]Emissions!E958</f>
        <v>0.61283315969999996</v>
      </c>
      <c r="G542" s="6">
        <f>[1]Emissions!F958</f>
        <v>0.62293843859999998</v>
      </c>
      <c r="H542" s="6">
        <f>[1]Emissions!G958</f>
        <v>0.63335741320000005</v>
      </c>
      <c r="I542" s="6">
        <f>[1]Emissions!H958</f>
        <v>0.64450430609999998</v>
      </c>
      <c r="J542" s="6">
        <f>[1]Emissions!I958</f>
        <v>0.65508679329999997</v>
      </c>
      <c r="K542" s="6">
        <f>[1]Emissions!J958</f>
        <v>0.66545353249999994</v>
      </c>
      <c r="L542" s="6">
        <f>[1]Emissions!K958</f>
        <v>0.6759547119</v>
      </c>
      <c r="M542" s="6">
        <f>[1]Emissions!L958</f>
        <v>0.68560257290000004</v>
      </c>
      <c r="N542" s="6">
        <f>[1]Emissions!M958</f>
        <v>0.69786990739999999</v>
      </c>
      <c r="O542" s="6">
        <f>[1]Emissions!N958</f>
        <v>0.7099886863</v>
      </c>
      <c r="P542" s="6">
        <f>[1]Emissions!O958</f>
        <v>0.7218189196</v>
      </c>
      <c r="Q542" s="6">
        <f>[1]Emissions!P958</f>
        <v>0.73349620370000002</v>
      </c>
      <c r="R542" s="6">
        <f>[1]Emissions!Q958</f>
        <v>0.74518614149999995</v>
      </c>
      <c r="S542" s="6">
        <f>[1]Emissions!R958</f>
        <v>0.75704042670000005</v>
      </c>
      <c r="T542" s="6">
        <f>[1]Emissions!S958</f>
        <v>0.76916782120000005</v>
      </c>
      <c r="U542" s="6">
        <f>[1]Emissions!T958</f>
        <v>0.78162007079999996</v>
      </c>
      <c r="V542" s="6">
        <f>[1]Emissions!U958</f>
        <v>0.79439744069999996</v>
      </c>
      <c r="W542" s="6">
        <f>[1]Emissions!V958</f>
        <v>0.80812364410000004</v>
      </c>
      <c r="X542" s="6">
        <f>[1]Emissions!W958</f>
        <v>0.8206471528</v>
      </c>
      <c r="Y542" s="6">
        <f>[1]Emissions!X958</f>
        <v>0.83370140829999995</v>
      </c>
      <c r="Z542" s="6">
        <f>[1]Emissions!Y958</f>
        <v>0.84725772980000003</v>
      </c>
      <c r="AA542" s="6">
        <f>[1]Emissions!Z958</f>
        <v>0.86117291250000005</v>
      </c>
      <c r="AB542" s="6">
        <f>[1]Emissions!AA958</f>
        <v>0.8769329709</v>
      </c>
      <c r="AC542" s="6">
        <f>[1]Emissions!AB958</f>
        <v>0.88998390819999995</v>
      </c>
      <c r="AD542" s="6">
        <f>[1]Emissions!AC958</f>
        <v>0.90306863859999997</v>
      </c>
      <c r="AE542" s="6">
        <f>[1]Emissions!AD958</f>
        <v>0.91650085960000005</v>
      </c>
      <c r="AF542" s="6">
        <f>[1]Emissions!AE958</f>
        <v>0.93027703090000002</v>
      </c>
      <c r="AG542" s="6">
        <f>[1]Emissions!AF958</f>
        <v>0.94432342150000004</v>
      </c>
      <c r="AH542" s="6">
        <f>[1]Emissions!AG958</f>
        <v>0.95855524049999996</v>
      </c>
      <c r="AI542" s="6">
        <f>[1]Emissions!AH958</f>
        <v>0.97291356969999998</v>
      </c>
      <c r="AJ542" s="6">
        <f>[1]Emissions!AI958</f>
        <v>0.98738260219999996</v>
      </c>
      <c r="AK542" s="6">
        <f>[1]Emissions!AJ958</f>
        <v>1.001985441</v>
      </c>
      <c r="AL542" s="6">
        <f>[1]Emissions!AK958</f>
        <v>1.0167652579999999</v>
      </c>
    </row>
    <row r="543" spans="2:38" hidden="1" x14ac:dyDescent="0.3">
      <c r="B543" s="16" t="str">
        <f>[1]Emissions!A959</f>
        <v>ems_ci_co2_spub_0</v>
      </c>
      <c r="C543" s="6">
        <f>[1]Emissions!B959</f>
        <v>15.0601217</v>
      </c>
      <c r="D543" s="6">
        <f>[1]Emissions!C959</f>
        <v>15.05971566</v>
      </c>
      <c r="E543" s="6">
        <f>[1]Emissions!D959</f>
        <v>15.06939339</v>
      </c>
      <c r="F543" s="6">
        <f>[1]Emissions!E959</f>
        <v>15.134444930000001</v>
      </c>
      <c r="G543" s="6">
        <f>[1]Emissions!F959</f>
        <v>15.26229023</v>
      </c>
      <c r="H543" s="6">
        <f>[1]Emissions!G959</f>
        <v>15.451749919999999</v>
      </c>
      <c r="I543" s="6">
        <f>[1]Emissions!H959</f>
        <v>15.696382639999999</v>
      </c>
      <c r="J543" s="6">
        <f>[1]Emissions!I959</f>
        <v>15.9751528</v>
      </c>
      <c r="K543" s="6">
        <f>[1]Emissions!J959</f>
        <v>16.277047889999999</v>
      </c>
      <c r="L543" s="6">
        <f>[1]Emissions!K959</f>
        <v>16.592550490000001</v>
      </c>
      <c r="M543" s="6">
        <f>[1]Emissions!L959</f>
        <v>16.90837934</v>
      </c>
      <c r="N543" s="6">
        <f>[1]Emissions!M959</f>
        <v>17.254669530000001</v>
      </c>
      <c r="O543" s="6">
        <f>[1]Emissions!N959</f>
        <v>17.613066289999999</v>
      </c>
      <c r="P543" s="6">
        <f>[1]Emissions!O959</f>
        <v>17.98536159</v>
      </c>
      <c r="Q543" s="6">
        <f>[1]Emissions!P959</f>
        <v>18.367620120000002</v>
      </c>
      <c r="R543" s="6">
        <f>[1]Emissions!Q959</f>
        <v>18.75158158</v>
      </c>
      <c r="S543" s="6">
        <f>[1]Emissions!R959</f>
        <v>19.12880955</v>
      </c>
      <c r="T543" s="6">
        <f>[1]Emissions!S959</f>
        <v>19.493704149999999</v>
      </c>
      <c r="U543" s="6">
        <f>[1]Emissions!T959</f>
        <v>19.844534110000001</v>
      </c>
      <c r="V543" s="6">
        <f>[1]Emissions!U959</f>
        <v>20.182821700000002</v>
      </c>
      <c r="W543" s="6">
        <f>[1]Emissions!V959</f>
        <v>20.515569490000001</v>
      </c>
      <c r="X543" s="6">
        <f>[1]Emissions!W959</f>
        <v>20.8291316</v>
      </c>
      <c r="Y543" s="6">
        <f>[1]Emissions!X959</f>
        <v>21.141090080000001</v>
      </c>
      <c r="Z543" s="6">
        <f>[1]Emissions!Y959</f>
        <v>21.453642169999998</v>
      </c>
      <c r="AA543" s="6">
        <f>[1]Emissions!Z959</f>
        <v>21.769307009999999</v>
      </c>
      <c r="AB543" s="6">
        <f>[1]Emissions!AA959</f>
        <v>22.09499447</v>
      </c>
      <c r="AC543" s="6">
        <f>[1]Emissions!AB959</f>
        <v>22.398521769999999</v>
      </c>
      <c r="AD543" s="6">
        <f>[1]Emissions!AC959</f>
        <v>22.7004184</v>
      </c>
      <c r="AE543" s="6">
        <f>[1]Emissions!AD959</f>
        <v>23.00117307</v>
      </c>
      <c r="AF543" s="6">
        <f>[1]Emissions!AE959</f>
        <v>23.304003860000002</v>
      </c>
      <c r="AG543" s="6">
        <f>[1]Emissions!AF959</f>
        <v>23.614579200000001</v>
      </c>
      <c r="AH543" s="6">
        <f>[1]Emissions!AG959</f>
        <v>23.938210949999998</v>
      </c>
      <c r="AI543" s="6">
        <f>[1]Emissions!AH959</f>
        <v>24.277825140000001</v>
      </c>
      <c r="AJ543" s="6">
        <f>[1]Emissions!AI959</f>
        <v>24.633403019999999</v>
      </c>
      <c r="AK543" s="6">
        <f>[1]Emissions!AJ959</f>
        <v>25.002703570000001</v>
      </c>
      <c r="AL543" s="6">
        <f>[1]Emissions!AK959</f>
        <v>25.382655379999999</v>
      </c>
    </row>
    <row r="544" spans="2:38" hidden="1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</row>
    <row r="545" spans="2:38" hidden="1" x14ac:dyDescent="0.3">
      <c r="B545" s="16" t="str">
        <f>[1]Emissions!A961</f>
        <v>ems_mat_co2_spub_0</v>
      </c>
      <c r="C545" s="6">
        <f>[1]Emissions!B961</f>
        <v>9.7377176950000006</v>
      </c>
      <c r="D545" s="6">
        <f>[1]Emissions!C961</f>
        <v>9.8464327970000003</v>
      </c>
      <c r="E545" s="6">
        <f>[1]Emissions!D961</f>
        <v>9.9759075260000003</v>
      </c>
      <c r="F545" s="6">
        <f>[1]Emissions!E961</f>
        <v>10.12815035</v>
      </c>
      <c r="G545" s="6">
        <f>[1]Emissions!F961</f>
        <v>10.29214215</v>
      </c>
      <c r="H545" s="6">
        <f>[1]Emissions!G961</f>
        <v>10.461962850000001</v>
      </c>
      <c r="I545" s="6">
        <f>[1]Emissions!H961</f>
        <v>10.637287929999999</v>
      </c>
      <c r="J545" s="6">
        <f>[1]Emissions!I961</f>
        <v>10.80985192</v>
      </c>
      <c r="K545" s="6">
        <f>[1]Emissions!J961</f>
        <v>10.98268603</v>
      </c>
      <c r="L545" s="6">
        <f>[1]Emissions!K961</f>
        <v>11.15827619</v>
      </c>
      <c r="M545" s="6">
        <f>[1]Emissions!L961</f>
        <v>11.335157199999999</v>
      </c>
      <c r="N545" s="6">
        <f>[1]Emissions!M961</f>
        <v>11.529452539999999</v>
      </c>
      <c r="O545" s="6">
        <f>[1]Emissions!N961</f>
        <v>11.722984840000001</v>
      </c>
      <c r="P545" s="6">
        <f>[1]Emissions!O961</f>
        <v>11.91601563</v>
      </c>
      <c r="Q545" s="6">
        <f>[1]Emissions!P961</f>
        <v>12.109999589999999</v>
      </c>
      <c r="R545" s="6">
        <f>[1]Emissions!Q961</f>
        <v>12.30613361</v>
      </c>
      <c r="S545" s="6">
        <f>[1]Emissions!R961</f>
        <v>12.50528581</v>
      </c>
      <c r="T545" s="6">
        <f>[1]Emissions!S961</f>
        <v>12.70797176</v>
      </c>
      <c r="U545" s="6">
        <f>[1]Emissions!T961</f>
        <v>12.914369499999999</v>
      </c>
      <c r="V545" s="6">
        <f>[1]Emissions!U961</f>
        <v>13.124405360000001</v>
      </c>
      <c r="W545" s="6">
        <f>[1]Emissions!V961</f>
        <v>13.338066059999999</v>
      </c>
      <c r="X545" s="6">
        <f>[1]Emissions!W961</f>
        <v>13.54718894</v>
      </c>
      <c r="Y545" s="6">
        <f>[1]Emissions!X961</f>
        <v>13.76268074</v>
      </c>
      <c r="Z545" s="6">
        <f>[1]Emissions!Y961</f>
        <v>13.983754279999999</v>
      </c>
      <c r="AA545" s="6">
        <f>[1]Emissions!Z961</f>
        <v>14.209256010000001</v>
      </c>
      <c r="AB545" s="6">
        <f>[1]Emissions!AA961</f>
        <v>14.436496869999999</v>
      </c>
      <c r="AC545" s="6">
        <f>[1]Emissions!AB961</f>
        <v>14.647651120000001</v>
      </c>
      <c r="AD545" s="6">
        <f>[1]Emissions!AC961</f>
        <v>14.86129889</v>
      </c>
      <c r="AE545" s="6">
        <f>[1]Emissions!AD961</f>
        <v>15.079171649999999</v>
      </c>
      <c r="AF545" s="6">
        <f>[1]Emissions!AE961</f>
        <v>15.30107076</v>
      </c>
      <c r="AG545" s="6">
        <f>[1]Emissions!AF961</f>
        <v>15.52653068</v>
      </c>
      <c r="AH545" s="6">
        <f>[1]Emissions!AG961</f>
        <v>15.755132140000001</v>
      </c>
      <c r="AI545" s="6">
        <f>[1]Emissions!AH961</f>
        <v>15.986650989999999</v>
      </c>
      <c r="AJ545" s="6">
        <f>[1]Emissions!AI961</f>
        <v>16.221101619999999</v>
      </c>
      <c r="AK545" s="6">
        <f>[1]Emissions!AJ961</f>
        <v>16.458681460000001</v>
      </c>
      <c r="AL545" s="6">
        <f>[1]Emissions!AK961</f>
        <v>16.699660739999999</v>
      </c>
    </row>
    <row r="546" spans="2:38" hidden="1" x14ac:dyDescent="0.3">
      <c r="B546" s="16" t="str">
        <f>[1]Emissions!A962</f>
        <v>ems_ci_co2_smin_0</v>
      </c>
      <c r="C546" s="6">
        <f>[1]Emissions!B962</f>
        <v>1.7691733080000001</v>
      </c>
      <c r="D546" s="6">
        <f>[1]Emissions!C962</f>
        <v>1.9652898130000001</v>
      </c>
      <c r="E546" s="6">
        <f>[1]Emissions!D962</f>
        <v>2.1566259900000002</v>
      </c>
      <c r="F546" s="6">
        <f>[1]Emissions!E962</f>
        <v>2.317112861</v>
      </c>
      <c r="G546" s="6">
        <f>[1]Emissions!F962</f>
        <v>2.4504226550000001</v>
      </c>
      <c r="H546" s="6">
        <f>[1]Emissions!G962</f>
        <v>2.5645392390000001</v>
      </c>
      <c r="I546" s="6">
        <f>[1]Emissions!H962</f>
        <v>2.6566250130000002</v>
      </c>
      <c r="J546" s="6">
        <f>[1]Emissions!I962</f>
        <v>2.7414999550000001</v>
      </c>
      <c r="K546" s="6">
        <f>[1]Emissions!J962</f>
        <v>2.8214148890000001</v>
      </c>
      <c r="L546" s="6">
        <f>[1]Emissions!K962</f>
        <v>2.896582048</v>
      </c>
      <c r="M546" s="6">
        <f>[1]Emissions!L962</f>
        <v>2.9804472899999999</v>
      </c>
      <c r="N546" s="6">
        <f>[1]Emissions!M962</f>
        <v>3.0445933529999998</v>
      </c>
      <c r="O546" s="6">
        <f>[1]Emissions!N962</f>
        <v>3.1051478590000001</v>
      </c>
      <c r="P546" s="6">
        <f>[1]Emissions!O962</f>
        <v>3.1645100039999998</v>
      </c>
      <c r="Q546" s="6">
        <f>[1]Emissions!P962</f>
        <v>3.2222088040000001</v>
      </c>
      <c r="R546" s="6">
        <f>[1]Emissions!Q962</f>
        <v>3.2779465569999999</v>
      </c>
      <c r="S546" s="6">
        <f>[1]Emissions!R962</f>
        <v>3.3319135260000001</v>
      </c>
      <c r="T546" s="6">
        <f>[1]Emissions!S962</f>
        <v>3.3846153650000002</v>
      </c>
      <c r="U546" s="6">
        <f>[1]Emissions!T962</f>
        <v>3.4366794289999998</v>
      </c>
      <c r="V546" s="6">
        <f>[1]Emissions!U962</f>
        <v>3.488710041</v>
      </c>
      <c r="W546" s="6">
        <f>[1]Emissions!V962</f>
        <v>3.5316138229999998</v>
      </c>
      <c r="X546" s="6">
        <f>[1]Emissions!W962</f>
        <v>3.586556587</v>
      </c>
      <c r="Y546" s="6">
        <f>[1]Emissions!X962</f>
        <v>3.643185662</v>
      </c>
      <c r="Z546" s="6">
        <f>[1]Emissions!Y962</f>
        <v>3.6998209580000001</v>
      </c>
      <c r="AA546" s="6">
        <f>[1]Emissions!Z962</f>
        <v>3.7569249830000002</v>
      </c>
      <c r="AB546" s="6">
        <f>[1]Emissions!AA962</f>
        <v>3.7866497940000001</v>
      </c>
      <c r="AC546" s="6">
        <f>[1]Emissions!AB962</f>
        <v>3.8391211570000001</v>
      </c>
      <c r="AD546" s="6">
        <f>[1]Emissions!AC962</f>
        <v>3.8964551740000002</v>
      </c>
      <c r="AE546" s="6">
        <f>[1]Emissions!AD962</f>
        <v>3.9541694970000001</v>
      </c>
      <c r="AF546" s="6">
        <f>[1]Emissions!AE962</f>
        <v>4.0120383640000004</v>
      </c>
      <c r="AG546" s="6">
        <f>[1]Emissions!AF962</f>
        <v>4.070417945</v>
      </c>
      <c r="AH546" s="6">
        <f>[1]Emissions!AG962</f>
        <v>4.1295013789999997</v>
      </c>
      <c r="AI546" s="6">
        <f>[1]Emissions!AH962</f>
        <v>4.1892897229999999</v>
      </c>
      <c r="AJ546" s="6">
        <f>[1]Emissions!AI962</f>
        <v>4.2496906719999998</v>
      </c>
      <c r="AK546" s="6">
        <f>[1]Emissions!AJ962</f>
        <v>4.3106096909999998</v>
      </c>
      <c r="AL546" s="6">
        <f>[1]Emissions!AK962</f>
        <v>4.3719932110000004</v>
      </c>
    </row>
    <row r="547" spans="2:38" hidden="1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</row>
    <row r="548" spans="2:38" hidden="1" x14ac:dyDescent="0.3">
      <c r="B548" s="16" t="str">
        <f>[1]Emissions!A964</f>
        <v>ems_mat_co2_smin_0</v>
      </c>
      <c r="C548" s="6">
        <f>[1]Emissions!B964</f>
        <v>9.7487404099999994E-2</v>
      </c>
      <c r="D548" s="6">
        <f>[1]Emissions!C964</f>
        <v>0.10846767359999999</v>
      </c>
      <c r="E548" s="6">
        <f>[1]Emissions!D964</f>
        <v>0.11923160319999999</v>
      </c>
      <c r="F548" s="6">
        <f>[1]Emissions!E964</f>
        <v>0.12827642910000001</v>
      </c>
      <c r="G548" s="6">
        <f>[1]Emissions!F964</f>
        <v>0.13575341869999999</v>
      </c>
      <c r="H548" s="6">
        <f>[1]Emissions!G964</f>
        <v>0.14207891110000001</v>
      </c>
      <c r="I548" s="6">
        <f>[1]Emissions!H964</f>
        <v>0.1470974937</v>
      </c>
      <c r="J548" s="6">
        <f>[1]Emissions!I964</f>
        <v>0.1516437427</v>
      </c>
      <c r="K548" s="6">
        <f>[1]Emissions!J964</f>
        <v>0.15586940690000001</v>
      </c>
      <c r="L548" s="6">
        <f>[1]Emissions!K964</f>
        <v>0.1598123454</v>
      </c>
      <c r="M548" s="6">
        <f>[1]Emissions!L964</f>
        <v>0.16423693070000001</v>
      </c>
      <c r="N548" s="6">
        <f>[1]Emissions!M964</f>
        <v>0.1675724116</v>
      </c>
      <c r="O548" s="6">
        <f>[1]Emissions!N964</f>
        <v>0.17069859570000001</v>
      </c>
      <c r="P548" s="6">
        <f>[1]Emissions!O964</f>
        <v>0.17374632449999999</v>
      </c>
      <c r="Q548" s="6">
        <f>[1]Emissions!P964</f>
        <v>0.17669924009999999</v>
      </c>
      <c r="R548" s="6">
        <f>[1]Emissions!Q964</f>
        <v>0.179556507</v>
      </c>
      <c r="S548" s="6">
        <f>[1]Emissions!R964</f>
        <v>0.18234341070000001</v>
      </c>
      <c r="T548" s="6">
        <f>[1]Emissions!S964</f>
        <v>0.1850968838</v>
      </c>
      <c r="U548" s="6">
        <f>[1]Emissions!T964</f>
        <v>0.18785313880000001</v>
      </c>
      <c r="V548" s="6">
        <f>[1]Emissions!U964</f>
        <v>0.1906409248</v>
      </c>
      <c r="W548" s="6">
        <f>[1]Emissions!V964</f>
        <v>0.19295050029999999</v>
      </c>
      <c r="X548" s="6">
        <f>[1]Emissions!W964</f>
        <v>0.19593827420000001</v>
      </c>
      <c r="Y548" s="6">
        <f>[1]Emissions!X964</f>
        <v>0.19903550840000001</v>
      </c>
      <c r="Z548" s="6">
        <f>[1]Emissions!Y964</f>
        <v>0.2021441363</v>
      </c>
      <c r="AA548" s="6">
        <f>[1]Emissions!Z964</f>
        <v>0.20528220680000001</v>
      </c>
      <c r="AB548" s="6">
        <f>[1]Emissions!AA964</f>
        <v>0.2069109452</v>
      </c>
      <c r="AC548" s="6">
        <f>[1]Emissions!AB964</f>
        <v>0.20977839249999999</v>
      </c>
      <c r="AD548" s="6">
        <f>[1]Emissions!AC964</f>
        <v>0.2129208148</v>
      </c>
      <c r="AE548" s="6">
        <f>[1]Emissions!AD964</f>
        <v>0.2160985503</v>
      </c>
      <c r="AF548" s="6">
        <f>[1]Emissions!AE964</f>
        <v>0.2192953416</v>
      </c>
      <c r="AG548" s="6">
        <f>[1]Emissions!AF964</f>
        <v>0.2225215478</v>
      </c>
      <c r="AH548" s="6">
        <f>[1]Emissions!AG964</f>
        <v>0.2257786517</v>
      </c>
      <c r="AI548" s="6">
        <f>[1]Emissions!AH964</f>
        <v>0.22906151390000001</v>
      </c>
      <c r="AJ548" s="6">
        <f>[1]Emissions!AI964</f>
        <v>0.23236505690000001</v>
      </c>
      <c r="AK548" s="6">
        <f>[1]Emissions!AJ964</f>
        <v>0.23568814060000001</v>
      </c>
      <c r="AL548" s="6">
        <f>[1]Emissions!AK964</f>
        <v>0.2390334626</v>
      </c>
    </row>
    <row r="549" spans="2:38" hidden="1" x14ac:dyDescent="0.3">
      <c r="B549" s="16" t="str">
        <f>[1]Emissions!A965</f>
        <v>ems_ci_co2_soil_0</v>
      </c>
      <c r="C549" s="6">
        <f>[1]Emissions!B965</f>
        <v>16.63452947</v>
      </c>
      <c r="D549" s="6">
        <f>[1]Emissions!C965</f>
        <v>16.854677949999999</v>
      </c>
      <c r="E549" s="6">
        <f>[1]Emissions!D965</f>
        <v>17.051790350000001</v>
      </c>
      <c r="F549" s="6">
        <f>[1]Emissions!E965</f>
        <v>17.24638762</v>
      </c>
      <c r="G549" s="6">
        <f>[1]Emissions!F965</f>
        <v>17.450417130000002</v>
      </c>
      <c r="H549" s="6">
        <f>[1]Emissions!G965</f>
        <v>17.66709157</v>
      </c>
      <c r="I549" s="6">
        <f>[1]Emissions!H965</f>
        <v>17.88363648</v>
      </c>
      <c r="J549" s="6">
        <f>[1]Emissions!I965</f>
        <v>18.107567490000001</v>
      </c>
      <c r="K549" s="6">
        <f>[1]Emissions!J965</f>
        <v>18.33711284</v>
      </c>
      <c r="L549" s="6">
        <f>[1]Emissions!K965</f>
        <v>18.569637279999998</v>
      </c>
      <c r="M549" s="6">
        <f>[1]Emissions!L965</f>
        <v>18.82144796</v>
      </c>
      <c r="N549" s="6">
        <f>[1]Emissions!M965</f>
        <v>19.058771719999999</v>
      </c>
      <c r="O549" s="6">
        <f>[1]Emissions!N965</f>
        <v>19.29495691</v>
      </c>
      <c r="P549" s="6">
        <f>[1]Emissions!O965</f>
        <v>19.53167251</v>
      </c>
      <c r="Q549" s="6">
        <f>[1]Emissions!P965</f>
        <v>19.76804877</v>
      </c>
      <c r="R549" s="6">
        <f>[1]Emissions!Q965</f>
        <v>20.002852699999998</v>
      </c>
      <c r="S549" s="6">
        <f>[1]Emissions!R965</f>
        <v>20.23516137</v>
      </c>
      <c r="T549" s="6">
        <f>[1]Emissions!S965</f>
        <v>20.464604340000001</v>
      </c>
      <c r="U549" s="6">
        <f>[1]Emissions!T965</f>
        <v>20.691361329999999</v>
      </c>
      <c r="V549" s="6">
        <f>[1]Emissions!U965</f>
        <v>20.91599119</v>
      </c>
      <c r="W549" s="6">
        <f>[1]Emissions!V965</f>
        <v>21.12554991</v>
      </c>
      <c r="X549" s="6">
        <f>[1]Emissions!W965</f>
        <v>21.345260620000001</v>
      </c>
      <c r="Y549" s="6">
        <f>[1]Emissions!X965</f>
        <v>21.566061139999999</v>
      </c>
      <c r="Z549" s="6">
        <f>[1]Emissions!Y965</f>
        <v>21.786668970000001</v>
      </c>
      <c r="AA549" s="6">
        <f>[1]Emissions!Z965</f>
        <v>22.007324610000001</v>
      </c>
      <c r="AB549" s="6">
        <f>[1]Emissions!AA965</f>
        <v>22.18769838</v>
      </c>
      <c r="AC549" s="6">
        <f>[1]Emissions!AB965</f>
        <v>22.38352759</v>
      </c>
      <c r="AD549" s="6">
        <f>[1]Emissions!AC965</f>
        <v>22.580296539999999</v>
      </c>
      <c r="AE549" s="6">
        <f>[1]Emissions!AD965</f>
        <v>22.77492969</v>
      </c>
      <c r="AF549" s="6">
        <f>[1]Emissions!AE965</f>
        <v>22.967428609999999</v>
      </c>
      <c r="AG549" s="6">
        <f>[1]Emissions!AF965</f>
        <v>23.15848561</v>
      </c>
      <c r="AH549" s="6">
        <f>[1]Emissions!AG965</f>
        <v>23.348726589999998</v>
      </c>
      <c r="AI549" s="6">
        <f>[1]Emissions!AH965</f>
        <v>23.538448339999999</v>
      </c>
      <c r="AJ549" s="6">
        <f>[1]Emissions!AI965</f>
        <v>23.727590679999999</v>
      </c>
      <c r="AK549" s="6">
        <f>[1]Emissions!AJ965</f>
        <v>23.915853049999999</v>
      </c>
      <c r="AL549" s="6">
        <f>[1]Emissions!AK965</f>
        <v>24.102866980000002</v>
      </c>
    </row>
    <row r="550" spans="2:38" hidden="1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</row>
    <row r="551" spans="2:38" hidden="1" x14ac:dyDescent="0.3">
      <c r="B551" s="16" t="str">
        <f>[1]Emissions!A967</f>
        <v>ems_mat_co2_soil_0</v>
      </c>
      <c r="C551" s="6">
        <f>[1]Emissions!B967</f>
        <v>4.7881592639999999</v>
      </c>
      <c r="D551" s="6">
        <f>[1]Emissions!C967</f>
        <v>4.8514601969999998</v>
      </c>
      <c r="E551" s="6">
        <f>[1]Emissions!D967</f>
        <v>4.9080834019999999</v>
      </c>
      <c r="F551" s="6">
        <f>[1]Emissions!E967</f>
        <v>4.9639511369999996</v>
      </c>
      <c r="G551" s="6">
        <f>[1]Emissions!F967</f>
        <v>5.022523852</v>
      </c>
      <c r="H551" s="6">
        <f>[1]Emissions!G967</f>
        <v>5.0847461149999997</v>
      </c>
      <c r="I551" s="6">
        <f>[1]Emissions!H967</f>
        <v>5.1469545280000002</v>
      </c>
      <c r="J551" s="6">
        <f>[1]Emissions!I967</f>
        <v>5.2113186709999999</v>
      </c>
      <c r="K551" s="6">
        <f>[1]Emissions!J967</f>
        <v>5.2773280260000002</v>
      </c>
      <c r="L551" s="6">
        <f>[1]Emissions!K967</f>
        <v>5.3442192310000003</v>
      </c>
      <c r="M551" s="6">
        <f>[1]Emissions!L967</f>
        <v>5.4166781559999997</v>
      </c>
      <c r="N551" s="6">
        <f>[1]Emissions!M967</f>
        <v>5.4849822970000002</v>
      </c>
      <c r="O551" s="6">
        <f>[1]Emissions!N967</f>
        <v>5.5529742430000004</v>
      </c>
      <c r="P551" s="6">
        <f>[1]Emissions!O967</f>
        <v>5.6211365369999999</v>
      </c>
      <c r="Q551" s="6">
        <f>[1]Emissions!P967</f>
        <v>5.6892193969999996</v>
      </c>
      <c r="R551" s="6">
        <f>[1]Emissions!Q967</f>
        <v>5.7568657520000004</v>
      </c>
      <c r="S551" s="6">
        <f>[1]Emissions!R967</f>
        <v>5.823805567</v>
      </c>
      <c r="T551" s="6">
        <f>[1]Emissions!S967</f>
        <v>5.8899269900000002</v>
      </c>
      <c r="U551" s="6">
        <f>[1]Emissions!T967</f>
        <v>5.9552770649999998</v>
      </c>
      <c r="V551" s="6">
        <f>[1]Emissions!U967</f>
        <v>6.0200133490000001</v>
      </c>
      <c r="W551" s="6">
        <f>[1]Emissions!V967</f>
        <v>6.0804093520000002</v>
      </c>
      <c r="X551" s="6">
        <f>[1]Emissions!W967</f>
        <v>6.1437233669999998</v>
      </c>
      <c r="Y551" s="6">
        <f>[1]Emissions!X967</f>
        <v>6.2073460899999997</v>
      </c>
      <c r="Z551" s="6">
        <f>[1]Emissions!Y967</f>
        <v>6.2709079389999998</v>
      </c>
      <c r="AA551" s="6">
        <f>[1]Emissions!Z967</f>
        <v>6.334478507</v>
      </c>
      <c r="AB551" s="6">
        <f>[1]Emissions!AA967</f>
        <v>6.3864516360000003</v>
      </c>
      <c r="AC551" s="6">
        <f>[1]Emissions!AB967</f>
        <v>6.4428706150000004</v>
      </c>
      <c r="AD551" s="6">
        <f>[1]Emissions!AC967</f>
        <v>6.4995552319999996</v>
      </c>
      <c r="AE551" s="6">
        <f>[1]Emissions!AD967</f>
        <v>6.5556174159999996</v>
      </c>
      <c r="AF551" s="6">
        <f>[1]Emissions!AE967</f>
        <v>6.6110561490000004</v>
      </c>
      <c r="AG551" s="6">
        <f>[1]Emissions!AF967</f>
        <v>6.6660713210000004</v>
      </c>
      <c r="AH551" s="6">
        <f>[1]Emissions!AG967</f>
        <v>6.720845325</v>
      </c>
      <c r="AI551" s="6">
        <f>[1]Emissions!AH967</f>
        <v>6.775466422</v>
      </c>
      <c r="AJ551" s="6">
        <f>[1]Emissions!AI967</f>
        <v>6.8299196760000003</v>
      </c>
      <c r="AK551" s="6">
        <f>[1]Emissions!AJ967</f>
        <v>6.8841199460000002</v>
      </c>
      <c r="AL551" s="6">
        <f>[1]Emissions!AK967</f>
        <v>6.9379614959999998</v>
      </c>
    </row>
    <row r="552" spans="2:38" hidden="1" x14ac:dyDescent="0.3">
      <c r="B552" s="16" t="str">
        <f>[1]Emissions!A968</f>
        <v>ems_ci_co2_sbfu_0</v>
      </c>
      <c r="C552" s="6">
        <f>[1]Emissions!B968</f>
        <v>3.9545121619999999</v>
      </c>
      <c r="D552" s="6">
        <f>[1]Emissions!C968</f>
        <v>4.04481001</v>
      </c>
      <c r="E552" s="6">
        <f>[1]Emissions!D968</f>
        <v>4.1261729359999997</v>
      </c>
      <c r="F552" s="6">
        <f>[1]Emissions!E968</f>
        <v>4.200607025</v>
      </c>
      <c r="G552" s="6">
        <f>[1]Emissions!F968</f>
        <v>4.2718718259999999</v>
      </c>
      <c r="H552" s="6">
        <f>[1]Emissions!G968</f>
        <v>4.3417089019999997</v>
      </c>
      <c r="I552" s="6">
        <f>[1]Emissions!H968</f>
        <v>4.4078140049999996</v>
      </c>
      <c r="J552" s="6">
        <f>[1]Emissions!I968</f>
        <v>4.472828754</v>
      </c>
      <c r="K552" s="6">
        <f>[1]Emissions!J968</f>
        <v>4.537003243</v>
      </c>
      <c r="L552" s="6">
        <f>[1]Emissions!K968</f>
        <v>4.6002766389999996</v>
      </c>
      <c r="M552" s="6">
        <f>[1]Emissions!L968</f>
        <v>4.6672171240000004</v>
      </c>
      <c r="N552" s="6">
        <f>[1]Emissions!M968</f>
        <v>4.7295512879999997</v>
      </c>
      <c r="O552" s="6">
        <f>[1]Emissions!N968</f>
        <v>4.7908963900000003</v>
      </c>
      <c r="P552" s="6">
        <f>[1]Emissions!O968</f>
        <v>4.8518104649999998</v>
      </c>
      <c r="Q552" s="6">
        <f>[1]Emissions!P968</f>
        <v>4.9122262130000003</v>
      </c>
      <c r="R552" s="6">
        <f>[1]Emissions!Q968</f>
        <v>4.9719902979999997</v>
      </c>
      <c r="S552" s="6">
        <f>[1]Emissions!R968</f>
        <v>5.0309974840000002</v>
      </c>
      <c r="T552" s="6">
        <f>[1]Emissions!S968</f>
        <v>5.0892238279999997</v>
      </c>
      <c r="U552" s="6">
        <f>[1]Emissions!T968</f>
        <v>5.1467201100000004</v>
      </c>
      <c r="V552" s="6">
        <f>[1]Emissions!U968</f>
        <v>5.2035832820000003</v>
      </c>
      <c r="W552" s="6">
        <f>[1]Emissions!V968</f>
        <v>5.2564938970000004</v>
      </c>
      <c r="X552" s="6">
        <f>[1]Emissions!W968</f>
        <v>5.3117820570000003</v>
      </c>
      <c r="Y552" s="6">
        <f>[1]Emissions!X968</f>
        <v>5.3670501679999996</v>
      </c>
      <c r="Z552" s="6">
        <f>[1]Emissions!Y968</f>
        <v>5.4219498780000004</v>
      </c>
      <c r="AA552" s="6">
        <f>[1]Emissions!Z968</f>
        <v>5.4765135259999997</v>
      </c>
      <c r="AB552" s="6">
        <f>[1]Emissions!AA968</f>
        <v>5.5206485719999998</v>
      </c>
      <c r="AC552" s="6">
        <f>[1]Emissions!AB968</f>
        <v>5.5683990129999996</v>
      </c>
      <c r="AD552" s="6">
        <f>[1]Emissions!AC968</f>
        <v>5.6160904580000004</v>
      </c>
      <c r="AE552" s="6">
        <f>[1]Emissions!AD968</f>
        <v>5.6630048029999998</v>
      </c>
      <c r="AF552" s="6">
        <f>[1]Emissions!AE968</f>
        <v>5.7091400090000004</v>
      </c>
      <c r="AG552" s="6">
        <f>[1]Emissions!AF968</f>
        <v>5.7546299889999997</v>
      </c>
      <c r="AH552" s="6">
        <f>[1]Emissions!AG968</f>
        <v>5.7995905189999997</v>
      </c>
      <c r="AI552" s="6">
        <f>[1]Emissions!AH968</f>
        <v>5.8440782469999997</v>
      </c>
      <c r="AJ552" s="6">
        <f>[1]Emissions!AI968</f>
        <v>5.8880910870000003</v>
      </c>
      <c r="AK552" s="6">
        <f>[1]Emissions!AJ968</f>
        <v>5.931589582</v>
      </c>
      <c r="AL552" s="6">
        <f>[1]Emissions!AK968</f>
        <v>5.9745238299999999</v>
      </c>
    </row>
    <row r="553" spans="2:38" hidden="1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</row>
    <row r="554" spans="2:38" hidden="1" x14ac:dyDescent="0.3">
      <c r="B554" s="16" t="str">
        <f>[1]Emissions!A970</f>
        <v>ems_mat_co2_sbfu_0</v>
      </c>
      <c r="C554" s="6">
        <f>[1]Emissions!B970</f>
        <v>3.2983469859999999</v>
      </c>
      <c r="D554" s="6">
        <f>[1]Emissions!C970</f>
        <v>3.3736618759999999</v>
      </c>
      <c r="E554" s="6">
        <f>[1]Emissions!D970</f>
        <v>3.4415244029999998</v>
      </c>
      <c r="F554" s="6">
        <f>[1]Emissions!E970</f>
        <v>3.5036077890000001</v>
      </c>
      <c r="G554" s="6">
        <f>[1]Emissions!F970</f>
        <v>3.5630477690000002</v>
      </c>
      <c r="H554" s="6">
        <f>[1]Emissions!G970</f>
        <v>3.6212969340000001</v>
      </c>
      <c r="I554" s="6">
        <f>[1]Emissions!H970</f>
        <v>3.6764333730000001</v>
      </c>
      <c r="J554" s="6">
        <f>[1]Emissions!I970</f>
        <v>3.7306603840000001</v>
      </c>
      <c r="K554" s="6">
        <f>[1]Emissions!J970</f>
        <v>3.7841865600000002</v>
      </c>
      <c r="L554" s="6">
        <f>[1]Emissions!K970</f>
        <v>3.8369611589999999</v>
      </c>
      <c r="M554" s="6">
        <f>[1]Emissions!L970</f>
        <v>3.8927943690000002</v>
      </c>
      <c r="N554" s="6">
        <f>[1]Emissions!M970</f>
        <v>3.9447855710000002</v>
      </c>
      <c r="O554" s="6">
        <f>[1]Emissions!N970</f>
        <v>3.9959518190000001</v>
      </c>
      <c r="P554" s="6">
        <f>[1]Emissions!O970</f>
        <v>4.0467585530000001</v>
      </c>
      <c r="Q554" s="6">
        <f>[1]Emissions!P970</f>
        <v>4.0971496399999996</v>
      </c>
      <c r="R554" s="6">
        <f>[1]Emissions!Q970</f>
        <v>4.1469971900000004</v>
      </c>
      <c r="S554" s="6">
        <f>[1]Emissions!R970</f>
        <v>4.196213427</v>
      </c>
      <c r="T554" s="6">
        <f>[1]Emissions!S970</f>
        <v>4.244778384</v>
      </c>
      <c r="U554" s="6">
        <f>[1]Emissions!T970</f>
        <v>4.292734415</v>
      </c>
      <c r="V554" s="6">
        <f>[1]Emissions!U970</f>
        <v>4.3401623860000003</v>
      </c>
      <c r="W554" s="6">
        <f>[1]Emissions!V970</f>
        <v>4.3842936420000003</v>
      </c>
      <c r="X554" s="6">
        <f>[1]Emissions!W970</f>
        <v>4.4304079429999996</v>
      </c>
      <c r="Y554" s="6">
        <f>[1]Emissions!X970</f>
        <v>4.4765055250000003</v>
      </c>
      <c r="Z554" s="6">
        <f>[1]Emissions!Y970</f>
        <v>4.5222958369999997</v>
      </c>
      <c r="AA554" s="6">
        <f>[1]Emissions!Z970</f>
        <v>4.5678058520000002</v>
      </c>
      <c r="AB554" s="6">
        <f>[1]Emissions!AA970</f>
        <v>4.6046176670000003</v>
      </c>
      <c r="AC554" s="6">
        <f>[1]Emissions!AB970</f>
        <v>4.6444449820000004</v>
      </c>
      <c r="AD554" s="6">
        <f>[1]Emissions!AC970</f>
        <v>4.6842230919999999</v>
      </c>
      <c r="AE554" s="6">
        <f>[1]Emissions!AD970</f>
        <v>4.7233530439999996</v>
      </c>
      <c r="AF554" s="6">
        <f>[1]Emissions!AE970</f>
        <v>4.7618331380000001</v>
      </c>
      <c r="AG554" s="6">
        <f>[1]Emissions!AF970</f>
        <v>4.7997750659999996</v>
      </c>
      <c r="AH554" s="6">
        <f>[1]Emissions!AG970</f>
        <v>4.8372753919999996</v>
      </c>
      <c r="AI554" s="6">
        <f>[1]Emissions!AH970</f>
        <v>4.8743813659999997</v>
      </c>
      <c r="AJ554" s="6">
        <f>[1]Emissions!AI970</f>
        <v>4.9110912469999999</v>
      </c>
      <c r="AK554" s="6">
        <f>[1]Emissions!AJ970</f>
        <v>4.9473721250000002</v>
      </c>
      <c r="AL554" s="6">
        <f>[1]Emissions!AK970</f>
        <v>4.9831823789999996</v>
      </c>
    </row>
    <row r="555" spans="2:38" hidden="1" x14ac:dyDescent="0.3">
      <c r="B555" s="16" t="str">
        <f>[1]Emissions!A971</f>
        <v>ems_ci_co2_seoi_0</v>
      </c>
      <c r="C555" s="6">
        <f>[1]Emissions!B971</f>
        <v>1.7965835640000001</v>
      </c>
      <c r="D555" s="6">
        <f>[1]Emissions!C971</f>
        <v>1.8092436620000001</v>
      </c>
      <c r="E555" s="6">
        <f>[1]Emissions!D971</f>
        <v>1.8214244669999999</v>
      </c>
      <c r="F555" s="6">
        <f>[1]Emissions!E971</f>
        <v>1.838670679</v>
      </c>
      <c r="G555" s="6">
        <f>[1]Emissions!F971</f>
        <v>1.86313179</v>
      </c>
      <c r="H555" s="6">
        <f>[1]Emissions!G971</f>
        <v>1.8952650980000001</v>
      </c>
      <c r="I555" s="6">
        <f>[1]Emissions!H971</f>
        <v>1.9334833570000001</v>
      </c>
      <c r="J555" s="6">
        <f>[1]Emissions!I971</f>
        <v>1.9769130049999999</v>
      </c>
      <c r="K555" s="6">
        <f>[1]Emissions!J971</f>
        <v>2.02387842</v>
      </c>
      <c r="L555" s="6">
        <f>[1]Emissions!K971</f>
        <v>2.072414819</v>
      </c>
      <c r="M555" s="6">
        <f>[1]Emissions!L971</f>
        <v>2.1217624960000001</v>
      </c>
      <c r="N555" s="6">
        <f>[1]Emissions!M971</f>
        <v>2.1689698430000002</v>
      </c>
      <c r="O555" s="6">
        <f>[1]Emissions!N971</f>
        <v>2.2133136179999999</v>
      </c>
      <c r="P555" s="6">
        <f>[1]Emissions!O971</f>
        <v>2.254206929</v>
      </c>
      <c r="Q555" s="6">
        <f>[1]Emissions!P971</f>
        <v>2.2909863229999998</v>
      </c>
      <c r="R555" s="6">
        <f>[1]Emissions!Q971</f>
        <v>2.3232344390000002</v>
      </c>
      <c r="S555" s="6">
        <f>[1]Emissions!R971</f>
        <v>2.3511983660000002</v>
      </c>
      <c r="T555" s="6">
        <f>[1]Emissions!S971</f>
        <v>2.375776858</v>
      </c>
      <c r="U555" s="6">
        <f>[1]Emissions!T971</f>
        <v>2.398356256</v>
      </c>
      <c r="V555" s="6">
        <f>[1]Emissions!U971</f>
        <v>2.4205478060000001</v>
      </c>
      <c r="W555" s="6">
        <f>[1]Emissions!V971</f>
        <v>2.4429015430000001</v>
      </c>
      <c r="X555" s="6">
        <f>[1]Emissions!W971</f>
        <v>2.467659228</v>
      </c>
      <c r="Y555" s="6">
        <f>[1]Emissions!X971</f>
        <v>2.4954006089999998</v>
      </c>
      <c r="Z555" s="6">
        <f>[1]Emissions!Y971</f>
        <v>2.5264699780000002</v>
      </c>
      <c r="AA555" s="6">
        <f>[1]Emissions!Z971</f>
        <v>2.5610813509999999</v>
      </c>
      <c r="AB555" s="6">
        <f>[1]Emissions!AA971</f>
        <v>2.5960740279999999</v>
      </c>
      <c r="AC555" s="6">
        <f>[1]Emissions!AB971</f>
        <v>2.6341862759999999</v>
      </c>
      <c r="AD555" s="6">
        <f>[1]Emissions!AC971</f>
        <v>2.6742910960000001</v>
      </c>
      <c r="AE555" s="6">
        <f>[1]Emissions!AD971</f>
        <v>2.7154385350000001</v>
      </c>
      <c r="AF555" s="6">
        <f>[1]Emissions!AE971</f>
        <v>2.7571998799999999</v>
      </c>
      <c r="AG555" s="6">
        <f>[1]Emissions!AF971</f>
        <v>2.7994645849999999</v>
      </c>
      <c r="AH555" s="6">
        <f>[1]Emissions!AG971</f>
        <v>2.842208372</v>
      </c>
      <c r="AI555" s="6">
        <f>[1]Emissions!AH971</f>
        <v>2.8853357659999999</v>
      </c>
      <c r="AJ555" s="6">
        <f>[1]Emissions!AI971</f>
        <v>2.9286270710000002</v>
      </c>
      <c r="AK555" s="6">
        <f>[1]Emissions!AJ971</f>
        <v>2.971781644</v>
      </c>
      <c r="AL555" s="6">
        <f>[1]Emissions!AK971</f>
        <v>3.0144425880000001</v>
      </c>
    </row>
    <row r="556" spans="2:38" hidden="1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</row>
    <row r="557" spans="2:38" hidden="1" x14ac:dyDescent="0.3">
      <c r="B557" s="16" t="str">
        <f>[1]Emissions!A973</f>
        <v>ems_mat_co2_seoi_0</v>
      </c>
      <c r="C557" s="6">
        <f>[1]Emissions!B973</f>
        <v>0.12313280660000001</v>
      </c>
      <c r="D557" s="6">
        <f>[1]Emissions!C973</f>
        <v>0.12400049439999999</v>
      </c>
      <c r="E557" s="6">
        <f>[1]Emissions!D973</f>
        <v>0.1248353326</v>
      </c>
      <c r="F557" s="6">
        <f>[1]Emissions!E973</f>
        <v>0.12601733970000001</v>
      </c>
      <c r="G557" s="6">
        <f>[1]Emissions!F973</f>
        <v>0.12769383570000001</v>
      </c>
      <c r="H557" s="6">
        <f>[1]Emissions!G973</f>
        <v>0.12989616270000001</v>
      </c>
      <c r="I557" s="6">
        <f>[1]Emissions!H973</f>
        <v>0.13251553520000001</v>
      </c>
      <c r="J557" s="6">
        <f>[1]Emissions!I973</f>
        <v>0.13549208160000001</v>
      </c>
      <c r="K557" s="6">
        <f>[1]Emissions!J973</f>
        <v>0.1387109597</v>
      </c>
      <c r="L557" s="6">
        <f>[1]Emissions!K973</f>
        <v>0.14203750849999999</v>
      </c>
      <c r="M557" s="6">
        <f>[1]Emissions!L973</f>
        <v>0.14541966009999999</v>
      </c>
      <c r="N557" s="6">
        <f>[1]Emissions!M973</f>
        <v>0.14865511949999999</v>
      </c>
      <c r="O557" s="6">
        <f>[1]Emissions!N973</f>
        <v>0.1516943177</v>
      </c>
      <c r="P557" s="6">
        <f>[1]Emissions!O973</f>
        <v>0.15449703070000001</v>
      </c>
      <c r="Q557" s="6">
        <f>[1]Emissions!P973</f>
        <v>0.1570177874</v>
      </c>
      <c r="R557" s="6">
        <f>[1]Emissions!Q973</f>
        <v>0.15922798290000001</v>
      </c>
      <c r="S557" s="6">
        <f>[1]Emissions!R973</f>
        <v>0.1611445521</v>
      </c>
      <c r="T557" s="6">
        <f>[1]Emissions!S973</f>
        <v>0.1628290932</v>
      </c>
      <c r="U557" s="6">
        <f>[1]Emissions!T973</f>
        <v>0.16437662189999999</v>
      </c>
      <c r="V557" s="6">
        <f>[1]Emissions!U973</f>
        <v>0.16589756859999999</v>
      </c>
      <c r="W557" s="6">
        <f>[1]Emissions!V973</f>
        <v>0.16742963120000001</v>
      </c>
      <c r="X557" s="6">
        <f>[1]Emissions!W973</f>
        <v>0.1691264535</v>
      </c>
      <c r="Y557" s="6">
        <f>[1]Emissions!X973</f>
        <v>0.1710277701</v>
      </c>
      <c r="Z557" s="6">
        <f>[1]Emissions!Y973</f>
        <v>0.1731571777</v>
      </c>
      <c r="AA557" s="6">
        <f>[1]Emissions!Z973</f>
        <v>0.17552934419999999</v>
      </c>
      <c r="AB557" s="6">
        <f>[1]Emissions!AA973</f>
        <v>0.1779276444</v>
      </c>
      <c r="AC557" s="6">
        <f>[1]Emissions!AB973</f>
        <v>0.18053975110000001</v>
      </c>
      <c r="AD557" s="6">
        <f>[1]Emissions!AC973</f>
        <v>0.18328842309999999</v>
      </c>
      <c r="AE557" s="6">
        <f>[1]Emissions!AD973</f>
        <v>0.18610855339999999</v>
      </c>
      <c r="AF557" s="6">
        <f>[1]Emissions!AE973</f>
        <v>0.18897075899999999</v>
      </c>
      <c r="AG557" s="6">
        <f>[1]Emissions!AF973</f>
        <v>0.19186746360000001</v>
      </c>
      <c r="AH557" s="6">
        <f>[1]Emissions!AG973</f>
        <v>0.1947970031</v>
      </c>
      <c r="AI557" s="6">
        <f>[1]Emissions!AH973</f>
        <v>0.19775283390000001</v>
      </c>
      <c r="AJ557" s="6">
        <f>[1]Emissions!AI973</f>
        <v>0.20071989870000001</v>
      </c>
      <c r="AK557" s="6">
        <f>[1]Emissions!AJ973</f>
        <v>0.20367759229999999</v>
      </c>
      <c r="AL557" s="6">
        <f>[1]Emissions!AK973</f>
        <v>0.20660145390000001</v>
      </c>
    </row>
    <row r="558" spans="2:38" hidden="1" x14ac:dyDescent="0.3">
      <c r="B558" s="16" t="str">
        <f>[1]Emissions!A974</f>
        <v>ems_ci_co2_sega_0</v>
      </c>
      <c r="C558" s="6">
        <f>[1]Emissions!B974</f>
        <v>4.5519221050000001</v>
      </c>
      <c r="D558" s="6">
        <f>[1]Emissions!C974</f>
        <v>4.5839984229999997</v>
      </c>
      <c r="E558" s="6">
        <f>[1]Emissions!D974</f>
        <v>4.6148603750000001</v>
      </c>
      <c r="F558" s="6">
        <f>[1]Emissions!E974</f>
        <v>4.6585563199999998</v>
      </c>
      <c r="G558" s="6">
        <f>[1]Emissions!F974</f>
        <v>4.7205323259999998</v>
      </c>
      <c r="H558" s="6">
        <f>[1]Emissions!G974</f>
        <v>4.8019470279999998</v>
      </c>
      <c r="I558" s="6">
        <f>[1]Emissions!H974</f>
        <v>4.8987788959999996</v>
      </c>
      <c r="J558" s="6">
        <f>[1]Emissions!I974</f>
        <v>5.008814621</v>
      </c>
      <c r="K558" s="6">
        <f>[1]Emissions!J974</f>
        <v>5.1278087589999997</v>
      </c>
      <c r="L558" s="6">
        <f>[1]Emissions!K974</f>
        <v>5.2507832250000002</v>
      </c>
      <c r="M558" s="6">
        <f>[1]Emissions!L974</f>
        <v>5.3758131889999996</v>
      </c>
      <c r="N558" s="6">
        <f>[1]Emissions!M974</f>
        <v>5.4954202990000001</v>
      </c>
      <c r="O558" s="6">
        <f>[1]Emissions!N974</f>
        <v>5.6077721059999996</v>
      </c>
      <c r="P558" s="6">
        <f>[1]Emissions!O974</f>
        <v>5.7113816279999998</v>
      </c>
      <c r="Q558" s="6">
        <f>[1]Emissions!P974</f>
        <v>5.8045679059999999</v>
      </c>
      <c r="R558" s="6">
        <f>[1]Emissions!Q974</f>
        <v>5.8862734899999998</v>
      </c>
      <c r="S558" s="6">
        <f>[1]Emissions!R974</f>
        <v>5.9571244190000003</v>
      </c>
      <c r="T558" s="6">
        <f>[1]Emissions!S974</f>
        <v>6.0193978259999996</v>
      </c>
      <c r="U558" s="6">
        <f>[1]Emissions!T974</f>
        <v>6.0766062209999996</v>
      </c>
      <c r="V558" s="6">
        <f>[1]Emissions!U974</f>
        <v>6.1328319410000001</v>
      </c>
      <c r="W558" s="6">
        <f>[1]Emissions!V974</f>
        <v>6.1894685899999997</v>
      </c>
      <c r="X558" s="6">
        <f>[1]Emissions!W974</f>
        <v>6.2521960099999996</v>
      </c>
      <c r="Y558" s="6">
        <f>[1]Emissions!X974</f>
        <v>6.3224830870000002</v>
      </c>
      <c r="Z558" s="6">
        <f>[1]Emissions!Y974</f>
        <v>6.4012021360000002</v>
      </c>
      <c r="AA558" s="6">
        <f>[1]Emissions!Z974</f>
        <v>6.4888953970000003</v>
      </c>
      <c r="AB558" s="6">
        <f>[1]Emissions!AA974</f>
        <v>6.5775547540000003</v>
      </c>
      <c r="AC558" s="6">
        <f>[1]Emissions!AB974</f>
        <v>6.6741180230000001</v>
      </c>
      <c r="AD558" s="6">
        <f>[1]Emissions!AC974</f>
        <v>6.7757297830000001</v>
      </c>
      <c r="AE558" s="6">
        <f>[1]Emissions!AD974</f>
        <v>6.8799831789999999</v>
      </c>
      <c r="AF558" s="6">
        <f>[1]Emissions!AE974</f>
        <v>6.985792</v>
      </c>
      <c r="AG558" s="6">
        <f>[1]Emissions!AF974</f>
        <v>7.0928761639999998</v>
      </c>
      <c r="AH558" s="6">
        <f>[1]Emissions!AG974</f>
        <v>7.2011741550000004</v>
      </c>
      <c r="AI558" s="6">
        <f>[1]Emissions!AH974</f>
        <v>7.3104440730000002</v>
      </c>
      <c r="AJ558" s="6">
        <f>[1]Emissions!AI974</f>
        <v>7.4201292839999997</v>
      </c>
      <c r="AK558" s="6">
        <f>[1]Emissions!AJ974</f>
        <v>7.5294680649999997</v>
      </c>
      <c r="AL558" s="6">
        <f>[1]Emissions!AK974</f>
        <v>7.6375561599999999</v>
      </c>
    </row>
    <row r="559" spans="2:38" hidden="1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</row>
    <row r="560" spans="2:38" hidden="1" x14ac:dyDescent="0.3">
      <c r="B560" s="16" t="str">
        <f>[1]Emissions!A976</f>
        <v>ems_mat_co2_sega_0</v>
      </c>
      <c r="C560" s="6">
        <f>[1]Emissions!B976</f>
        <v>0.31197599469999998</v>
      </c>
      <c r="D560" s="6">
        <f>[1]Emissions!C976</f>
        <v>0.31417441559999998</v>
      </c>
      <c r="E560" s="6">
        <f>[1]Emissions!D976</f>
        <v>0.31628960740000001</v>
      </c>
      <c r="F560" s="6">
        <f>[1]Emissions!E976</f>
        <v>0.31928440499999999</v>
      </c>
      <c r="G560" s="6">
        <f>[1]Emissions!F976</f>
        <v>0.32353206680000002</v>
      </c>
      <c r="H560" s="6">
        <f>[1]Emissions!G976</f>
        <v>0.32911200239999999</v>
      </c>
      <c r="I560" s="6">
        <f>[1]Emissions!H976</f>
        <v>0.33574858740000002</v>
      </c>
      <c r="J560" s="6">
        <f>[1]Emissions!I976</f>
        <v>0.34329012780000001</v>
      </c>
      <c r="K560" s="6">
        <f>[1]Emissions!J976</f>
        <v>0.35144565280000001</v>
      </c>
      <c r="L560" s="6">
        <f>[1]Emissions!K976</f>
        <v>0.35987397840000002</v>
      </c>
      <c r="M560" s="6">
        <f>[1]Emissions!L976</f>
        <v>0.36844318209999999</v>
      </c>
      <c r="N560" s="6">
        <f>[1]Emissions!M976</f>
        <v>0.37664071850000003</v>
      </c>
      <c r="O560" s="6">
        <f>[1]Emissions!N976</f>
        <v>0.3843409968</v>
      </c>
      <c r="P560" s="6">
        <f>[1]Emissions!O976</f>
        <v>0.39144210330000001</v>
      </c>
      <c r="Q560" s="6">
        <f>[1]Emissions!P976</f>
        <v>0.39782883000000002</v>
      </c>
      <c r="R560" s="6">
        <f>[1]Emissions!Q976</f>
        <v>0.40342870199999997</v>
      </c>
      <c r="S560" s="6">
        <f>[1]Emissions!R976</f>
        <v>0.40828462630000001</v>
      </c>
      <c r="T560" s="6">
        <f>[1]Emissions!S976</f>
        <v>0.41255267130000001</v>
      </c>
      <c r="U560" s="6">
        <f>[1]Emissions!T976</f>
        <v>0.4164735745</v>
      </c>
      <c r="V560" s="6">
        <f>[1]Emissions!U976</f>
        <v>0.42032712799999999</v>
      </c>
      <c r="W560" s="6">
        <f>[1]Emissions!V976</f>
        <v>0.42420884530000003</v>
      </c>
      <c r="X560" s="6">
        <f>[1]Emissions!W976</f>
        <v>0.42850800700000002</v>
      </c>
      <c r="Y560" s="6">
        <f>[1]Emissions!X976</f>
        <v>0.43332528640000001</v>
      </c>
      <c r="Z560" s="6">
        <f>[1]Emissions!Y976</f>
        <v>0.43872046949999999</v>
      </c>
      <c r="AA560" s="6">
        <f>[1]Emissions!Z976</f>
        <v>0.44473072009999998</v>
      </c>
      <c r="AB560" s="6">
        <f>[1]Emissions!AA976</f>
        <v>0.45080718409999998</v>
      </c>
      <c r="AC560" s="6">
        <f>[1]Emissions!AB976</f>
        <v>0.45742536010000001</v>
      </c>
      <c r="AD560" s="6">
        <f>[1]Emissions!AC976</f>
        <v>0.46438954560000001</v>
      </c>
      <c r="AE560" s="6">
        <f>[1]Emissions!AD976</f>
        <v>0.47153478139999999</v>
      </c>
      <c r="AF560" s="6">
        <f>[1]Emissions!AE976</f>
        <v>0.47878662170000003</v>
      </c>
      <c r="AG560" s="6">
        <f>[1]Emissions!AF976</f>
        <v>0.48612587039999999</v>
      </c>
      <c r="AH560" s="6">
        <f>[1]Emissions!AG976</f>
        <v>0.49354831139999999</v>
      </c>
      <c r="AI560" s="6">
        <f>[1]Emissions!AH976</f>
        <v>0.5010373655</v>
      </c>
      <c r="AJ560" s="6">
        <f>[1]Emissions!AI976</f>
        <v>0.50855488270000004</v>
      </c>
      <c r="AK560" s="6">
        <f>[1]Emissions!AJ976</f>
        <v>0.51604865659999999</v>
      </c>
      <c r="AL560" s="6">
        <f>[1]Emissions!AK976</f>
        <v>0.52345671179999997</v>
      </c>
    </row>
    <row r="561" spans="1:38" hidden="1" x14ac:dyDescent="0.3">
      <c r="B561" s="16" t="str">
        <f>[1]Emissions!A977</f>
        <v>ems_ci_co2_seco_0</v>
      </c>
      <c r="C561" s="6">
        <f>[1]Emissions!B977</f>
        <v>4.5405955139999996</v>
      </c>
      <c r="D561" s="6">
        <f>[1]Emissions!C977</f>
        <v>4.5725920130000004</v>
      </c>
      <c r="E561" s="6">
        <f>[1]Emissions!D977</f>
        <v>4.6033771659999996</v>
      </c>
      <c r="F561" s="6">
        <f>[1]Emissions!E977</f>
        <v>4.6469643749999996</v>
      </c>
      <c r="G561" s="6">
        <f>[1]Emissions!F977</f>
        <v>4.7087861579999997</v>
      </c>
      <c r="H561" s="6">
        <f>[1]Emissions!G977</f>
        <v>4.7899982679999997</v>
      </c>
      <c r="I561" s="6">
        <f>[1]Emissions!H977</f>
        <v>4.8865891819999998</v>
      </c>
      <c r="J561" s="6">
        <f>[1]Emissions!I977</f>
        <v>4.996351099</v>
      </c>
      <c r="K561" s="6">
        <f>[1]Emissions!J977</f>
        <v>5.1150491389999999</v>
      </c>
      <c r="L561" s="6">
        <f>[1]Emissions!K977</f>
        <v>5.2377176040000002</v>
      </c>
      <c r="M561" s="6">
        <f>[1]Emissions!L977</f>
        <v>5.3624364529999999</v>
      </c>
      <c r="N561" s="6">
        <f>[1]Emissions!M977</f>
        <v>5.4817459409999998</v>
      </c>
      <c r="O561" s="6">
        <f>[1]Emissions!N977</f>
        <v>5.5938181809999996</v>
      </c>
      <c r="P561" s="6">
        <f>[1]Emissions!O977</f>
        <v>5.6971698919999998</v>
      </c>
      <c r="Q561" s="6">
        <f>[1]Emissions!P977</f>
        <v>5.790124295</v>
      </c>
      <c r="R561" s="6">
        <f>[1]Emissions!Q977</f>
        <v>5.8716265730000003</v>
      </c>
      <c r="S561" s="6">
        <f>[1]Emissions!R977</f>
        <v>5.9423012049999997</v>
      </c>
      <c r="T561" s="6">
        <f>[1]Emissions!S977</f>
        <v>6.0044196599999999</v>
      </c>
      <c r="U561" s="6">
        <f>[1]Emissions!T977</f>
        <v>6.061485706</v>
      </c>
      <c r="V561" s="6">
        <f>[1]Emissions!U977</f>
        <v>6.1175715210000003</v>
      </c>
      <c r="W561" s="6">
        <f>[1]Emissions!V977</f>
        <v>6.1740672419999996</v>
      </c>
      <c r="X561" s="6">
        <f>[1]Emissions!W977</f>
        <v>6.2366385790000001</v>
      </c>
      <c r="Y561" s="6">
        <f>[1]Emissions!X977</f>
        <v>6.306750761</v>
      </c>
      <c r="Z561" s="6">
        <f>[1]Emissions!Y977</f>
        <v>6.3852739339999998</v>
      </c>
      <c r="AA561" s="6">
        <f>[1]Emissions!Z977</f>
        <v>6.4727489880000002</v>
      </c>
      <c r="AB561" s="6">
        <f>[1]Emissions!AA977</f>
        <v>6.5611877329999997</v>
      </c>
      <c r="AC561" s="6">
        <f>[1]Emissions!AB977</f>
        <v>6.6575107219999996</v>
      </c>
      <c r="AD561" s="6">
        <f>[1]Emissions!AC977</f>
        <v>6.7588696419999996</v>
      </c>
      <c r="AE561" s="6">
        <f>[1]Emissions!AD977</f>
        <v>6.8628636219999999</v>
      </c>
      <c r="AF561" s="6">
        <f>[1]Emissions!AE977</f>
        <v>6.968409158</v>
      </c>
      <c r="AG561" s="6">
        <f>[1]Emissions!AF977</f>
        <v>7.0752268620000001</v>
      </c>
      <c r="AH561" s="6">
        <f>[1]Emissions!AG977</f>
        <v>7.1832553729999997</v>
      </c>
      <c r="AI561" s="6">
        <f>[1]Emissions!AH977</f>
        <v>7.2922533930000002</v>
      </c>
      <c r="AJ561" s="6">
        <f>[1]Emissions!AI977</f>
        <v>7.401665672</v>
      </c>
      <c r="AK561" s="6">
        <f>[1]Emissions!AJ977</f>
        <v>7.5107323839999998</v>
      </c>
      <c r="AL561" s="6">
        <f>[1]Emissions!AK977</f>
        <v>7.6185515209999997</v>
      </c>
    </row>
    <row r="562" spans="1:38" hidden="1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</row>
    <row r="563" spans="1:38" hidden="1" x14ac:dyDescent="0.3">
      <c r="B563" s="16" t="str">
        <f>[1]Emissions!A979</f>
        <v>ems_mat_co2_seco_0</v>
      </c>
      <c r="C563" s="6">
        <f>[1]Emissions!B979</f>
        <v>0.31119970200000002</v>
      </c>
      <c r="D563" s="6">
        <f>[1]Emissions!C979</f>
        <v>0.31339265259999999</v>
      </c>
      <c r="E563" s="6">
        <f>[1]Emissions!D979</f>
        <v>0.31550258110000001</v>
      </c>
      <c r="F563" s="6">
        <f>[1]Emissions!E979</f>
        <v>0.31848992669999998</v>
      </c>
      <c r="G563" s="6">
        <f>[1]Emissions!F979</f>
        <v>0.322727019</v>
      </c>
      <c r="H563" s="6">
        <f>[1]Emissions!G979</f>
        <v>0.32829307000000002</v>
      </c>
      <c r="I563" s="6">
        <f>[1]Emissions!H979</f>
        <v>0.33491314119999999</v>
      </c>
      <c r="J563" s="6">
        <f>[1]Emissions!I979</f>
        <v>0.3424359159</v>
      </c>
      <c r="K563" s="6">
        <f>[1]Emissions!J979</f>
        <v>0.3505711474</v>
      </c>
      <c r="L563" s="6">
        <f>[1]Emissions!K979</f>
        <v>0.35897850079999999</v>
      </c>
      <c r="M563" s="6">
        <f>[1]Emissions!L979</f>
        <v>0.36752638160000001</v>
      </c>
      <c r="N563" s="6">
        <f>[1]Emissions!M979</f>
        <v>0.37570352000000001</v>
      </c>
      <c r="O563" s="6">
        <f>[1]Emissions!N979</f>
        <v>0.38338463760000002</v>
      </c>
      <c r="P563" s="6">
        <f>[1]Emissions!O979</f>
        <v>0.39046807439999998</v>
      </c>
      <c r="Q563" s="6">
        <f>[1]Emissions!P979</f>
        <v>0.39683890890000001</v>
      </c>
      <c r="R563" s="6">
        <f>[1]Emissions!Q979</f>
        <v>0.40242484670000001</v>
      </c>
      <c r="S563" s="6">
        <f>[1]Emissions!R979</f>
        <v>0.40726868799999999</v>
      </c>
      <c r="T563" s="6">
        <f>[1]Emissions!S979</f>
        <v>0.41152611280000001</v>
      </c>
      <c r="U563" s="6">
        <f>[1]Emissions!T979</f>
        <v>0.4154372596</v>
      </c>
      <c r="V563" s="6">
        <f>[1]Emissions!U979</f>
        <v>0.41928122420000002</v>
      </c>
      <c r="W563" s="6">
        <f>[1]Emissions!V979</f>
        <v>0.42315328260000001</v>
      </c>
      <c r="X563" s="6">
        <f>[1]Emissions!W979</f>
        <v>0.42744174660000001</v>
      </c>
      <c r="Y563" s="6">
        <f>[1]Emissions!X979</f>
        <v>0.43224703920000002</v>
      </c>
      <c r="Z563" s="6">
        <f>[1]Emissions!Y979</f>
        <v>0.43762879739999999</v>
      </c>
      <c r="AA563" s="6">
        <f>[1]Emissions!Z979</f>
        <v>0.44362409260000002</v>
      </c>
      <c r="AB563" s="6">
        <f>[1]Emissions!AA979</f>
        <v>0.44968543649999998</v>
      </c>
      <c r="AC563" s="6">
        <f>[1]Emissions!AB979</f>
        <v>0.45628714440000001</v>
      </c>
      <c r="AD563" s="6">
        <f>[1]Emissions!AC979</f>
        <v>0.4632340009</v>
      </c>
      <c r="AE563" s="6">
        <f>[1]Emissions!AD979</f>
        <v>0.47036145709999999</v>
      </c>
      <c r="AF563" s="6">
        <f>[1]Emissions!AE979</f>
        <v>0.47759525260000002</v>
      </c>
      <c r="AG563" s="6">
        <f>[1]Emissions!AF979</f>
        <v>0.48491623900000003</v>
      </c>
      <c r="AH563" s="6">
        <f>[1]Emissions!AG979</f>
        <v>0.49232021059999997</v>
      </c>
      <c r="AI563" s="6">
        <f>[1]Emissions!AH979</f>
        <v>0.49979062969999999</v>
      </c>
      <c r="AJ563" s="6">
        <f>[1]Emissions!AI979</f>
        <v>0.50728944099999995</v>
      </c>
      <c r="AK563" s="6">
        <f>[1]Emissions!AJ979</f>
        <v>0.51476456800000003</v>
      </c>
      <c r="AL563" s="6">
        <f>[1]Emissions!AK979</f>
        <v>0.52215418979999995</v>
      </c>
    </row>
    <row r="564" spans="1:38" hidden="1" x14ac:dyDescent="0.3">
      <c r="B564" s="16" t="str">
        <f>[1]Emissions!A980</f>
        <v>ems_ci_co2_sech_0</v>
      </c>
      <c r="C564" s="6">
        <f>[1]Emissions!B980</f>
        <v>2.6042451780000002</v>
      </c>
      <c r="D564" s="6">
        <f>[1]Emissions!C980</f>
        <v>2.6288213690000002</v>
      </c>
      <c r="E564" s="6">
        <f>[1]Emissions!D980</f>
        <v>2.6542015800000001</v>
      </c>
      <c r="F564" s="6">
        <f>[1]Emissions!E980</f>
        <v>2.684795168</v>
      </c>
      <c r="G564" s="6">
        <f>[1]Emissions!F980</f>
        <v>2.7222521259999999</v>
      </c>
      <c r="H564" s="6">
        <f>[1]Emissions!G980</f>
        <v>2.7669076179999998</v>
      </c>
      <c r="I564" s="6">
        <f>[1]Emissions!H980</f>
        <v>2.81636716</v>
      </c>
      <c r="J564" s="6">
        <f>[1]Emissions!I980</f>
        <v>2.8700210629999998</v>
      </c>
      <c r="K564" s="6">
        <f>[1]Emissions!J980</f>
        <v>2.9264248830000001</v>
      </c>
      <c r="L564" s="6">
        <f>[1]Emissions!K980</f>
        <v>2.983759976</v>
      </c>
      <c r="M564" s="6">
        <f>[1]Emissions!L980</f>
        <v>3.042636296</v>
      </c>
      <c r="N564" s="6">
        <f>[1]Emissions!M980</f>
        <v>3.0988529929999999</v>
      </c>
      <c r="O564" s="6">
        <f>[1]Emissions!N980</f>
        <v>3.1519298899999999</v>
      </c>
      <c r="P564" s="6">
        <f>[1]Emissions!O980</f>
        <v>3.2017409319999999</v>
      </c>
      <c r="Q564" s="6">
        <f>[1]Emissions!P980</f>
        <v>3.2477518500000002</v>
      </c>
      <c r="R564" s="6">
        <f>[1]Emissions!Q980</f>
        <v>3.2894593470000002</v>
      </c>
      <c r="S564" s="6">
        <f>[1]Emissions!R980</f>
        <v>3.3270626249999999</v>
      </c>
      <c r="T564" s="6">
        <f>[1]Emissions!S980</f>
        <v>3.361445545</v>
      </c>
      <c r="U564" s="6">
        <f>[1]Emissions!T980</f>
        <v>3.3939902289999999</v>
      </c>
      <c r="V564" s="6">
        <f>[1]Emissions!U980</f>
        <v>3.4262939829999999</v>
      </c>
      <c r="W564" s="6">
        <f>[1]Emissions!V980</f>
        <v>3.4580142060000001</v>
      </c>
      <c r="X564" s="6">
        <f>[1]Emissions!W980</f>
        <v>3.492189652</v>
      </c>
      <c r="Y564" s="6">
        <f>[1]Emissions!X980</f>
        <v>3.5292989989999999</v>
      </c>
      <c r="Z564" s="6">
        <f>[1]Emissions!Y980</f>
        <v>3.5694316650000002</v>
      </c>
      <c r="AA564" s="6">
        <f>[1]Emissions!Z980</f>
        <v>3.6126846819999998</v>
      </c>
      <c r="AB564" s="6">
        <f>[1]Emissions!AA980</f>
        <v>3.653579605</v>
      </c>
      <c r="AC564" s="6">
        <f>[1]Emissions!AB980</f>
        <v>3.696928899</v>
      </c>
      <c r="AD564" s="6">
        <f>[1]Emissions!AC980</f>
        <v>3.7420835330000002</v>
      </c>
      <c r="AE564" s="6">
        <f>[1]Emissions!AD980</f>
        <v>3.7881016239999998</v>
      </c>
      <c r="AF564" s="6">
        <f>[1]Emissions!AE980</f>
        <v>3.8346143499999998</v>
      </c>
      <c r="AG564" s="6">
        <f>[1]Emissions!AF980</f>
        <v>3.881606085</v>
      </c>
      <c r="AH564" s="6">
        <f>[1]Emissions!AG980</f>
        <v>3.929136916</v>
      </c>
      <c r="AI564" s="6">
        <f>[1]Emissions!AH980</f>
        <v>3.9771655400000001</v>
      </c>
      <c r="AJ564" s="6">
        <f>[1]Emissions!AI980</f>
        <v>4.0254958509999996</v>
      </c>
      <c r="AK564" s="6">
        <f>[1]Emissions!AJ980</f>
        <v>4.0738292740000004</v>
      </c>
      <c r="AL564" s="6">
        <f>[1]Emissions!AK980</f>
        <v>4.1217248279999996</v>
      </c>
    </row>
    <row r="565" spans="1:38" hidden="1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</row>
    <row r="566" spans="1:38" hidden="1" x14ac:dyDescent="0.3">
      <c r="B566" s="16" t="str">
        <f>[1]Emissions!A982</f>
        <v>ems_mat_co2_sech_0</v>
      </c>
      <c r="C566" s="6">
        <f>[1]Emissions!B982</f>
        <v>0.17848933659999999</v>
      </c>
      <c r="D566" s="6">
        <f>[1]Emissions!C982</f>
        <v>0.18016071819999999</v>
      </c>
      <c r="E566" s="6">
        <f>[1]Emissions!D982</f>
        <v>0.1818749754</v>
      </c>
      <c r="F566" s="6">
        <f>[1]Emissions!E982</f>
        <v>0.1839436948</v>
      </c>
      <c r="G566" s="6">
        <f>[1]Emissions!F982</f>
        <v>0.1864884463</v>
      </c>
      <c r="H566" s="6">
        <f>[1]Emissions!G982</f>
        <v>0.18953722009999999</v>
      </c>
      <c r="I566" s="6">
        <f>[1]Emissions!H982</f>
        <v>0.19292715960000001</v>
      </c>
      <c r="J566" s="6">
        <f>[1]Emissions!I982</f>
        <v>0.19661498299999999</v>
      </c>
      <c r="K566" s="6">
        <f>[1]Emissions!J982</f>
        <v>0.20049859319999999</v>
      </c>
      <c r="L566" s="6">
        <f>[1]Emissions!K982</f>
        <v>0.20444974439999999</v>
      </c>
      <c r="M566" s="6">
        <f>[1]Emissions!L982</f>
        <v>0.20850707299999999</v>
      </c>
      <c r="N566" s="6">
        <f>[1]Emissions!M982</f>
        <v>0.21238104569999999</v>
      </c>
      <c r="O566" s="6">
        <f>[1]Emissions!N982</f>
        <v>0.21603794130000001</v>
      </c>
      <c r="P566" s="6">
        <f>[1]Emissions!O982</f>
        <v>0.21946924910000001</v>
      </c>
      <c r="Q566" s="6">
        <f>[1]Emissions!P982</f>
        <v>0.22263882199999999</v>
      </c>
      <c r="R566" s="6">
        <f>[1]Emissions!Q982</f>
        <v>0.22551271170000001</v>
      </c>
      <c r="S566" s="6">
        <f>[1]Emissions!R982</f>
        <v>0.22810520030000001</v>
      </c>
      <c r="T566" s="6">
        <f>[1]Emissions!S982</f>
        <v>0.2304776392</v>
      </c>
      <c r="U566" s="6">
        <f>[1]Emissions!T982</f>
        <v>0.23272567829999999</v>
      </c>
      <c r="V566" s="6">
        <f>[1]Emissions!U982</f>
        <v>0.2349597702</v>
      </c>
      <c r="W566" s="6">
        <f>[1]Emissions!V982</f>
        <v>0.23715719560000001</v>
      </c>
      <c r="X566" s="6">
        <f>[1]Emissions!W982</f>
        <v>0.23952667699999999</v>
      </c>
      <c r="Y566" s="6">
        <f>[1]Emissions!X982</f>
        <v>0.24210140459999999</v>
      </c>
      <c r="Z566" s="6">
        <f>[1]Emissions!Y982</f>
        <v>0.24488746289999999</v>
      </c>
      <c r="AA566" s="6">
        <f>[1]Emissions!Z982</f>
        <v>0.2478911566</v>
      </c>
      <c r="AB566" s="6">
        <f>[1]Emissions!AA982</f>
        <v>0.25073564230000001</v>
      </c>
      <c r="AC566" s="6">
        <f>[1]Emissions!AB982</f>
        <v>0.25374983490000003</v>
      </c>
      <c r="AD566" s="6">
        <f>[1]Emissions!AC982</f>
        <v>0.25688825570000001</v>
      </c>
      <c r="AE566" s="6">
        <f>[1]Emissions!AD982</f>
        <v>0.26008517469999998</v>
      </c>
      <c r="AF566" s="6">
        <f>[1]Emissions!AE982</f>
        <v>0.26331435460000002</v>
      </c>
      <c r="AG566" s="6">
        <f>[1]Emissions!AF982</f>
        <v>0.26657409389999998</v>
      </c>
      <c r="AH566" s="6">
        <f>[1]Emissions!AG982</f>
        <v>0.26986814460000003</v>
      </c>
      <c r="AI566" s="6">
        <f>[1]Emissions!AH982</f>
        <v>0.27319345049999999</v>
      </c>
      <c r="AJ566" s="6">
        <f>[1]Emissions!AI982</f>
        <v>0.27653639359999999</v>
      </c>
      <c r="AK566" s="6">
        <f>[1]Emissions!AJ982</f>
        <v>0.2798763601</v>
      </c>
      <c r="AL566" s="6">
        <f>[1]Emissions!AK982</f>
        <v>0.2831830213</v>
      </c>
    </row>
    <row r="567" spans="1:38" hidden="1" x14ac:dyDescent="0.3">
      <c r="B567" s="16" t="str">
        <f>[1]Emissions!A983</f>
        <v>ems_ci_co2_seot_0</v>
      </c>
      <c r="C567" s="6">
        <f>[1]Emissions!B983</f>
        <v>1.7904729580000001</v>
      </c>
      <c r="D567" s="6">
        <f>[1]Emissions!C983</f>
        <v>1.803077649</v>
      </c>
      <c r="E567" s="6">
        <f>[1]Emissions!D983</f>
        <v>1.8153186020000001</v>
      </c>
      <c r="F567" s="6">
        <f>[1]Emissions!E983</f>
        <v>1.8326372710000001</v>
      </c>
      <c r="G567" s="6">
        <f>[1]Emissions!F983</f>
        <v>1.857115603</v>
      </c>
      <c r="H567" s="6">
        <f>[1]Emissions!G983</f>
        <v>1.88919126</v>
      </c>
      <c r="I567" s="6">
        <f>[1]Emissions!H983</f>
        <v>1.927290999</v>
      </c>
      <c r="J567" s="6">
        <f>[1]Emissions!I983</f>
        <v>1.9705663019999999</v>
      </c>
      <c r="K567" s="6">
        <f>[1]Emissions!J983</f>
        <v>2.0173633880000001</v>
      </c>
      <c r="L567" s="6">
        <f>[1]Emissions!K983</f>
        <v>2.0657309750000001</v>
      </c>
      <c r="M567" s="6">
        <f>[1]Emissions!L983</f>
        <v>2.1149077109999999</v>
      </c>
      <c r="N567" s="6">
        <f>[1]Emissions!M983</f>
        <v>2.1619518590000002</v>
      </c>
      <c r="O567" s="6">
        <f>[1]Emissions!N983</f>
        <v>2.2061536519999998</v>
      </c>
      <c r="P567" s="6">
        <f>[1]Emissions!O983</f>
        <v>2.2469348810000001</v>
      </c>
      <c r="Q567" s="6">
        <f>[1]Emissions!P983</f>
        <v>2.2836299499999999</v>
      </c>
      <c r="R567" s="6">
        <f>[1]Emissions!Q983</f>
        <v>2.315806206</v>
      </c>
      <c r="S567" s="6">
        <f>[1]Emissions!R983</f>
        <v>2.3436851359999999</v>
      </c>
      <c r="T567" s="6">
        <f>[1]Emissions!S983</f>
        <v>2.3681368439999999</v>
      </c>
      <c r="U567" s="6">
        <f>[1]Emissions!T983</f>
        <v>2.390523161</v>
      </c>
      <c r="V567" s="6">
        <f>[1]Emissions!U983</f>
        <v>2.412439548</v>
      </c>
      <c r="W567" s="6">
        <f>[1]Emissions!V983</f>
        <v>2.4344376969999999</v>
      </c>
      <c r="X567" s="6">
        <f>[1]Emissions!W983</f>
        <v>2.4587567240000001</v>
      </c>
      <c r="Y567" s="6">
        <f>[1]Emissions!X983</f>
        <v>2.4859785599999999</v>
      </c>
      <c r="Z567" s="6">
        <f>[1]Emissions!Y983</f>
        <v>2.516456008</v>
      </c>
      <c r="AA567" s="6">
        <f>[1]Emissions!Z983</f>
        <v>2.5504164569999999</v>
      </c>
      <c r="AB567" s="6">
        <f>[1]Emissions!AA983</f>
        <v>2.5847386769999998</v>
      </c>
      <c r="AC567" s="6">
        <f>[1]Emissions!AB983</f>
        <v>2.622165571</v>
      </c>
      <c r="AD567" s="6">
        <f>[1]Emissions!AC983</f>
        <v>2.6615740040000002</v>
      </c>
      <c r="AE567" s="6">
        <f>[1]Emissions!AD983</f>
        <v>2.7020164640000002</v>
      </c>
      <c r="AF567" s="6">
        <f>[1]Emissions!AE983</f>
        <v>2.7430696289999998</v>
      </c>
      <c r="AG567" s="6">
        <f>[1]Emissions!AF983</f>
        <v>2.7846338030000002</v>
      </c>
      <c r="AH567" s="6">
        <f>[1]Emissions!AG983</f>
        <v>2.8266996849999999</v>
      </c>
      <c r="AI567" s="6">
        <f>[1]Emissions!AH983</f>
        <v>2.8691871949999999</v>
      </c>
      <c r="AJ567" s="6">
        <f>[1]Emissions!AI983</f>
        <v>2.9118885149999998</v>
      </c>
      <c r="AK567" s="6">
        <f>[1]Emissions!AJ983</f>
        <v>2.954508868</v>
      </c>
      <c r="AL567" s="6">
        <f>[1]Emissions!AK983</f>
        <v>2.9966912479999999</v>
      </c>
    </row>
    <row r="568" spans="1:38" hidden="1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</row>
    <row r="569" spans="1:38" hidden="1" x14ac:dyDescent="0.3">
      <c r="B569" s="16" t="str">
        <f>[1]Emissions!A985</f>
        <v>ems_mat_co2_seot_0</v>
      </c>
      <c r="C569" s="6">
        <f>[1]Emissions!B985</f>
        <v>0.1227229629</v>
      </c>
      <c r="D569" s="6">
        <f>[1]Emissions!C985</f>
        <v>0.1235877626</v>
      </c>
      <c r="E569" s="6">
        <f>[1]Emissions!D985</f>
        <v>0.12441982209999999</v>
      </c>
      <c r="F569" s="6">
        <f>[1]Emissions!E985</f>
        <v>0.12559789490000001</v>
      </c>
      <c r="G569" s="6">
        <f>[1]Emissions!F985</f>
        <v>0.12726881079999999</v>
      </c>
      <c r="H569" s="6">
        <f>[1]Emissions!G985</f>
        <v>0.12946380730000001</v>
      </c>
      <c r="I569" s="6">
        <f>[1]Emissions!H985</f>
        <v>0.1320744613</v>
      </c>
      <c r="J569" s="6">
        <f>[1]Emissions!I985</f>
        <v>0.1350411004</v>
      </c>
      <c r="K569" s="6">
        <f>[1]Emissions!J985</f>
        <v>0.1382492645</v>
      </c>
      <c r="L569" s="6">
        <f>[1]Emissions!K985</f>
        <v>0.1415647411</v>
      </c>
      <c r="M569" s="6">
        <f>[1]Emissions!L985</f>
        <v>0.1449356352</v>
      </c>
      <c r="N569" s="6">
        <f>[1]Emissions!M985</f>
        <v>0.1481603255</v>
      </c>
      <c r="O569" s="6">
        <f>[1]Emissions!N985</f>
        <v>0.15118940780000001</v>
      </c>
      <c r="P569" s="6">
        <f>[1]Emissions!O985</f>
        <v>0.15398279209999999</v>
      </c>
      <c r="Q569" s="6">
        <f>[1]Emissions!P985</f>
        <v>0.15649515850000001</v>
      </c>
      <c r="R569" s="6">
        <f>[1]Emissions!Q985</f>
        <v>0.15869799749999999</v>
      </c>
      <c r="S569" s="6">
        <f>[1]Emissions!R985</f>
        <v>0.1606081875</v>
      </c>
      <c r="T569" s="6">
        <f>[1]Emissions!S985</f>
        <v>0.1622871216</v>
      </c>
      <c r="U569" s="6">
        <f>[1]Emissions!T985</f>
        <v>0.16382949939999999</v>
      </c>
      <c r="V569" s="6">
        <f>[1]Emissions!U985</f>
        <v>0.16534538360000001</v>
      </c>
      <c r="W569" s="6">
        <f>[1]Emissions!V985</f>
        <v>0.16687234679999999</v>
      </c>
      <c r="X569" s="6">
        <f>[1]Emissions!W985</f>
        <v>0.1685635214</v>
      </c>
      <c r="Y569" s="6">
        <f>[1]Emissions!X985</f>
        <v>0.17045850949999999</v>
      </c>
      <c r="Z569" s="6">
        <f>[1]Emissions!Y985</f>
        <v>0.1725808294</v>
      </c>
      <c r="AA569" s="6">
        <f>[1]Emissions!Z985</f>
        <v>0.17494510020000001</v>
      </c>
      <c r="AB569" s="6">
        <f>[1]Emissions!AA985</f>
        <v>0.1773354177</v>
      </c>
      <c r="AC569" s="6">
        <f>[1]Emissions!AB985</f>
        <v>0.1799388301</v>
      </c>
      <c r="AD569" s="6">
        <f>[1]Emissions!AC985</f>
        <v>0.18267835330000001</v>
      </c>
      <c r="AE569" s="6">
        <f>[1]Emissions!AD985</f>
        <v>0.1854890968</v>
      </c>
      <c r="AF569" s="6">
        <f>[1]Emissions!AE985</f>
        <v>0.18834177569999999</v>
      </c>
      <c r="AG569" s="6">
        <f>[1]Emissions!AF985</f>
        <v>0.19122883869999999</v>
      </c>
      <c r="AH569" s="6">
        <f>[1]Emissions!AG985</f>
        <v>0.19414862729999999</v>
      </c>
      <c r="AI569" s="6">
        <f>[1]Emissions!AH985</f>
        <v>0.1970946197</v>
      </c>
      <c r="AJ569" s="6">
        <f>[1]Emissions!AI985</f>
        <v>0.2000518087</v>
      </c>
      <c r="AK569" s="6">
        <f>[1]Emissions!AJ985</f>
        <v>0.2029996577</v>
      </c>
      <c r="AL569" s="6">
        <f>[1]Emissions!AK985</f>
        <v>0.20591378739999999</v>
      </c>
    </row>
    <row r="570" spans="1:38" hidden="1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x14ac:dyDescent="0.3">
      <c r="B571" s="17" t="s">
        <v>100</v>
      </c>
      <c r="C571" s="6">
        <f>[1]Emissions!B825-[1]Emissions!B829</f>
        <v>237.10026130000003</v>
      </c>
      <c r="D571" s="6">
        <f>[1]Emissions!C825-[1]Emissions!C829</f>
        <v>239.21752709999998</v>
      </c>
      <c r="E571" s="6">
        <f>[1]Emissions!D825-[1]Emissions!D829</f>
        <v>241.74172519999996</v>
      </c>
      <c r="F571" s="6">
        <f>[1]Emissions!E825-[1]Emissions!E829</f>
        <v>244.5220534</v>
      </c>
      <c r="G571" s="6">
        <f>[1]Emissions!F825-[1]Emissions!F829</f>
        <v>247.61341850000002</v>
      </c>
      <c r="H571" s="6">
        <f>[1]Emissions!G825-[1]Emissions!G829</f>
        <v>251.12231329999997</v>
      </c>
      <c r="I571" s="6">
        <f>[1]Emissions!H825-[1]Emissions!H829</f>
        <v>256.75786360000001</v>
      </c>
      <c r="J571" s="6">
        <f>[1]Emissions!I825-[1]Emissions!I829</f>
        <v>261.17073740000001</v>
      </c>
      <c r="K571" s="6">
        <f>[1]Emissions!J825-[1]Emissions!J829</f>
        <v>265.53945670000002</v>
      </c>
      <c r="L571" s="6">
        <f>[1]Emissions!K825-[1]Emissions!K829</f>
        <v>269.8154907</v>
      </c>
      <c r="M571" s="6">
        <f>[1]Emissions!L825-[1]Emissions!L829</f>
        <v>274.44268140000003</v>
      </c>
      <c r="N571" s="6">
        <f>[1]Emissions!M825-[1]Emissions!M829</f>
        <v>278.27283999999997</v>
      </c>
      <c r="O571" s="6">
        <f>[1]Emissions!N825-[1]Emissions!N829</f>
        <v>282.01880940000001</v>
      </c>
      <c r="P571" s="6">
        <f>[1]Emissions!O825-[1]Emissions!O829</f>
        <v>285.84514630000001</v>
      </c>
      <c r="Q571" s="6">
        <f>[1]Emissions!P825-[1]Emissions!P829</f>
        <v>289.78911269999998</v>
      </c>
      <c r="R571" s="6">
        <f>[1]Emissions!Q825-[1]Emissions!Q829</f>
        <v>293.84419730000002</v>
      </c>
      <c r="S571" s="6">
        <f>[1]Emissions!R825-[1]Emissions!R829</f>
        <v>297.98949100000004</v>
      </c>
      <c r="T571" s="6">
        <f>[1]Emissions!S825-[1]Emissions!S829</f>
        <v>302.20254710000006</v>
      </c>
      <c r="U571" s="6">
        <f>[1]Emissions!T825-[1]Emissions!T829</f>
        <v>306.4699746</v>
      </c>
      <c r="V571" s="6">
        <f>[1]Emissions!U825-[1]Emissions!U829</f>
        <v>310.79226400000005</v>
      </c>
      <c r="W571" s="6">
        <f>[1]Emissions!V825-[1]Emissions!V829</f>
        <v>314.75767159999998</v>
      </c>
      <c r="X571" s="6">
        <f>[1]Emissions!W825-[1]Emissions!W829</f>
        <v>319.24669019999999</v>
      </c>
      <c r="Y571" s="6">
        <f>[1]Emissions!X825-[1]Emissions!X829</f>
        <v>323.85161450000004</v>
      </c>
      <c r="Z571" s="6">
        <f>[1]Emissions!Y825-[1]Emissions!Y829</f>
        <v>328.51881969999999</v>
      </c>
      <c r="AA571" s="6">
        <f>[1]Emissions!Z825-[1]Emissions!Z829</f>
        <v>333.26815060000001</v>
      </c>
      <c r="AB571" s="6">
        <f>[1]Emissions!AA825-[1]Emissions!AA829</f>
        <v>336.82044839999998</v>
      </c>
      <c r="AC571" s="6">
        <f>[1]Emissions!AB825-[1]Emissions!AB829</f>
        <v>341.29304479999996</v>
      </c>
      <c r="AD571" s="6">
        <f>[1]Emissions!AC825-[1]Emissions!AC829</f>
        <v>345.88980409999999</v>
      </c>
      <c r="AE571" s="6">
        <f>[1]Emissions!AD825-[1]Emissions!AD829</f>
        <v>350.4425296</v>
      </c>
      <c r="AF571" s="6">
        <f>[1]Emissions!AE825-[1]Emissions!AE829</f>
        <v>354.96406160000004</v>
      </c>
      <c r="AG571" s="6">
        <f>[1]Emissions!AF825-[1]Emissions!AF829</f>
        <v>359.50256690000003</v>
      </c>
      <c r="AH571" s="6">
        <f>[1]Emissions!AG825-[1]Emissions!AG829</f>
        <v>364.10098089999997</v>
      </c>
      <c r="AI571" s="6">
        <f>[1]Emissions!AH825-[1]Emissions!AH829</f>
        <v>368.7848449</v>
      </c>
      <c r="AJ571" s="6">
        <f>[1]Emissions!AI825-[1]Emissions!AI829</f>
        <v>373.56068579999999</v>
      </c>
      <c r="AK571" s="6">
        <f>[1]Emissions!AJ825-[1]Emissions!AJ829</f>
        <v>378.42249350000003</v>
      </c>
      <c r="AL571" s="6">
        <f>[1]Emissions!AK825-[1]Emissions!AK829</f>
        <v>383.36009109999998</v>
      </c>
    </row>
    <row r="572" spans="1:38" x14ac:dyDescent="0.3">
      <c r="A572" s="12" t="s">
        <v>66</v>
      </c>
      <c r="B572" t="s">
        <v>7</v>
      </c>
      <c r="C572" s="6">
        <f>SUM(C413:C418)</f>
        <v>14.740683222299999</v>
      </c>
      <c r="D572" s="6">
        <f t="shared" ref="D572:AL572" si="96">SUM(D413:D418)</f>
        <v>14.5419461156</v>
      </c>
      <c r="E572" s="6">
        <f t="shared" si="96"/>
        <v>14.337382976099999</v>
      </c>
      <c r="F572" s="6">
        <f t="shared" si="96"/>
        <v>14.203706912900001</v>
      </c>
      <c r="G572" s="6">
        <f t="shared" si="96"/>
        <v>14.164587206399998</v>
      </c>
      <c r="H572" s="6">
        <f t="shared" si="96"/>
        <v>14.217447787500001</v>
      </c>
      <c r="I572" s="6">
        <f t="shared" si="96"/>
        <v>14.344630118200001</v>
      </c>
      <c r="J572" s="6">
        <f t="shared" si="96"/>
        <v>14.555409635600002</v>
      </c>
      <c r="K572" s="6">
        <f t="shared" si="96"/>
        <v>14.8079543779</v>
      </c>
      <c r="L572" s="6">
        <f t="shared" si="96"/>
        <v>15.058347180199998</v>
      </c>
      <c r="M572" s="6">
        <f t="shared" si="96"/>
        <v>15.284923193100001</v>
      </c>
      <c r="N572" s="6">
        <f t="shared" si="96"/>
        <v>15.4613528198</v>
      </c>
      <c r="O572" s="6">
        <f t="shared" si="96"/>
        <v>15.5960791182</v>
      </c>
      <c r="P572" s="6">
        <f t="shared" si="96"/>
        <v>15.6995862094</v>
      </c>
      <c r="Q572" s="6">
        <f t="shared" si="96"/>
        <v>15.7810149836</v>
      </c>
      <c r="R572" s="6">
        <f t="shared" si="96"/>
        <v>15.846064371000001</v>
      </c>
      <c r="S572" s="6">
        <f t="shared" si="96"/>
        <v>15.897301157799999</v>
      </c>
      <c r="T572" s="6">
        <f t="shared" si="96"/>
        <v>15.935900567799999</v>
      </c>
      <c r="U572" s="6">
        <f t="shared" si="96"/>
        <v>15.963441593999999</v>
      </c>
      <c r="V572" s="6">
        <f t="shared" si="96"/>
        <v>15.982861870300001</v>
      </c>
      <c r="W572" s="6">
        <f t="shared" si="96"/>
        <v>15.9900903561</v>
      </c>
      <c r="X572" s="6">
        <f t="shared" si="96"/>
        <v>16.001673393299999</v>
      </c>
      <c r="Y572" s="6">
        <f t="shared" si="96"/>
        <v>16.017517097500001</v>
      </c>
      <c r="Z572" s="6">
        <f t="shared" si="96"/>
        <v>16.0404607318</v>
      </c>
      <c r="AA572" s="6">
        <f t="shared" si="96"/>
        <v>16.072791456200001</v>
      </c>
      <c r="AB572" s="6">
        <f t="shared" si="96"/>
        <v>16.090609570399998</v>
      </c>
      <c r="AC572" s="6">
        <f t="shared" si="96"/>
        <v>16.117967772100002</v>
      </c>
      <c r="AD572" s="6">
        <f t="shared" si="96"/>
        <v>16.145885847899997</v>
      </c>
      <c r="AE572" s="6">
        <f t="shared" si="96"/>
        <v>16.171744460599999</v>
      </c>
      <c r="AF572" s="6">
        <f t="shared" si="96"/>
        <v>16.196364086500001</v>
      </c>
      <c r="AG572" s="6">
        <f t="shared" si="96"/>
        <v>16.222190482999999</v>
      </c>
      <c r="AH572" s="6">
        <f t="shared" si="96"/>
        <v>16.251539385099999</v>
      </c>
      <c r="AI572" s="6">
        <f t="shared" si="96"/>
        <v>16.285462757000001</v>
      </c>
      <c r="AJ572" s="6">
        <f t="shared" si="96"/>
        <v>16.3234916557</v>
      </c>
      <c r="AK572" s="6">
        <f t="shared" si="96"/>
        <v>16.364086247800003</v>
      </c>
      <c r="AL572" s="6">
        <f t="shared" si="96"/>
        <v>16.405420310500002</v>
      </c>
    </row>
    <row r="573" spans="1:38" x14ac:dyDescent="0.3">
      <c r="A573" t="s">
        <v>27</v>
      </c>
      <c r="B573" t="s">
        <v>84</v>
      </c>
      <c r="C573" s="6">
        <f>SUM(C419:C421)</f>
        <v>9.8745130159999999</v>
      </c>
      <c r="D573" s="6">
        <f t="shared" ref="D573:AL573" si="97">SUM(D419:D421)</f>
        <v>9.8694077199999999</v>
      </c>
      <c r="E573" s="6">
        <f t="shared" si="97"/>
        <v>9.8505212550000003</v>
      </c>
      <c r="F573" s="6">
        <f t="shared" si="97"/>
        <v>9.8486436929999996</v>
      </c>
      <c r="G573" s="6">
        <f t="shared" si="97"/>
        <v>9.8734797929999996</v>
      </c>
      <c r="H573" s="6">
        <f t="shared" si="97"/>
        <v>9.9243294500000001</v>
      </c>
      <c r="I573" s="6">
        <f t="shared" si="97"/>
        <v>9.9922607429999992</v>
      </c>
      <c r="J573" s="6">
        <f t="shared" si="97"/>
        <v>10.09245016</v>
      </c>
      <c r="K573" s="6">
        <f t="shared" si="97"/>
        <v>10.20460269</v>
      </c>
      <c r="L573" s="6">
        <f t="shared" si="97"/>
        <v>10.3131358</v>
      </c>
      <c r="M573" s="6">
        <f t="shared" si="97"/>
        <v>10.415848280000001</v>
      </c>
      <c r="N573" s="6">
        <f t="shared" si="97"/>
        <v>10.500199800000001</v>
      </c>
      <c r="O573" s="6">
        <f t="shared" si="97"/>
        <v>10.569672779999999</v>
      </c>
      <c r="P573" s="6">
        <f t="shared" si="97"/>
        <v>10.62764175</v>
      </c>
      <c r="Q573" s="6">
        <f t="shared" si="97"/>
        <v>10.676696789999999</v>
      </c>
      <c r="R573" s="6">
        <f t="shared" si="97"/>
        <v>10.71830772</v>
      </c>
      <c r="S573" s="6">
        <f t="shared" si="97"/>
        <v>10.753135759999999</v>
      </c>
      <c r="T573" s="6">
        <f t="shared" si="97"/>
        <v>10.78169984</v>
      </c>
      <c r="U573" s="6">
        <f t="shared" si="97"/>
        <v>10.804918710000001</v>
      </c>
      <c r="V573" s="6">
        <f t="shared" si="97"/>
        <v>10.82429698</v>
      </c>
      <c r="W573" s="6">
        <f t="shared" si="97"/>
        <v>10.83609993</v>
      </c>
      <c r="X573" s="6">
        <f t="shared" si="97"/>
        <v>10.849951969999999</v>
      </c>
      <c r="Y573" s="6">
        <f t="shared" si="97"/>
        <v>10.866139370000001</v>
      </c>
      <c r="Z573" s="6">
        <f t="shared" si="97"/>
        <v>10.885742369999999</v>
      </c>
      <c r="AA573" s="6">
        <f t="shared" si="97"/>
        <v>10.909476400000001</v>
      </c>
      <c r="AB573" s="6">
        <f t="shared" si="97"/>
        <v>10.921029389999999</v>
      </c>
      <c r="AC573" s="6">
        <f t="shared" si="97"/>
        <v>10.935257959999999</v>
      </c>
      <c r="AD573" s="6">
        <f t="shared" si="97"/>
        <v>10.950037849999999</v>
      </c>
      <c r="AE573" s="6">
        <f t="shared" si="97"/>
        <v>10.965091060000001</v>
      </c>
      <c r="AF573" s="6">
        <f t="shared" si="97"/>
        <v>10.980976330000001</v>
      </c>
      <c r="AG573" s="6">
        <f t="shared" si="97"/>
        <v>10.998527899999999</v>
      </c>
      <c r="AH573" s="6">
        <f t="shared" si="97"/>
        <v>11.018339190000001</v>
      </c>
      <c r="AI573" s="6">
        <f t="shared" si="97"/>
        <v>11.04047815</v>
      </c>
      <c r="AJ573" s="6">
        <f t="shared" si="97"/>
        <v>11.06449963</v>
      </c>
      <c r="AK573" s="6">
        <f t="shared" si="97"/>
        <v>11.089662300000001</v>
      </c>
      <c r="AL573" s="6">
        <f t="shared" si="97"/>
        <v>11.115217169999999</v>
      </c>
    </row>
    <row r="574" spans="1:38" x14ac:dyDescent="0.3">
      <c r="B574" t="s">
        <v>85</v>
      </c>
      <c r="C574" s="6">
        <f>SUM(C425:C427)</f>
        <v>19.549277496000002</v>
      </c>
      <c r="D574" s="6">
        <f t="shared" ref="D574:AL574" si="98">SUM(D425:D427)</f>
        <v>20.211534750000002</v>
      </c>
      <c r="E574" s="6">
        <f t="shared" si="98"/>
        <v>21.001781125999997</v>
      </c>
      <c r="F574" s="6">
        <f t="shared" si="98"/>
        <v>21.624977792999999</v>
      </c>
      <c r="G574" s="6">
        <f t="shared" si="98"/>
        <v>22.078572876999999</v>
      </c>
      <c r="H574" s="6">
        <f t="shared" si="98"/>
        <v>22.441554177</v>
      </c>
      <c r="I574" s="6">
        <f t="shared" si="98"/>
        <v>22.627254483000002</v>
      </c>
      <c r="J574" s="6">
        <f t="shared" si="98"/>
        <v>22.848988621</v>
      </c>
      <c r="K574" s="6">
        <f t="shared" si="98"/>
        <v>23.112352752</v>
      </c>
      <c r="L574" s="6">
        <f t="shared" si="98"/>
        <v>23.402945645000003</v>
      </c>
      <c r="M574" s="6">
        <f t="shared" si="98"/>
        <v>23.964257989</v>
      </c>
      <c r="N574" s="6">
        <f t="shared" si="98"/>
        <v>24.227598324999999</v>
      </c>
      <c r="O574" s="6">
        <f t="shared" si="98"/>
        <v>24.514593666</v>
      </c>
      <c r="P574" s="6">
        <f t="shared" si="98"/>
        <v>24.859827422999999</v>
      </c>
      <c r="Q574" s="6">
        <f t="shared" si="98"/>
        <v>25.239220500999998</v>
      </c>
      <c r="R574" s="6">
        <f t="shared" si="98"/>
        <v>25.633815789</v>
      </c>
      <c r="S574" s="6">
        <f t="shared" si="98"/>
        <v>26.035081204000001</v>
      </c>
      <c r="T574" s="6">
        <f t="shared" si="98"/>
        <v>26.441395415000002</v>
      </c>
      <c r="U574" s="6">
        <f t="shared" si="98"/>
        <v>26.854398795000002</v>
      </c>
      <c r="V574" s="6">
        <f t="shared" si="98"/>
        <v>27.276356989</v>
      </c>
      <c r="W574" s="6">
        <f t="shared" si="98"/>
        <v>27.531273237000001</v>
      </c>
      <c r="X574" s="6">
        <f t="shared" si="98"/>
        <v>28.022282514</v>
      </c>
      <c r="Y574" s="6">
        <f t="shared" si="98"/>
        <v>28.532732537000001</v>
      </c>
      <c r="Z574" s="6">
        <f t="shared" si="98"/>
        <v>29.024783759999998</v>
      </c>
      <c r="AA574" s="6">
        <f t="shared" si="98"/>
        <v>29.505961583999998</v>
      </c>
      <c r="AB574" s="6">
        <f t="shared" si="98"/>
        <v>29.461759530999998</v>
      </c>
      <c r="AC574" s="6">
        <f t="shared" si="98"/>
        <v>29.874423800000002</v>
      </c>
      <c r="AD574" s="6">
        <f t="shared" si="98"/>
        <v>30.373120913999998</v>
      </c>
      <c r="AE574" s="6">
        <f t="shared" si="98"/>
        <v>30.866934323999999</v>
      </c>
      <c r="AF574" s="6">
        <f t="shared" si="98"/>
        <v>31.352064498000001</v>
      </c>
      <c r="AG574" s="6">
        <f t="shared" si="98"/>
        <v>31.835295404</v>
      </c>
      <c r="AH574" s="6">
        <f t="shared" si="98"/>
        <v>32.320429091999998</v>
      </c>
      <c r="AI574" s="6">
        <f t="shared" si="98"/>
        <v>32.808599090000001</v>
      </c>
      <c r="AJ574" s="6">
        <f t="shared" si="98"/>
        <v>33.300123077000002</v>
      </c>
      <c r="AK574" s="6">
        <f t="shared" si="98"/>
        <v>33.795591751000003</v>
      </c>
      <c r="AL574" s="6">
        <f t="shared" si="98"/>
        <v>34.296069818999996</v>
      </c>
    </row>
    <row r="575" spans="1:38" x14ac:dyDescent="0.3">
      <c r="B575" t="s">
        <v>86</v>
      </c>
      <c r="C575" s="6">
        <f>SUM(C431:C433)</f>
        <v>6.4322980210000003</v>
      </c>
      <c r="D575" s="6">
        <f t="shared" ref="D575:AL575" si="99">SUM(D431:D433)</f>
        <v>6.4382897769999996</v>
      </c>
      <c r="E575" s="6">
        <f t="shared" si="99"/>
        <v>6.4695725389999996</v>
      </c>
      <c r="F575" s="6">
        <f t="shared" si="99"/>
        <v>6.523333987</v>
      </c>
      <c r="G575" s="6">
        <f t="shared" si="99"/>
        <v>6.5916812129999993</v>
      </c>
      <c r="H575" s="6">
        <f t="shared" si="99"/>
        <v>6.6701769219999996</v>
      </c>
      <c r="I575" s="6">
        <f t="shared" si="99"/>
        <v>6.7511365110000003</v>
      </c>
      <c r="J575" s="6">
        <f t="shared" si="99"/>
        <v>6.8380725400000006</v>
      </c>
      <c r="K575" s="6">
        <f t="shared" si="99"/>
        <v>6.9282226040000001</v>
      </c>
      <c r="L575" s="6">
        <f t="shared" si="99"/>
        <v>7.0208909189999993</v>
      </c>
      <c r="M575" s="6">
        <f t="shared" si="99"/>
        <v>7.1281071879999995</v>
      </c>
      <c r="N575" s="6">
        <f t="shared" si="99"/>
        <v>7.2296715139999996</v>
      </c>
      <c r="O575" s="6">
        <f t="shared" si="99"/>
        <v>7.3337095300000001</v>
      </c>
      <c r="P575" s="6">
        <f t="shared" si="99"/>
        <v>7.4409661840000005</v>
      </c>
      <c r="Q575" s="6">
        <f t="shared" si="99"/>
        <v>7.5500070099999999</v>
      </c>
      <c r="R575" s="6">
        <f t="shared" si="99"/>
        <v>7.6595717790000002</v>
      </c>
      <c r="S575" s="6">
        <f t="shared" si="99"/>
        <v>7.7691101870000008</v>
      </c>
      <c r="T575" s="6">
        <f t="shared" si="99"/>
        <v>7.8787695380000002</v>
      </c>
      <c r="U575" s="6">
        <f t="shared" si="99"/>
        <v>7.9891543299999999</v>
      </c>
      <c r="V575" s="6">
        <f t="shared" si="99"/>
        <v>8.101022189</v>
      </c>
      <c r="W575" s="6">
        <f t="shared" si="99"/>
        <v>8.2064427559999995</v>
      </c>
      <c r="X575" s="6">
        <f t="shared" si="99"/>
        <v>8.3218038579999991</v>
      </c>
      <c r="Y575" s="6">
        <f t="shared" si="99"/>
        <v>8.4415689470000004</v>
      </c>
      <c r="Z575" s="6">
        <f t="shared" si="99"/>
        <v>8.564239658</v>
      </c>
      <c r="AA575" s="6">
        <f t="shared" si="99"/>
        <v>8.6896501209999997</v>
      </c>
      <c r="AB575" s="6">
        <f t="shared" si="99"/>
        <v>8.7919530689999998</v>
      </c>
      <c r="AC575" s="6">
        <f t="shared" si="99"/>
        <v>8.9085583390000007</v>
      </c>
      <c r="AD575" s="6">
        <f t="shared" si="99"/>
        <v>9.0303593940000013</v>
      </c>
      <c r="AE575" s="6">
        <f t="shared" si="99"/>
        <v>9.154912908</v>
      </c>
      <c r="AF575" s="6">
        <f t="shared" si="99"/>
        <v>9.2822223259999994</v>
      </c>
      <c r="AG575" s="6">
        <f t="shared" si="99"/>
        <v>9.4124006720000004</v>
      </c>
      <c r="AH575" s="6">
        <f t="shared" si="99"/>
        <v>9.5452578450000001</v>
      </c>
      <c r="AI575" s="6">
        <f t="shared" si="99"/>
        <v>9.6804294429999995</v>
      </c>
      <c r="AJ575" s="6">
        <f t="shared" si="99"/>
        <v>9.8175772689999992</v>
      </c>
      <c r="AK575" s="6">
        <f t="shared" si="99"/>
        <v>9.9565154910000011</v>
      </c>
      <c r="AL575" s="6">
        <f t="shared" si="99"/>
        <v>10.097231835999999</v>
      </c>
    </row>
    <row r="576" spans="1:38" x14ac:dyDescent="0.3">
      <c r="B576" t="s">
        <v>87</v>
      </c>
      <c r="C576" s="6">
        <f>SUM(C437:C439)</f>
        <v>20.393268500000001</v>
      </c>
      <c r="D576" s="6">
        <f t="shared" ref="D576:AL576" si="100">SUM(D437:D439)</f>
        <v>20.705632853000001</v>
      </c>
      <c r="E576" s="6">
        <f t="shared" si="100"/>
        <v>21.079697712999998</v>
      </c>
      <c r="F576" s="6">
        <f t="shared" si="100"/>
        <v>21.459473684999999</v>
      </c>
      <c r="G576" s="6">
        <f t="shared" si="100"/>
        <v>21.831625005999999</v>
      </c>
      <c r="H576" s="6">
        <f t="shared" si="100"/>
        <v>22.198192915</v>
      </c>
      <c r="I576" s="6">
        <f t="shared" si="100"/>
        <v>22.524232407</v>
      </c>
      <c r="J576" s="6">
        <f t="shared" si="100"/>
        <v>22.869903373</v>
      </c>
      <c r="K576" s="6">
        <f t="shared" si="100"/>
        <v>23.222149952000002</v>
      </c>
      <c r="L576" s="6">
        <f t="shared" si="100"/>
        <v>23.574832169</v>
      </c>
      <c r="M576" s="6">
        <f t="shared" si="100"/>
        <v>23.995310787000001</v>
      </c>
      <c r="N576" s="6">
        <f t="shared" si="100"/>
        <v>24.349129738000002</v>
      </c>
      <c r="O576" s="6">
        <f t="shared" si="100"/>
        <v>24.704890155999998</v>
      </c>
      <c r="P576" s="6">
        <f t="shared" si="100"/>
        <v>25.069673209000001</v>
      </c>
      <c r="Q576" s="6">
        <f t="shared" si="100"/>
        <v>25.437805898999997</v>
      </c>
      <c r="R576" s="6">
        <f t="shared" si="100"/>
        <v>25.804617815999997</v>
      </c>
      <c r="S576" s="6">
        <f t="shared" si="100"/>
        <v>26.168576290000001</v>
      </c>
      <c r="T576" s="6">
        <f t="shared" si="100"/>
        <v>26.530887364999998</v>
      </c>
      <c r="U576" s="6">
        <f t="shared" si="100"/>
        <v>26.894387306999999</v>
      </c>
      <c r="V576" s="6">
        <f t="shared" si="100"/>
        <v>27.262332260000001</v>
      </c>
      <c r="W576" s="6">
        <f t="shared" si="100"/>
        <v>27.58969754</v>
      </c>
      <c r="X576" s="6">
        <f t="shared" si="100"/>
        <v>27.977312349999998</v>
      </c>
      <c r="Y576" s="6">
        <f t="shared" si="100"/>
        <v>28.379621390000001</v>
      </c>
      <c r="Z576" s="6">
        <f t="shared" si="100"/>
        <v>28.788811840000001</v>
      </c>
      <c r="AA576" s="6">
        <f t="shared" si="100"/>
        <v>29.205410200000003</v>
      </c>
      <c r="AB576" s="6">
        <f t="shared" si="100"/>
        <v>29.490897459999999</v>
      </c>
      <c r="AC576" s="6">
        <f t="shared" si="100"/>
        <v>29.874664639999999</v>
      </c>
      <c r="AD576" s="6">
        <f t="shared" si="100"/>
        <v>30.283581269999999</v>
      </c>
      <c r="AE576" s="6">
        <f t="shared" si="100"/>
        <v>30.701174460000001</v>
      </c>
      <c r="AF576" s="6">
        <f t="shared" si="100"/>
        <v>31.126818370000002</v>
      </c>
      <c r="AG576" s="6">
        <f t="shared" si="100"/>
        <v>31.561284740000001</v>
      </c>
      <c r="AH576" s="6">
        <f t="shared" si="100"/>
        <v>32.004185190000001</v>
      </c>
      <c r="AI576" s="6">
        <f t="shared" si="100"/>
        <v>32.454365660000001</v>
      </c>
      <c r="AJ576" s="6">
        <f t="shared" si="100"/>
        <v>32.91069933</v>
      </c>
      <c r="AK576" s="6">
        <f t="shared" si="100"/>
        <v>33.372589269999999</v>
      </c>
      <c r="AL576" s="6">
        <f t="shared" si="100"/>
        <v>33.8400654</v>
      </c>
    </row>
    <row r="577" spans="1:38" x14ac:dyDescent="0.3">
      <c r="B577" t="s">
        <v>88</v>
      </c>
      <c r="C577" s="6">
        <f>SUM(C422:C424,C428:C430,C434:C436,C440:C442,C443:C445,C446:C448)</f>
        <v>17.270415416600002</v>
      </c>
      <c r="D577" s="6">
        <f t="shared" ref="D577:AL577" si="101">SUM(D422:D424,D428:D430,D434:D436,D440:D442,D443:D445,D446:D448)</f>
        <v>17.7392226039</v>
      </c>
      <c r="E577" s="6">
        <f t="shared" si="101"/>
        <v>18.275714430899999</v>
      </c>
      <c r="F577" s="6">
        <f t="shared" si="101"/>
        <v>18.6717490182</v>
      </c>
      <c r="G577" s="6">
        <f t="shared" si="101"/>
        <v>18.961040313000002</v>
      </c>
      <c r="H577" s="6">
        <f t="shared" si="101"/>
        <v>19.210548395099998</v>
      </c>
      <c r="I577" s="6">
        <f t="shared" si="101"/>
        <v>19.326121499500005</v>
      </c>
      <c r="J577" s="6">
        <f t="shared" si="101"/>
        <v>19.5339995368</v>
      </c>
      <c r="K577" s="6">
        <f t="shared" si="101"/>
        <v>19.793428188500002</v>
      </c>
      <c r="L577" s="6">
        <f t="shared" si="101"/>
        <v>20.075768034599996</v>
      </c>
      <c r="M577" s="6">
        <f t="shared" si="101"/>
        <v>20.5867386382</v>
      </c>
      <c r="N577" s="6">
        <f t="shared" si="101"/>
        <v>20.798834779899998</v>
      </c>
      <c r="O577" s="6">
        <f t="shared" si="101"/>
        <v>21.0580156077</v>
      </c>
      <c r="P577" s="6">
        <f t="shared" si="101"/>
        <v>21.363591608</v>
      </c>
      <c r="Q577" s="6">
        <f t="shared" si="101"/>
        <v>21.694337734200001</v>
      </c>
      <c r="R577" s="6">
        <f t="shared" si="101"/>
        <v>22.037032642200003</v>
      </c>
      <c r="S577" s="6">
        <f t="shared" si="101"/>
        <v>22.384991994299998</v>
      </c>
      <c r="T577" s="6">
        <f t="shared" si="101"/>
        <v>22.735792252099998</v>
      </c>
      <c r="U577" s="6">
        <f t="shared" si="101"/>
        <v>23.089614642699999</v>
      </c>
      <c r="V577" s="6">
        <f t="shared" si="101"/>
        <v>23.447933582099999</v>
      </c>
      <c r="W577" s="6">
        <f t="shared" si="101"/>
        <v>23.655493717900001</v>
      </c>
      <c r="X577" s="6">
        <f t="shared" si="101"/>
        <v>24.0879817866</v>
      </c>
      <c r="Y577" s="6">
        <f t="shared" si="101"/>
        <v>24.5125299971</v>
      </c>
      <c r="Z577" s="6">
        <f t="shared" si="101"/>
        <v>24.921380899799999</v>
      </c>
      <c r="AA577" s="6">
        <f t="shared" si="101"/>
        <v>25.325923173100001</v>
      </c>
      <c r="AB577" s="6">
        <f t="shared" si="101"/>
        <v>25.272176943200002</v>
      </c>
      <c r="AC577" s="6">
        <f t="shared" si="101"/>
        <v>25.674719228699999</v>
      </c>
      <c r="AD577" s="6">
        <f t="shared" si="101"/>
        <v>26.103944295799998</v>
      </c>
      <c r="AE577" s="6">
        <f t="shared" si="101"/>
        <v>26.519825645600001</v>
      </c>
      <c r="AF577" s="6">
        <f t="shared" si="101"/>
        <v>26.928263551699999</v>
      </c>
      <c r="AG577" s="6">
        <f t="shared" si="101"/>
        <v>27.336318681100003</v>
      </c>
      <c r="AH577" s="6">
        <f t="shared" si="101"/>
        <v>27.747767307499998</v>
      </c>
      <c r="AI577" s="6">
        <f t="shared" si="101"/>
        <v>28.1639447399</v>
      </c>
      <c r="AJ577" s="6">
        <f t="shared" si="101"/>
        <v>28.584967127399999</v>
      </c>
      <c r="AK577" s="6">
        <f t="shared" si="101"/>
        <v>29.010623373999998</v>
      </c>
      <c r="AL577" s="6">
        <f t="shared" si="101"/>
        <v>29.440861829199999</v>
      </c>
    </row>
    <row r="578" spans="1:38" x14ac:dyDescent="0.3">
      <c r="B578" t="s">
        <v>89</v>
      </c>
      <c r="C578" s="6">
        <f>SUM(C452:C454)</f>
        <v>16.040054869999999</v>
      </c>
      <c r="D578" s="6">
        <f t="shared" ref="D578:AL578" si="102">SUM(D452:D454)</f>
        <v>15.99344673</v>
      </c>
      <c r="E578" s="6">
        <f t="shared" si="102"/>
        <v>15.97470798</v>
      </c>
      <c r="F578" s="6">
        <f t="shared" si="102"/>
        <v>16.0125213</v>
      </c>
      <c r="G578" s="6">
        <f t="shared" si="102"/>
        <v>16.091816179999999</v>
      </c>
      <c r="H578" s="6">
        <f t="shared" si="102"/>
        <v>16.199527710000002</v>
      </c>
      <c r="I578" s="6">
        <f t="shared" si="102"/>
        <v>16.336504730000001</v>
      </c>
      <c r="J578" s="6">
        <f t="shared" si="102"/>
        <v>16.504271859999999</v>
      </c>
      <c r="K578" s="6">
        <f t="shared" si="102"/>
        <v>16.693945129999999</v>
      </c>
      <c r="L578" s="6">
        <f t="shared" si="102"/>
        <v>16.90189153</v>
      </c>
      <c r="M578" s="6">
        <f t="shared" si="102"/>
        <v>17.12803976</v>
      </c>
      <c r="N578" s="6">
        <f t="shared" si="102"/>
        <v>17.375710829999999</v>
      </c>
      <c r="O578" s="6">
        <f t="shared" si="102"/>
        <v>17.629712210000001</v>
      </c>
      <c r="P578" s="6">
        <f t="shared" si="102"/>
        <v>17.883977680000001</v>
      </c>
      <c r="Q578" s="6">
        <f t="shared" si="102"/>
        <v>18.134058719999999</v>
      </c>
      <c r="R578" s="6">
        <f t="shared" si="102"/>
        <v>18.376874229999999</v>
      </c>
      <c r="S578" s="6">
        <f t="shared" si="102"/>
        <v>18.61112645</v>
      </c>
      <c r="T578" s="6">
        <f t="shared" si="102"/>
        <v>18.83731972</v>
      </c>
      <c r="U578" s="6">
        <f t="shared" si="102"/>
        <v>19.057315110000001</v>
      </c>
      <c r="V578" s="6">
        <f t="shared" si="102"/>
        <v>19.273684500000002</v>
      </c>
      <c r="W578" s="6">
        <f t="shared" si="102"/>
        <v>19.485660410000001</v>
      </c>
      <c r="X578" s="6">
        <f t="shared" si="102"/>
        <v>19.694808890000001</v>
      </c>
      <c r="Y578" s="6">
        <f t="shared" si="102"/>
        <v>19.91026055</v>
      </c>
      <c r="Z578" s="6">
        <f t="shared" si="102"/>
        <v>20.133341850000001</v>
      </c>
      <c r="AA578" s="6">
        <f t="shared" si="102"/>
        <v>20.364214539999999</v>
      </c>
      <c r="AB578" s="6">
        <f t="shared" si="102"/>
        <v>20.589463800000001</v>
      </c>
      <c r="AC578" s="6">
        <f t="shared" si="102"/>
        <v>20.810235070000001</v>
      </c>
      <c r="AD578" s="6">
        <f t="shared" si="102"/>
        <v>21.036974270000002</v>
      </c>
      <c r="AE578" s="6">
        <f t="shared" si="102"/>
        <v>21.27177936</v>
      </c>
      <c r="AF578" s="6">
        <f t="shared" si="102"/>
        <v>21.515074569999999</v>
      </c>
      <c r="AG578" s="6">
        <f t="shared" si="102"/>
        <v>21.76642434</v>
      </c>
      <c r="AH578" s="6">
        <f t="shared" si="102"/>
        <v>22.024781560000001</v>
      </c>
      <c r="AI578" s="6">
        <f t="shared" si="102"/>
        <v>22.288863670000001</v>
      </c>
      <c r="AJ578" s="6">
        <f t="shared" si="102"/>
        <v>22.55752464</v>
      </c>
      <c r="AK578" s="6">
        <f t="shared" si="102"/>
        <v>22.82997301</v>
      </c>
      <c r="AL578" s="6">
        <f t="shared" si="102"/>
        <v>23.1058129</v>
      </c>
    </row>
    <row r="579" spans="1:38" x14ac:dyDescent="0.3">
      <c r="B579" t="s">
        <v>90</v>
      </c>
      <c r="C579" s="6">
        <f>SUM(C458:C460)</f>
        <v>19.866369049999999</v>
      </c>
      <c r="D579" s="6">
        <f t="shared" ref="D579:AL579" si="103">SUM(D458:D460)</f>
        <v>20.138514430000001</v>
      </c>
      <c r="E579" s="6">
        <f t="shared" si="103"/>
        <v>20.463111090000002</v>
      </c>
      <c r="F579" s="6">
        <f t="shared" si="103"/>
        <v>20.826090870000002</v>
      </c>
      <c r="G579" s="6">
        <f t="shared" si="103"/>
        <v>21.212251089999999</v>
      </c>
      <c r="H579" s="6">
        <f t="shared" si="103"/>
        <v>21.612245690000002</v>
      </c>
      <c r="I579" s="6">
        <f t="shared" si="103"/>
        <v>22.01615919</v>
      </c>
      <c r="J579" s="6">
        <f t="shared" si="103"/>
        <v>22.41195768</v>
      </c>
      <c r="K579" s="6">
        <f t="shared" si="103"/>
        <v>22.801461199999999</v>
      </c>
      <c r="L579" s="6">
        <f t="shared" si="103"/>
        <v>23.192126949999999</v>
      </c>
      <c r="M579" s="6">
        <f t="shared" si="103"/>
        <v>23.614027180000001</v>
      </c>
      <c r="N579" s="6">
        <f t="shared" si="103"/>
        <v>24.039483560000001</v>
      </c>
      <c r="O579" s="6">
        <f t="shared" si="103"/>
        <v>24.475269529999998</v>
      </c>
      <c r="P579" s="6">
        <f t="shared" si="103"/>
        <v>24.919620640000002</v>
      </c>
      <c r="Q579" s="6">
        <f t="shared" si="103"/>
        <v>25.369721980000001</v>
      </c>
      <c r="R579" s="6">
        <f t="shared" si="103"/>
        <v>25.823603519999999</v>
      </c>
      <c r="S579" s="6">
        <f t="shared" si="103"/>
        <v>26.280850959999999</v>
      </c>
      <c r="T579" s="6">
        <f t="shared" si="103"/>
        <v>26.742414530000001</v>
      </c>
      <c r="U579" s="6">
        <f t="shared" si="103"/>
        <v>27.209915580000001</v>
      </c>
      <c r="V579" s="6">
        <f t="shared" si="103"/>
        <v>27.68491088</v>
      </c>
      <c r="W579" s="6">
        <f t="shared" si="103"/>
        <v>28.150348659999999</v>
      </c>
      <c r="X579" s="6">
        <f t="shared" si="103"/>
        <v>28.633256599999999</v>
      </c>
      <c r="Y579" s="6">
        <f t="shared" si="103"/>
        <v>29.129100810000001</v>
      </c>
      <c r="Z579" s="6">
        <f t="shared" si="103"/>
        <v>29.636690000000002</v>
      </c>
      <c r="AA579" s="6">
        <f t="shared" si="103"/>
        <v>30.154852519999999</v>
      </c>
      <c r="AB579" s="6">
        <f t="shared" si="103"/>
        <v>30.626987039999999</v>
      </c>
      <c r="AC579" s="6">
        <f t="shared" si="103"/>
        <v>31.1116496</v>
      </c>
      <c r="AD579" s="6">
        <f t="shared" si="103"/>
        <v>31.605470560000001</v>
      </c>
      <c r="AE579" s="6">
        <f t="shared" si="103"/>
        <v>32.110085339999998</v>
      </c>
      <c r="AF579" s="6">
        <f t="shared" si="103"/>
        <v>32.626244970000002</v>
      </c>
      <c r="AG579" s="6">
        <f t="shared" si="103"/>
        <v>33.15362073</v>
      </c>
      <c r="AH579" s="6">
        <f t="shared" si="103"/>
        <v>33.691302569999998</v>
      </c>
      <c r="AI579" s="6">
        <f t="shared" si="103"/>
        <v>34.238421639999999</v>
      </c>
      <c r="AJ579" s="6">
        <f t="shared" si="103"/>
        <v>34.794580830000001</v>
      </c>
      <c r="AK579" s="6">
        <f t="shared" si="103"/>
        <v>35.359960870000002</v>
      </c>
      <c r="AL579" s="6">
        <f t="shared" si="103"/>
        <v>35.935138629999997</v>
      </c>
    </row>
    <row r="580" spans="1:38" x14ac:dyDescent="0.3">
      <c r="B580" t="s">
        <v>91</v>
      </c>
      <c r="C580" s="6">
        <f>SUM(C449:C451,C455:C457)</f>
        <v>9.3771383489999991</v>
      </c>
      <c r="D580" s="6">
        <f t="shared" ref="D580:AL580" si="104">SUM(D449:D451,D455:D457)</f>
        <v>9.4309971689999994</v>
      </c>
      <c r="E580" s="6">
        <f t="shared" si="104"/>
        <v>9.5058687099999997</v>
      </c>
      <c r="F580" s="6">
        <f t="shared" si="104"/>
        <v>9.6052825070000001</v>
      </c>
      <c r="G580" s="6">
        <f t="shared" si="104"/>
        <v>9.7210837150000007</v>
      </c>
      <c r="H580" s="6">
        <f t="shared" si="104"/>
        <v>9.8466823820000009</v>
      </c>
      <c r="I580" s="6">
        <f t="shared" si="104"/>
        <v>9.9772412880000001</v>
      </c>
      <c r="J580" s="6">
        <f t="shared" si="104"/>
        <v>10.115408414000001</v>
      </c>
      <c r="K580" s="6">
        <f t="shared" si="104"/>
        <v>10.257400532</v>
      </c>
      <c r="L580" s="6">
        <f t="shared" si="104"/>
        <v>10.402293242999999</v>
      </c>
      <c r="M580" s="6">
        <f t="shared" si="104"/>
        <v>10.557952218</v>
      </c>
      <c r="N580" s="6">
        <f t="shared" si="104"/>
        <v>10.715482212000001</v>
      </c>
      <c r="O580" s="6">
        <f t="shared" si="104"/>
        <v>10.875161866999999</v>
      </c>
      <c r="P580" s="6">
        <f t="shared" si="104"/>
        <v>11.035771138000001</v>
      </c>
      <c r="Q580" s="6">
        <f t="shared" si="104"/>
        <v>11.195653511</v>
      </c>
      <c r="R580" s="6">
        <f t="shared" si="104"/>
        <v>11.353402659</v>
      </c>
      <c r="S580" s="6">
        <f t="shared" si="104"/>
        <v>11.508351092</v>
      </c>
      <c r="T580" s="6">
        <f t="shared" si="104"/>
        <v>11.660726087</v>
      </c>
      <c r="U580" s="6">
        <f t="shared" si="104"/>
        <v>11.811478809</v>
      </c>
      <c r="V580" s="6">
        <f t="shared" si="104"/>
        <v>11.961938751</v>
      </c>
      <c r="W580" s="6">
        <f t="shared" si="104"/>
        <v>12.107455420000001</v>
      </c>
      <c r="X580" s="6">
        <f t="shared" si="104"/>
        <v>12.257576817</v>
      </c>
      <c r="Y580" s="6">
        <f t="shared" si="104"/>
        <v>12.412350405</v>
      </c>
      <c r="Z580" s="6">
        <f t="shared" si="104"/>
        <v>12.571885842</v>
      </c>
      <c r="AA580" s="6">
        <f t="shared" si="104"/>
        <v>12.736080472999999</v>
      </c>
      <c r="AB580" s="6">
        <f t="shared" si="104"/>
        <v>12.886180268</v>
      </c>
      <c r="AC580" s="6">
        <f t="shared" si="104"/>
        <v>13.041078495000001</v>
      </c>
      <c r="AD580" s="6">
        <f t="shared" si="104"/>
        <v>13.200025220000001</v>
      </c>
      <c r="AE580" s="6">
        <f t="shared" si="104"/>
        <v>13.363510308999999</v>
      </c>
      <c r="AF580" s="6">
        <f t="shared" si="104"/>
        <v>13.531886521000001</v>
      </c>
      <c r="AG580" s="6">
        <f t="shared" si="104"/>
        <v>13.705089660000001</v>
      </c>
      <c r="AH580" s="6">
        <f t="shared" si="104"/>
        <v>13.882645710999999</v>
      </c>
      <c r="AI580" s="6">
        <f t="shared" si="104"/>
        <v>14.063866419</v>
      </c>
      <c r="AJ580" s="6">
        <f t="shared" si="104"/>
        <v>14.248091136999999</v>
      </c>
      <c r="AK580" s="6">
        <f t="shared" si="104"/>
        <v>14.43485825</v>
      </c>
      <c r="AL580" s="6">
        <f t="shared" si="104"/>
        <v>14.623962304999999</v>
      </c>
    </row>
    <row r="581" spans="1:38" x14ac:dyDescent="0.3">
      <c r="B581" t="s">
        <v>10</v>
      </c>
      <c r="C581" s="6">
        <f>SUM(C461:C466)</f>
        <v>56.615078310800001</v>
      </c>
      <c r="D581" s="6">
        <f t="shared" ref="D581:AL581" si="105">SUM(D461:D466)</f>
        <v>56.426472286999996</v>
      </c>
      <c r="E581" s="6">
        <f t="shared" si="105"/>
        <v>56.3344619067</v>
      </c>
      <c r="F581" s="6">
        <f t="shared" si="105"/>
        <v>56.575633213899998</v>
      </c>
      <c r="G581" s="6">
        <f t="shared" si="105"/>
        <v>57.155844948899997</v>
      </c>
      <c r="H581" s="6">
        <f t="shared" si="105"/>
        <v>58.0506766552</v>
      </c>
      <c r="I581" s="6">
        <f t="shared" si="105"/>
        <v>59.331989675099997</v>
      </c>
      <c r="J581" s="6">
        <f t="shared" si="105"/>
        <v>60.872023711799997</v>
      </c>
      <c r="K581" s="6">
        <f t="shared" si="105"/>
        <v>62.528357131800007</v>
      </c>
      <c r="L581" s="6">
        <f t="shared" si="105"/>
        <v>64.144301528400007</v>
      </c>
      <c r="M581" s="6">
        <f t="shared" si="105"/>
        <v>65.515016818399999</v>
      </c>
      <c r="N581" s="6">
        <f t="shared" si="105"/>
        <v>66.883705381599995</v>
      </c>
      <c r="O581" s="6">
        <f t="shared" si="105"/>
        <v>68.132656729899992</v>
      </c>
      <c r="P581" s="6">
        <f t="shared" si="105"/>
        <v>69.336454744200012</v>
      </c>
      <c r="Q581" s="6">
        <f t="shared" si="105"/>
        <v>70.558831802499995</v>
      </c>
      <c r="R581" s="6">
        <f t="shared" si="105"/>
        <v>71.827050277799998</v>
      </c>
      <c r="S581" s="6">
        <f t="shared" si="105"/>
        <v>73.137940841700001</v>
      </c>
      <c r="T581" s="6">
        <f t="shared" si="105"/>
        <v>74.473133218699999</v>
      </c>
      <c r="U581" s="6">
        <f t="shared" si="105"/>
        <v>75.814039615599995</v>
      </c>
      <c r="V581" s="6">
        <f t="shared" si="105"/>
        <v>77.151435881599994</v>
      </c>
      <c r="W581" s="6">
        <f t="shared" si="105"/>
        <v>78.539559189299993</v>
      </c>
      <c r="X581" s="6">
        <f t="shared" si="105"/>
        <v>79.829315693300003</v>
      </c>
      <c r="Y581" s="6">
        <f t="shared" si="105"/>
        <v>81.1471957893</v>
      </c>
      <c r="Z581" s="6">
        <f t="shared" si="105"/>
        <v>82.504987326299997</v>
      </c>
      <c r="AA581" s="6">
        <f t="shared" si="105"/>
        <v>83.908927516899993</v>
      </c>
      <c r="AB581" s="6">
        <f t="shared" si="105"/>
        <v>85.480067796200004</v>
      </c>
      <c r="AC581" s="6">
        <f t="shared" si="105"/>
        <v>86.880084702700003</v>
      </c>
      <c r="AD581" s="6">
        <f t="shared" si="105"/>
        <v>88.254865753399997</v>
      </c>
      <c r="AE581" s="6">
        <f t="shared" si="105"/>
        <v>89.600479565200004</v>
      </c>
      <c r="AF581" s="6">
        <f t="shared" si="105"/>
        <v>90.923347359899992</v>
      </c>
      <c r="AG581" s="6">
        <f t="shared" si="105"/>
        <v>92.245572323499999</v>
      </c>
      <c r="AH581" s="6">
        <f t="shared" si="105"/>
        <v>93.5918420064</v>
      </c>
      <c r="AI581" s="6">
        <f t="shared" si="105"/>
        <v>94.978636722099992</v>
      </c>
      <c r="AJ581" s="6">
        <f t="shared" si="105"/>
        <v>96.410221274999998</v>
      </c>
      <c r="AK581" s="6">
        <f t="shared" si="105"/>
        <v>97.880817539700004</v>
      </c>
      <c r="AL581" s="6">
        <f t="shared" si="105"/>
        <v>99.380308575000001</v>
      </c>
    </row>
    <row r="582" spans="1:38" x14ac:dyDescent="0.3">
      <c r="B582" t="s">
        <v>24</v>
      </c>
      <c r="C582" s="6">
        <f>SUM(C467:C481)</f>
        <v>37.325823064399998</v>
      </c>
      <c r="D582" s="6">
        <f t="shared" ref="D582:AL582" si="106">SUM(D467:D481)</f>
        <v>38.029784514599996</v>
      </c>
      <c r="E582" s="6">
        <f t="shared" si="106"/>
        <v>38.680838466200001</v>
      </c>
      <c r="F582" s="6">
        <f t="shared" si="106"/>
        <v>39.302471604799997</v>
      </c>
      <c r="G582" s="6">
        <f t="shared" si="106"/>
        <v>39.928926669199996</v>
      </c>
      <c r="H582" s="6">
        <f t="shared" si="106"/>
        <v>40.577681962200003</v>
      </c>
      <c r="I582" s="6">
        <f t="shared" si="106"/>
        <v>42.064692385699999</v>
      </c>
      <c r="J582" s="6">
        <f t="shared" si="106"/>
        <v>42.784071030700005</v>
      </c>
      <c r="K582" s="6">
        <f t="shared" si="106"/>
        <v>43.352032528600006</v>
      </c>
      <c r="L582" s="6">
        <f t="shared" si="106"/>
        <v>43.860626969800002</v>
      </c>
      <c r="M582" s="6">
        <f t="shared" si="106"/>
        <v>44.380556186600003</v>
      </c>
      <c r="N582" s="6">
        <f t="shared" si="106"/>
        <v>44.834131753700007</v>
      </c>
      <c r="O582" s="6">
        <f t="shared" si="106"/>
        <v>45.282743938700008</v>
      </c>
      <c r="P582" s="6">
        <f t="shared" si="106"/>
        <v>45.751078744700003</v>
      </c>
      <c r="Q582" s="6">
        <f t="shared" si="106"/>
        <v>46.250432552699998</v>
      </c>
      <c r="R582" s="6">
        <f t="shared" si="106"/>
        <v>46.782647084700002</v>
      </c>
      <c r="S582" s="6">
        <f t="shared" si="106"/>
        <v>47.346904763099992</v>
      </c>
      <c r="T582" s="6">
        <f t="shared" si="106"/>
        <v>47.940705029700005</v>
      </c>
      <c r="U582" s="6">
        <f t="shared" si="106"/>
        <v>48.560649171400001</v>
      </c>
      <c r="V582" s="6">
        <f t="shared" si="106"/>
        <v>49.203120299100007</v>
      </c>
      <c r="W582" s="6">
        <f t="shared" si="106"/>
        <v>49.826808761600006</v>
      </c>
      <c r="X582" s="6">
        <f t="shared" si="106"/>
        <v>50.498437004199999</v>
      </c>
      <c r="Y582" s="6">
        <f t="shared" si="106"/>
        <v>51.185426986999992</v>
      </c>
      <c r="Z582" s="6">
        <f t="shared" si="106"/>
        <v>51.878766926199987</v>
      </c>
      <c r="AA582" s="6">
        <f t="shared" si="106"/>
        <v>52.575340590299994</v>
      </c>
      <c r="AB582" s="6">
        <f t="shared" si="106"/>
        <v>53.159071026000007</v>
      </c>
      <c r="AC582" s="6">
        <f t="shared" si="106"/>
        <v>53.789872324299992</v>
      </c>
      <c r="AD582" s="6">
        <f t="shared" si="106"/>
        <v>54.418542346099997</v>
      </c>
      <c r="AE582" s="6">
        <f t="shared" si="106"/>
        <v>55.032581185600002</v>
      </c>
      <c r="AF582" s="6">
        <f t="shared" si="106"/>
        <v>55.632887372600003</v>
      </c>
      <c r="AG582" s="6">
        <f t="shared" si="106"/>
        <v>56.224447258499993</v>
      </c>
      <c r="AH582" s="6">
        <f t="shared" si="106"/>
        <v>56.812969499300003</v>
      </c>
      <c r="AI582" s="6">
        <f t="shared" si="106"/>
        <v>57.403340190900003</v>
      </c>
      <c r="AJ582" s="6">
        <f t="shared" si="106"/>
        <v>57.998558139300009</v>
      </c>
      <c r="AK582" s="6">
        <f t="shared" si="106"/>
        <v>58.600070181900008</v>
      </c>
      <c r="AL582" s="6">
        <f t="shared" si="106"/>
        <v>59.208316330199999</v>
      </c>
    </row>
    <row r="583" spans="1:38" x14ac:dyDescent="0.3">
      <c r="B583" t="s">
        <v>11</v>
      </c>
      <c r="C583" s="6">
        <f>SUM(C482:C490)</f>
        <v>9.5477256514999986</v>
      </c>
      <c r="D583" s="6">
        <f t="shared" ref="D583:AL583" si="107">SUM(D482:D490)</f>
        <v>9.6216321644000011</v>
      </c>
      <c r="E583" s="6">
        <f t="shared" si="107"/>
        <v>9.6946947265999999</v>
      </c>
      <c r="F583" s="6">
        <f t="shared" si="107"/>
        <v>9.7924283303999999</v>
      </c>
      <c r="G583" s="6">
        <f t="shared" si="107"/>
        <v>9.9246381631000009</v>
      </c>
      <c r="H583" s="6">
        <f t="shared" si="107"/>
        <v>10.093391243400001</v>
      </c>
      <c r="I583" s="6">
        <f t="shared" si="107"/>
        <v>11.382508426199998</v>
      </c>
      <c r="J583" s="6">
        <f t="shared" si="107"/>
        <v>11.658954250200003</v>
      </c>
      <c r="K583" s="6">
        <f t="shared" si="107"/>
        <v>11.750623132600001</v>
      </c>
      <c r="L583" s="6">
        <f t="shared" si="107"/>
        <v>11.7799104126</v>
      </c>
      <c r="M583" s="6">
        <f t="shared" si="107"/>
        <v>11.782103904400001</v>
      </c>
      <c r="N583" s="6">
        <f t="shared" si="107"/>
        <v>11.7665520709</v>
      </c>
      <c r="O583" s="6">
        <f t="shared" si="107"/>
        <v>11.754247363200001</v>
      </c>
      <c r="P583" s="6">
        <f t="shared" si="107"/>
        <v>11.763876114999999</v>
      </c>
      <c r="Q583" s="6">
        <f t="shared" si="107"/>
        <v>11.807229258</v>
      </c>
      <c r="R583" s="6">
        <f t="shared" si="107"/>
        <v>11.886075813900003</v>
      </c>
      <c r="S583" s="6">
        <f t="shared" si="107"/>
        <v>11.9999447799</v>
      </c>
      <c r="T583" s="6">
        <f t="shared" si="107"/>
        <v>12.146581610300002</v>
      </c>
      <c r="U583" s="6">
        <f t="shared" si="107"/>
        <v>12.322392377000002</v>
      </c>
      <c r="V583" s="6">
        <f t="shared" si="107"/>
        <v>12.523054366799999</v>
      </c>
      <c r="W583" s="6">
        <f t="shared" si="107"/>
        <v>12.7384262929</v>
      </c>
      <c r="X583" s="6">
        <f t="shared" si="107"/>
        <v>12.970935950800001</v>
      </c>
      <c r="Y583" s="6">
        <f t="shared" si="107"/>
        <v>13.2147483449</v>
      </c>
      <c r="Z583" s="6">
        <f t="shared" si="107"/>
        <v>13.464213562800001</v>
      </c>
      <c r="AA583" s="6">
        <f t="shared" si="107"/>
        <v>13.714890031800001</v>
      </c>
      <c r="AB583" s="6">
        <f t="shared" si="107"/>
        <v>13.9446430993</v>
      </c>
      <c r="AC583" s="6">
        <f t="shared" si="107"/>
        <v>14.167901787300002</v>
      </c>
      <c r="AD583" s="6">
        <f t="shared" si="107"/>
        <v>14.3793317057</v>
      </c>
      <c r="AE583" s="6">
        <f t="shared" si="107"/>
        <v>14.575728417299997</v>
      </c>
      <c r="AF583" s="6">
        <f t="shared" si="107"/>
        <v>14.7582261877</v>
      </c>
      <c r="AG583" s="6">
        <f t="shared" si="107"/>
        <v>14.9307079013</v>
      </c>
      <c r="AH583" s="6">
        <f t="shared" si="107"/>
        <v>15.098219976599999</v>
      </c>
      <c r="AI583" s="6">
        <f t="shared" si="107"/>
        <v>15.2656957191</v>
      </c>
      <c r="AJ583" s="6">
        <f t="shared" si="107"/>
        <v>15.436544017900001</v>
      </c>
      <c r="AK583" s="6">
        <f t="shared" si="107"/>
        <v>15.612844602500001</v>
      </c>
      <c r="AL583" s="6">
        <f t="shared" si="107"/>
        <v>15.795670818800001</v>
      </c>
    </row>
    <row r="585" spans="1:3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</row>
    <row r="586" spans="1:38" x14ac:dyDescent="0.3">
      <c r="A586" t="s">
        <v>27</v>
      </c>
      <c r="B586" t="s">
        <v>7</v>
      </c>
      <c r="C586" s="6">
        <f>H572</f>
        <v>14.217447787500001</v>
      </c>
      <c r="D586" s="6">
        <f>R572</f>
        <v>15.846064371000001</v>
      </c>
      <c r="E586" s="6">
        <f>AB572</f>
        <v>16.090609570399998</v>
      </c>
      <c r="F586" s="6">
        <f>AL572</f>
        <v>16.405420310500002</v>
      </c>
    </row>
    <row r="587" spans="1:38" x14ac:dyDescent="0.3">
      <c r="B587" t="s">
        <v>84</v>
      </c>
      <c r="C587" s="6">
        <f t="shared" ref="C587:C597" si="108">H573</f>
        <v>9.9243294500000001</v>
      </c>
      <c r="D587" s="6">
        <f t="shared" ref="D587:D597" si="109">R573</f>
        <v>10.71830772</v>
      </c>
      <c r="E587" s="6">
        <f t="shared" ref="E587:E597" si="110">AB573</f>
        <v>10.921029389999999</v>
      </c>
      <c r="F587" s="6">
        <f t="shared" ref="F587:F597" si="111">AL573</f>
        <v>11.115217169999999</v>
      </c>
    </row>
    <row r="588" spans="1:38" x14ac:dyDescent="0.3">
      <c r="B588" t="s">
        <v>85</v>
      </c>
      <c r="C588" s="6">
        <f t="shared" si="108"/>
        <v>22.441554177</v>
      </c>
      <c r="D588" s="6">
        <f t="shared" si="109"/>
        <v>25.633815789</v>
      </c>
      <c r="E588" s="6">
        <f t="shared" si="110"/>
        <v>29.461759530999998</v>
      </c>
      <c r="F588" s="6">
        <f t="shared" si="111"/>
        <v>34.296069818999996</v>
      </c>
    </row>
    <row r="589" spans="1:38" x14ac:dyDescent="0.3">
      <c r="B589" t="s">
        <v>86</v>
      </c>
      <c r="C589" s="6">
        <f t="shared" si="108"/>
        <v>6.6701769219999996</v>
      </c>
      <c r="D589" s="6">
        <f t="shared" si="109"/>
        <v>7.6595717790000002</v>
      </c>
      <c r="E589" s="6">
        <f t="shared" si="110"/>
        <v>8.7919530689999998</v>
      </c>
      <c r="F589" s="6">
        <f t="shared" si="111"/>
        <v>10.097231835999999</v>
      </c>
    </row>
    <row r="590" spans="1:38" x14ac:dyDescent="0.3">
      <c r="B590" t="s">
        <v>87</v>
      </c>
      <c r="C590" s="6">
        <f t="shared" si="108"/>
        <v>22.198192915</v>
      </c>
      <c r="D590" s="6">
        <f t="shared" si="109"/>
        <v>25.804617815999997</v>
      </c>
      <c r="E590" s="6">
        <f t="shared" si="110"/>
        <v>29.490897459999999</v>
      </c>
      <c r="F590" s="6">
        <f t="shared" si="111"/>
        <v>33.8400654</v>
      </c>
    </row>
    <row r="591" spans="1:38" x14ac:dyDescent="0.3">
      <c r="B591" t="s">
        <v>88</v>
      </c>
      <c r="C591" s="6">
        <f t="shared" si="108"/>
        <v>19.210548395099998</v>
      </c>
      <c r="D591" s="6">
        <f t="shared" si="109"/>
        <v>22.037032642200003</v>
      </c>
      <c r="E591" s="6">
        <f t="shared" si="110"/>
        <v>25.272176943200002</v>
      </c>
      <c r="F591" s="6">
        <f t="shared" si="111"/>
        <v>29.440861829199999</v>
      </c>
    </row>
    <row r="592" spans="1:38" x14ac:dyDescent="0.3">
      <c r="B592" t="s">
        <v>89</v>
      </c>
      <c r="C592" s="6">
        <f t="shared" si="108"/>
        <v>16.199527710000002</v>
      </c>
      <c r="D592" s="6">
        <f t="shared" si="109"/>
        <v>18.376874229999999</v>
      </c>
      <c r="E592" s="6">
        <f t="shared" si="110"/>
        <v>20.589463800000001</v>
      </c>
      <c r="F592" s="6">
        <f t="shared" si="111"/>
        <v>23.1058129</v>
      </c>
    </row>
    <row r="593" spans="1:38" x14ac:dyDescent="0.3">
      <c r="B593" t="s">
        <v>90</v>
      </c>
      <c r="C593" s="6">
        <f t="shared" si="108"/>
        <v>21.612245690000002</v>
      </c>
      <c r="D593" s="6">
        <f t="shared" si="109"/>
        <v>25.823603519999999</v>
      </c>
      <c r="E593" s="6">
        <f t="shared" si="110"/>
        <v>30.626987039999999</v>
      </c>
      <c r="F593" s="6">
        <f t="shared" si="111"/>
        <v>35.935138629999997</v>
      </c>
    </row>
    <row r="594" spans="1:38" x14ac:dyDescent="0.3">
      <c r="B594" t="s">
        <v>91</v>
      </c>
      <c r="C594" s="6">
        <f t="shared" si="108"/>
        <v>9.8466823820000009</v>
      </c>
      <c r="D594" s="6">
        <f t="shared" si="109"/>
        <v>11.353402659</v>
      </c>
      <c r="E594" s="6">
        <f t="shared" si="110"/>
        <v>12.886180268</v>
      </c>
      <c r="F594" s="6">
        <f t="shared" si="111"/>
        <v>14.623962304999999</v>
      </c>
    </row>
    <row r="595" spans="1:38" x14ac:dyDescent="0.3">
      <c r="B595" t="s">
        <v>10</v>
      </c>
      <c r="C595" s="6">
        <f t="shared" si="108"/>
        <v>58.0506766552</v>
      </c>
      <c r="D595" s="6">
        <f t="shared" si="109"/>
        <v>71.827050277799998</v>
      </c>
      <c r="E595" s="6">
        <f t="shared" si="110"/>
        <v>85.480067796200004</v>
      </c>
      <c r="F595" s="6">
        <f t="shared" si="111"/>
        <v>99.380308575000001</v>
      </c>
    </row>
    <row r="596" spans="1:38" x14ac:dyDescent="0.3">
      <c r="B596" t="s">
        <v>24</v>
      </c>
      <c r="C596" s="6">
        <f t="shared" si="108"/>
        <v>40.577681962200003</v>
      </c>
      <c r="D596" s="6">
        <f t="shared" si="109"/>
        <v>46.782647084700002</v>
      </c>
      <c r="E596" s="6">
        <f t="shared" si="110"/>
        <v>53.159071026000007</v>
      </c>
      <c r="F596" s="6">
        <f t="shared" si="111"/>
        <v>59.208316330199999</v>
      </c>
    </row>
    <row r="597" spans="1:38" x14ac:dyDescent="0.3">
      <c r="B597" t="s">
        <v>11</v>
      </c>
      <c r="C597" s="6">
        <f t="shared" si="108"/>
        <v>10.093391243400001</v>
      </c>
      <c r="D597" s="6">
        <f t="shared" si="109"/>
        <v>11.886075813900003</v>
      </c>
      <c r="E597" s="6">
        <f t="shared" si="110"/>
        <v>13.9446430993</v>
      </c>
      <c r="F597" s="6">
        <f t="shared" si="111"/>
        <v>15.795670818800001</v>
      </c>
    </row>
    <row r="599" spans="1:38" x14ac:dyDescent="0.3">
      <c r="A599" s="12" t="s">
        <v>67</v>
      </c>
      <c r="B599" t="s">
        <v>47</v>
      </c>
      <c r="C599" s="6">
        <f>[1]Results!F281</f>
        <v>150.61297149999999</v>
      </c>
      <c r="D599" s="6">
        <f>[1]Results!G281</f>
        <v>151.03001169999999</v>
      </c>
      <c r="E599" s="6">
        <f>[1]Results!H281</f>
        <v>151.41730720000001</v>
      </c>
      <c r="F599" s="6">
        <f>[1]Results!I281</f>
        <v>152.0965563</v>
      </c>
      <c r="G599" s="6">
        <f>[1]Results!J281</f>
        <v>153.1636436</v>
      </c>
      <c r="H599" s="6">
        <f>[1]Results!K281</f>
        <v>154.6372543</v>
      </c>
      <c r="I599" s="6">
        <f>[1]Results!L281</f>
        <v>156.47765079999999</v>
      </c>
      <c r="J599" s="6">
        <f>[1]Results!M281</f>
        <v>158.26198780000001</v>
      </c>
      <c r="K599" s="6">
        <f>[1]Results!N281</f>
        <v>159.94263979999999</v>
      </c>
      <c r="L599" s="6">
        <f>[1]Results!O281</f>
        <v>161.4505121</v>
      </c>
      <c r="M599" s="6">
        <f>[1]Results!P281</f>
        <v>162.9024507</v>
      </c>
      <c r="N599" s="6">
        <f>[1]Results!Q281</f>
        <v>164.0805885</v>
      </c>
      <c r="O599" s="6">
        <f>[1]Results!R281</f>
        <v>165.2050711</v>
      </c>
      <c r="P599" s="6">
        <f>[1]Results!S281</f>
        <v>166.40275130000001</v>
      </c>
      <c r="Q599" s="6">
        <f>[1]Results!T281</f>
        <v>167.7402902</v>
      </c>
      <c r="R599" s="6">
        <f>[1]Results!U281</f>
        <v>169.23005079999999</v>
      </c>
      <c r="S599" s="6">
        <f>[1]Results!V281</f>
        <v>170.86530350000001</v>
      </c>
      <c r="T599" s="6">
        <f>[1]Results!W281</f>
        <v>172.62709430000001</v>
      </c>
      <c r="U599" s="6">
        <f>[1]Results!X281</f>
        <v>174.49304330000001</v>
      </c>
      <c r="V599" s="6">
        <f>[1]Results!Y281</f>
        <v>176.44358460000001</v>
      </c>
      <c r="W599" s="6">
        <f>[1]Results!Z281</f>
        <v>178.35151189999999</v>
      </c>
      <c r="X599" s="6">
        <f>[1]Results!AA281</f>
        <v>180.40557269999999</v>
      </c>
      <c r="Y599" s="6">
        <f>[1]Results!AB281</f>
        <v>182.51440220000001</v>
      </c>
      <c r="Z599" s="6">
        <f>[1]Results!AC281</f>
        <v>184.6482627</v>
      </c>
      <c r="AA599" s="6">
        <f>[1]Results!AD281</f>
        <v>186.79940139999999</v>
      </c>
      <c r="AB599" s="6">
        <f>[1]Results!AE281</f>
        <v>188.60657850000001</v>
      </c>
      <c r="AC599" s="6">
        <f>[1]Results!AF281</f>
        <v>190.55757019999999</v>
      </c>
      <c r="AD599" s="6">
        <f>[1]Results!AG281</f>
        <v>192.47542350000001</v>
      </c>
      <c r="AE599" s="6">
        <f>[1]Results!AH281</f>
        <v>194.30885470000001</v>
      </c>
      <c r="AF599" s="6">
        <f>[1]Results!AI281</f>
        <v>196.06809960000001</v>
      </c>
      <c r="AG599" s="6">
        <f>[1]Results!AJ281</f>
        <v>197.78357099999999</v>
      </c>
      <c r="AH599" s="6">
        <f>[1]Results!AK281</f>
        <v>199.4875893</v>
      </c>
      <c r="AI599" s="6">
        <f>[1]Results!AL281</f>
        <v>201.2049097</v>
      </c>
      <c r="AJ599" s="6">
        <f>[1]Results!AM281</f>
        <v>202.9473362</v>
      </c>
      <c r="AK599" s="6">
        <f>[1]Results!AN281</f>
        <v>204.7170763</v>
      </c>
      <c r="AL599" s="6">
        <f>[1]Results!AO281</f>
        <v>206.51134070000001</v>
      </c>
    </row>
    <row r="600" spans="1:38" x14ac:dyDescent="0.3">
      <c r="A600" t="s">
        <v>27</v>
      </c>
      <c r="B600" s="6" t="str">
        <f>[1]Results!E282</f>
        <v>CF_toe_ccoa_2</v>
      </c>
      <c r="C600" s="6">
        <f>[1]Results!F282</f>
        <v>7.5732953910000003</v>
      </c>
      <c r="D600" s="6">
        <f>[1]Results!G282</f>
        <v>7.921507117</v>
      </c>
      <c r="E600" s="6">
        <f>[1]Results!H282</f>
        <v>8.2730503760000005</v>
      </c>
      <c r="F600" s="6">
        <f>[1]Results!I282</f>
        <v>8.5767241779999992</v>
      </c>
      <c r="G600" s="6">
        <f>[1]Results!J282</f>
        <v>8.8359878030000001</v>
      </c>
      <c r="H600" s="6">
        <f>[1]Results!K282</f>
        <v>9.0645737729999993</v>
      </c>
      <c r="I600" s="6">
        <f>[1]Results!L282</f>
        <v>9.2845402309999994</v>
      </c>
      <c r="J600" s="6">
        <f>[1]Results!M282</f>
        <v>9.4856900070000005</v>
      </c>
      <c r="K600" s="6">
        <f>[1]Results!N282</f>
        <v>9.6809487139999995</v>
      </c>
      <c r="L600" s="6">
        <f>[1]Results!O282</f>
        <v>9.8716703880000001</v>
      </c>
      <c r="M600" s="6">
        <f>[1]Results!P282</f>
        <v>10.09361139</v>
      </c>
      <c r="N600" s="6">
        <f>[1]Results!Q282</f>
        <v>10.270512930000001</v>
      </c>
      <c r="O600" s="6">
        <f>[1]Results!R282</f>
        <v>10.44370256</v>
      </c>
      <c r="P600" s="6">
        <f>[1]Results!S282</f>
        <v>10.61831872</v>
      </c>
      <c r="Q600" s="6">
        <f>[1]Results!T282</f>
        <v>10.7915562</v>
      </c>
      <c r="R600" s="6">
        <f>[1]Results!U282</f>
        <v>10.960765</v>
      </c>
      <c r="S600" s="6">
        <f>[1]Results!V282</f>
        <v>11.12481835</v>
      </c>
      <c r="T600" s="6">
        <f>[1]Results!W282</f>
        <v>11.2840232</v>
      </c>
      <c r="U600" s="6">
        <f>[1]Results!X282</f>
        <v>11.439707540000001</v>
      </c>
      <c r="V600" s="6">
        <f>[1]Results!Y282</f>
        <v>11.593718880000001</v>
      </c>
      <c r="W600" s="6">
        <f>[1]Results!Z282</f>
        <v>11.72197345</v>
      </c>
      <c r="X600" s="6">
        <f>[1]Results!AA282</f>
        <v>11.881746120000001</v>
      </c>
      <c r="Y600" s="6">
        <f>[1]Results!AB282</f>
        <v>12.04666857</v>
      </c>
      <c r="Z600" s="6">
        <f>[1]Results!AC282</f>
        <v>12.21277454</v>
      </c>
      <c r="AA600" s="6">
        <f>[1]Results!AD282</f>
        <v>12.38138945</v>
      </c>
      <c r="AB600" s="6">
        <f>[1]Results!AE282</f>
        <v>12.477324060000001</v>
      </c>
      <c r="AC600" s="6">
        <f>[1]Results!AF282</f>
        <v>12.633020849999999</v>
      </c>
      <c r="AD600" s="6">
        <f>[1]Results!AG282</f>
        <v>12.80271495</v>
      </c>
      <c r="AE600" s="6">
        <f>[1]Results!AH282</f>
        <v>12.97527322</v>
      </c>
      <c r="AF600" s="6">
        <f>[1]Results!AI282</f>
        <v>13.150261260000001</v>
      </c>
      <c r="AG600" s="6">
        <f>[1]Results!AJ282</f>
        <v>13.32856615</v>
      </c>
      <c r="AH600" s="6">
        <f>[1]Results!AK282</f>
        <v>13.510520440000001</v>
      </c>
      <c r="AI600" s="6">
        <f>[1]Results!AL282</f>
        <v>13.69589231</v>
      </c>
      <c r="AJ600" s="6">
        <f>[1]Results!AM282</f>
        <v>13.88419976</v>
      </c>
      <c r="AK600" s="6">
        <f>[1]Results!AN282</f>
        <v>14.075005340000001</v>
      </c>
      <c r="AL600" s="6">
        <f>[1]Results!AO282</f>
        <v>14.26807176</v>
      </c>
    </row>
    <row r="601" spans="1:38" x14ac:dyDescent="0.3">
      <c r="B601" s="6" t="s">
        <v>48</v>
      </c>
      <c r="C601" s="6">
        <f>C602+C603+C604</f>
        <v>61.374248553000001</v>
      </c>
      <c r="D601" s="6">
        <f t="shared" ref="D601:AL601" si="112">D602+D603+D604</f>
        <v>61.242955713999997</v>
      </c>
      <c r="E601" s="6">
        <f t="shared" si="112"/>
        <v>61.036632650999998</v>
      </c>
      <c r="F601" s="6">
        <f t="shared" si="112"/>
        <v>60.935433838000002</v>
      </c>
      <c r="G601" s="6">
        <f t="shared" si="112"/>
        <v>60.977131663999998</v>
      </c>
      <c r="H601" s="6">
        <f t="shared" si="112"/>
        <v>61.155172422999996</v>
      </c>
      <c r="I601" s="6">
        <f t="shared" si="112"/>
        <v>61.434453634</v>
      </c>
      <c r="J601" s="6">
        <f t="shared" si="112"/>
        <v>61.846850136</v>
      </c>
      <c r="K601" s="6">
        <f t="shared" si="112"/>
        <v>62.343911304000002</v>
      </c>
      <c r="L601" s="6">
        <f t="shared" si="112"/>
        <v>62.884185609999996</v>
      </c>
      <c r="M601" s="6">
        <f t="shared" si="112"/>
        <v>63.485799868000001</v>
      </c>
      <c r="N601" s="6">
        <f t="shared" si="112"/>
        <v>64.046161028</v>
      </c>
      <c r="O601" s="6">
        <f t="shared" si="112"/>
        <v>64.609600908999994</v>
      </c>
      <c r="P601" s="6">
        <f t="shared" si="112"/>
        <v>65.180978654</v>
      </c>
      <c r="Q601" s="6">
        <f t="shared" si="112"/>
        <v>65.758367710000002</v>
      </c>
      <c r="R601" s="6">
        <f t="shared" si="112"/>
        <v>66.337521179999996</v>
      </c>
      <c r="S601" s="6">
        <f t="shared" si="112"/>
        <v>66.913071672000001</v>
      </c>
      <c r="T601" s="6">
        <f t="shared" si="112"/>
        <v>67.480110983000003</v>
      </c>
      <c r="U601" s="6">
        <f t="shared" si="112"/>
        <v>68.035518347999997</v>
      </c>
      <c r="V601" s="6">
        <f t="shared" si="112"/>
        <v>68.57850981</v>
      </c>
      <c r="W601" s="6">
        <f t="shared" si="112"/>
        <v>69.074547170000002</v>
      </c>
      <c r="X601" s="6">
        <f t="shared" si="112"/>
        <v>69.593033560000009</v>
      </c>
      <c r="Y601" s="6">
        <f t="shared" si="112"/>
        <v>70.10604481</v>
      </c>
      <c r="Z601" s="6">
        <f t="shared" si="112"/>
        <v>70.612834340000006</v>
      </c>
      <c r="AA601" s="6">
        <f t="shared" si="112"/>
        <v>71.116659740000003</v>
      </c>
      <c r="AB601" s="6">
        <f t="shared" si="112"/>
        <v>71.510035060000007</v>
      </c>
      <c r="AC601" s="6">
        <f t="shared" si="112"/>
        <v>71.956614239999993</v>
      </c>
      <c r="AD601" s="6">
        <f t="shared" si="112"/>
        <v>72.396134780000011</v>
      </c>
      <c r="AE601" s="6">
        <f t="shared" si="112"/>
        <v>72.819321259999995</v>
      </c>
      <c r="AF601" s="6">
        <f t="shared" si="112"/>
        <v>73.228284189999997</v>
      </c>
      <c r="AG601" s="6">
        <f t="shared" si="112"/>
        <v>73.626969889999998</v>
      </c>
      <c r="AH601" s="6">
        <f t="shared" si="112"/>
        <v>74.018364649999995</v>
      </c>
      <c r="AI601" s="6">
        <f t="shared" si="112"/>
        <v>74.403539690000002</v>
      </c>
      <c r="AJ601" s="6">
        <f t="shared" si="112"/>
        <v>74.781673490000003</v>
      </c>
      <c r="AK601" s="6">
        <f t="shared" si="112"/>
        <v>75.150675160000006</v>
      </c>
      <c r="AL601" s="6">
        <f t="shared" si="112"/>
        <v>75.508053679999989</v>
      </c>
    </row>
    <row r="602" spans="1:38" x14ac:dyDescent="0.3">
      <c r="B602" s="6" t="str">
        <f>[1]Results!E285</f>
        <v>CF_toe_ccoi_2</v>
      </c>
      <c r="C602" s="6">
        <f>[1]Results!F285</f>
        <v>0</v>
      </c>
      <c r="D602" s="6">
        <f>[1]Results!G285</f>
        <v>0</v>
      </c>
      <c r="E602" s="6">
        <f>[1]Results!H285</f>
        <v>0</v>
      </c>
      <c r="F602" s="6">
        <f>[1]Results!I285</f>
        <v>0</v>
      </c>
      <c r="G602" s="6">
        <f>[1]Results!J285</f>
        <v>0</v>
      </c>
      <c r="H602" s="6">
        <f>[1]Results!K285</f>
        <v>0</v>
      </c>
      <c r="I602" s="6">
        <f>[1]Results!L285</f>
        <v>0</v>
      </c>
      <c r="J602" s="6">
        <f>[1]Results!M285</f>
        <v>0</v>
      </c>
      <c r="K602" s="6">
        <f>[1]Results!N285</f>
        <v>0</v>
      </c>
      <c r="L602" s="6">
        <f>[1]Results!O285</f>
        <v>0</v>
      </c>
      <c r="M602" s="6">
        <f>[1]Results!P285</f>
        <v>0</v>
      </c>
      <c r="N602" s="6">
        <f>[1]Results!Q285</f>
        <v>0</v>
      </c>
      <c r="O602" s="6">
        <f>[1]Results!R285</f>
        <v>0</v>
      </c>
      <c r="P602" s="6">
        <f>[1]Results!S285</f>
        <v>0</v>
      </c>
      <c r="Q602" s="6">
        <f>[1]Results!T285</f>
        <v>0</v>
      </c>
      <c r="R602" s="6">
        <f>[1]Results!U285</f>
        <v>0</v>
      </c>
      <c r="S602" s="6">
        <f>[1]Results!V285</f>
        <v>0</v>
      </c>
      <c r="T602" s="6">
        <f>[1]Results!W285</f>
        <v>0</v>
      </c>
      <c r="U602" s="6">
        <f>[1]Results!X285</f>
        <v>0</v>
      </c>
      <c r="V602" s="6">
        <f>[1]Results!Y285</f>
        <v>0</v>
      </c>
      <c r="W602" s="6">
        <f>[1]Results!Z285</f>
        <v>0</v>
      </c>
      <c r="X602" s="6">
        <f>[1]Results!AA285</f>
        <v>0</v>
      </c>
      <c r="Y602" s="6">
        <f>[1]Results!AB285</f>
        <v>0</v>
      </c>
      <c r="Z602" s="6">
        <f>[1]Results!AC285</f>
        <v>0</v>
      </c>
      <c r="AA602" s="6">
        <f>[1]Results!AD285</f>
        <v>0</v>
      </c>
      <c r="AB602" s="6">
        <f>[1]Results!AE285</f>
        <v>0</v>
      </c>
      <c r="AC602" s="6">
        <f>[1]Results!AF285</f>
        <v>0</v>
      </c>
      <c r="AD602" s="6">
        <f>[1]Results!AG285</f>
        <v>0</v>
      </c>
      <c r="AE602" s="6">
        <f>[1]Results!AH285</f>
        <v>0</v>
      </c>
      <c r="AF602" s="6">
        <f>[1]Results!AI285</f>
        <v>0</v>
      </c>
      <c r="AG602" s="6">
        <f>[1]Results!AJ285</f>
        <v>0</v>
      </c>
      <c r="AH602" s="6">
        <f>[1]Results!AK285</f>
        <v>0</v>
      </c>
      <c r="AI602" s="6">
        <f>[1]Results!AL285</f>
        <v>0</v>
      </c>
      <c r="AJ602" s="6">
        <f>[1]Results!AM285</f>
        <v>0</v>
      </c>
      <c r="AK602" s="6">
        <f>[1]Results!AN285</f>
        <v>0</v>
      </c>
      <c r="AL602" s="6">
        <f>[1]Results!AO285</f>
        <v>0</v>
      </c>
    </row>
    <row r="603" spans="1:38" x14ac:dyDescent="0.3">
      <c r="B603" s="6" t="str">
        <f>[1]Results!E288</f>
        <v>CF_toe_cfut_2</v>
      </c>
      <c r="C603" s="6">
        <f>[1]Results!F288</f>
        <v>51.712525730000003</v>
      </c>
      <c r="D603" s="6">
        <f>[1]Results!G288</f>
        <v>51.589643379999998</v>
      </c>
      <c r="E603" s="6">
        <f>[1]Results!H288</f>
        <v>51.41445143</v>
      </c>
      <c r="F603" s="6">
        <f>[1]Results!I288</f>
        <v>51.341435820000001</v>
      </c>
      <c r="G603" s="6">
        <f>[1]Results!J288</f>
        <v>51.398797510000001</v>
      </c>
      <c r="H603" s="6">
        <f>[1]Results!K288</f>
        <v>51.577441479999997</v>
      </c>
      <c r="I603" s="6">
        <f>[1]Results!L288</f>
        <v>51.846794920000001</v>
      </c>
      <c r="J603" s="6">
        <f>[1]Results!M288</f>
        <v>52.229965229999998</v>
      </c>
      <c r="K603" s="6">
        <f>[1]Results!N288</f>
        <v>52.686298239999999</v>
      </c>
      <c r="L603" s="6">
        <f>[1]Results!O288</f>
        <v>53.181448009999997</v>
      </c>
      <c r="M603" s="6">
        <f>[1]Results!P288</f>
        <v>53.729377280000001</v>
      </c>
      <c r="N603" s="6">
        <f>[1]Results!Q288</f>
        <v>54.250557329999999</v>
      </c>
      <c r="O603" s="6">
        <f>[1]Results!R288</f>
        <v>54.780311300000001</v>
      </c>
      <c r="P603" s="6">
        <f>[1]Results!S288</f>
        <v>55.321014089999998</v>
      </c>
      <c r="Q603" s="6">
        <f>[1]Results!T288</f>
        <v>55.869400140000003</v>
      </c>
      <c r="R603" s="6">
        <f>[1]Results!U288</f>
        <v>56.420700310000001</v>
      </c>
      <c r="S603" s="6">
        <f>[1]Results!V288</f>
        <v>56.969639710000003</v>
      </c>
      <c r="T603" s="6">
        <f>[1]Results!W288</f>
        <v>57.511609049999997</v>
      </c>
      <c r="U603" s="6">
        <f>[1]Results!X288</f>
        <v>58.04361772</v>
      </c>
      <c r="V603" s="6">
        <f>[1]Results!Y288</f>
        <v>58.564648269999999</v>
      </c>
      <c r="W603" s="6">
        <f>[1]Results!Z288</f>
        <v>59.046225489999998</v>
      </c>
      <c r="X603" s="6">
        <f>[1]Results!AA288</f>
        <v>59.544174140000003</v>
      </c>
      <c r="Y603" s="6">
        <f>[1]Results!AB288</f>
        <v>60.035691540000002</v>
      </c>
      <c r="Z603" s="6">
        <f>[1]Results!AC288</f>
        <v>60.520017320000001</v>
      </c>
      <c r="AA603" s="6">
        <f>[1]Results!AD288</f>
        <v>60.999797450000003</v>
      </c>
      <c r="AB603" s="6">
        <f>[1]Results!AE288</f>
        <v>61.386779369999999</v>
      </c>
      <c r="AC603" s="6">
        <f>[1]Results!AF288</f>
        <v>61.814608229999997</v>
      </c>
      <c r="AD603" s="6">
        <f>[1]Results!AG288</f>
        <v>62.233697820000003</v>
      </c>
      <c r="AE603" s="6">
        <f>[1]Results!AH288</f>
        <v>62.636351730000001</v>
      </c>
      <c r="AF603" s="6">
        <f>[1]Results!AI288</f>
        <v>63.024542779999997</v>
      </c>
      <c r="AG603" s="6">
        <f>[1]Results!AJ288</f>
        <v>63.401681320000002</v>
      </c>
      <c r="AH603" s="6">
        <f>[1]Results!AK288</f>
        <v>63.770256359999998</v>
      </c>
      <c r="AI603" s="6">
        <f>[1]Results!AL288</f>
        <v>64.131090720000003</v>
      </c>
      <c r="AJ603" s="6">
        <f>[1]Results!AM288</f>
        <v>64.483407729999996</v>
      </c>
      <c r="AK603" s="6">
        <f>[1]Results!AN288</f>
        <v>64.82537336</v>
      </c>
      <c r="AL603" s="6">
        <f>[1]Results!AO288</f>
        <v>65.154820119999997</v>
      </c>
    </row>
    <row r="604" spans="1:38" x14ac:dyDescent="0.3">
      <c r="B604" s="6" t="str">
        <f>[1]Results!E291</f>
        <v>CF_toe_cfuh_2</v>
      </c>
      <c r="C604" s="6">
        <f>[1]Results!F291</f>
        <v>9.6617228229999998</v>
      </c>
      <c r="D604" s="6">
        <f>[1]Results!G291</f>
        <v>9.6533123340000007</v>
      </c>
      <c r="E604" s="6">
        <f>[1]Results!H291</f>
        <v>9.622181221</v>
      </c>
      <c r="F604" s="6">
        <f>[1]Results!I291</f>
        <v>9.5939980180000006</v>
      </c>
      <c r="G604" s="6">
        <f>[1]Results!J291</f>
        <v>9.5783341540000002</v>
      </c>
      <c r="H604" s="6">
        <f>[1]Results!K291</f>
        <v>9.5777309430000006</v>
      </c>
      <c r="I604" s="6">
        <f>[1]Results!L291</f>
        <v>9.5876587139999998</v>
      </c>
      <c r="J604" s="6">
        <f>[1]Results!M291</f>
        <v>9.6168849059999992</v>
      </c>
      <c r="K604" s="6">
        <f>[1]Results!N291</f>
        <v>9.6576130639999995</v>
      </c>
      <c r="L604" s="6">
        <f>[1]Results!O291</f>
        <v>9.7027376000000007</v>
      </c>
      <c r="M604" s="6">
        <f>[1]Results!P291</f>
        <v>9.7564225879999995</v>
      </c>
      <c r="N604" s="6">
        <f>[1]Results!Q291</f>
        <v>9.7956036980000007</v>
      </c>
      <c r="O604" s="6">
        <f>[1]Results!R291</f>
        <v>9.8292896089999999</v>
      </c>
      <c r="P604" s="6">
        <f>[1]Results!S291</f>
        <v>9.8599645640000002</v>
      </c>
      <c r="Q604" s="6">
        <f>[1]Results!T291</f>
        <v>9.8889675700000002</v>
      </c>
      <c r="R604" s="6">
        <f>[1]Results!U291</f>
        <v>9.9168208700000005</v>
      </c>
      <c r="S604" s="6">
        <f>[1]Results!V291</f>
        <v>9.943431962</v>
      </c>
      <c r="T604" s="6">
        <f>[1]Results!W291</f>
        <v>9.9685019330000006</v>
      </c>
      <c r="U604" s="6">
        <f>[1]Results!X291</f>
        <v>9.9919006279999998</v>
      </c>
      <c r="V604" s="6">
        <f>[1]Results!Y291</f>
        <v>10.013861540000001</v>
      </c>
      <c r="W604" s="6">
        <f>[1]Results!Z291</f>
        <v>10.028321679999999</v>
      </c>
      <c r="X604" s="6">
        <f>[1]Results!AA291</f>
        <v>10.048859419999999</v>
      </c>
      <c r="Y604" s="6">
        <f>[1]Results!AB291</f>
        <v>10.07035327</v>
      </c>
      <c r="Z604" s="6">
        <f>[1]Results!AC291</f>
        <v>10.09281702</v>
      </c>
      <c r="AA604" s="6">
        <f>[1]Results!AD291</f>
        <v>10.11686229</v>
      </c>
      <c r="AB604" s="6">
        <f>[1]Results!AE291</f>
        <v>10.123255690000001</v>
      </c>
      <c r="AC604" s="6">
        <f>[1]Results!AF291</f>
        <v>10.142006009999999</v>
      </c>
      <c r="AD604" s="6">
        <f>[1]Results!AG291</f>
        <v>10.162436960000001</v>
      </c>
      <c r="AE604" s="6">
        <f>[1]Results!AH291</f>
        <v>10.182969529999999</v>
      </c>
      <c r="AF604" s="6">
        <f>[1]Results!AI291</f>
        <v>10.203741409999999</v>
      </c>
      <c r="AG604" s="6">
        <f>[1]Results!AJ291</f>
        <v>10.22528857</v>
      </c>
      <c r="AH604" s="6">
        <f>[1]Results!AK291</f>
        <v>10.248108289999999</v>
      </c>
      <c r="AI604" s="6">
        <f>[1]Results!AL291</f>
        <v>10.272448969999999</v>
      </c>
      <c r="AJ604" s="6">
        <f>[1]Results!AM291</f>
        <v>10.29826576</v>
      </c>
      <c r="AK604" s="6">
        <f>[1]Results!AN291</f>
        <v>10.3253018</v>
      </c>
      <c r="AL604" s="6">
        <f>[1]Results!AO291</f>
        <v>10.35323356</v>
      </c>
    </row>
    <row r="605" spans="1:38" x14ac:dyDescent="0.3">
      <c r="B605" s="6" t="str">
        <f>[1]Results!E293</f>
        <v>CF_toe_cgas_2</v>
      </c>
      <c r="C605" s="6">
        <f>[1]Results!F293</f>
        <v>27.986826390000001</v>
      </c>
      <c r="D605" s="6">
        <f>[1]Results!G293</f>
        <v>28.069584720000002</v>
      </c>
      <c r="E605" s="6">
        <f>[1]Results!H293</f>
        <v>28.147687340000001</v>
      </c>
      <c r="F605" s="6">
        <f>[1]Results!I293</f>
        <v>28.260147920000001</v>
      </c>
      <c r="G605" s="6">
        <f>[1]Results!J293</f>
        <v>28.416966949999999</v>
      </c>
      <c r="H605" s="6">
        <f>[1]Results!K293</f>
        <v>28.621787269999999</v>
      </c>
      <c r="I605" s="6">
        <f>[1]Results!L293</f>
        <v>28.860092600000002</v>
      </c>
      <c r="J605" s="6">
        <f>[1]Results!M293</f>
        <v>29.17774726</v>
      </c>
      <c r="K605" s="6">
        <f>[1]Results!N293</f>
        <v>29.540526830000001</v>
      </c>
      <c r="L605" s="6">
        <f>[1]Results!O293</f>
        <v>29.91432915</v>
      </c>
      <c r="M605" s="6">
        <f>[1]Results!P293</f>
        <v>30.307891439999999</v>
      </c>
      <c r="N605" s="6">
        <f>[1]Results!Q293</f>
        <v>30.65383048</v>
      </c>
      <c r="O605" s="6">
        <f>[1]Results!R293</f>
        <v>30.979713239999999</v>
      </c>
      <c r="P605" s="6">
        <f>[1]Results!S293</f>
        <v>31.298699160000002</v>
      </c>
      <c r="Q605" s="6">
        <f>[1]Results!T293</f>
        <v>31.6147423</v>
      </c>
      <c r="R605" s="6">
        <f>[1]Results!U293</f>
        <v>31.92722698</v>
      </c>
      <c r="S605" s="6">
        <f>[1]Results!V293</f>
        <v>32.233270529999999</v>
      </c>
      <c r="T605" s="6">
        <f>[1]Results!W293</f>
        <v>32.53012098</v>
      </c>
      <c r="U605" s="6">
        <f>[1]Results!X293</f>
        <v>32.816965600000003</v>
      </c>
      <c r="V605" s="6">
        <f>[1]Results!Y293</f>
        <v>33.095600990000001</v>
      </c>
      <c r="W605" s="6">
        <f>[1]Results!Z293</f>
        <v>33.345194939999999</v>
      </c>
      <c r="X605" s="6">
        <f>[1]Results!AA293</f>
        <v>33.614955430000002</v>
      </c>
      <c r="Y605" s="6">
        <f>[1]Results!AB293</f>
        <v>33.893223949999999</v>
      </c>
      <c r="Z605" s="6">
        <f>[1]Results!AC293</f>
        <v>34.178873099999997</v>
      </c>
      <c r="AA605" s="6">
        <f>[1]Results!AD293</f>
        <v>34.4749962</v>
      </c>
      <c r="AB605" s="6">
        <f>[1]Results!AE293</f>
        <v>34.707490559999997</v>
      </c>
      <c r="AC605" s="6">
        <f>[1]Results!AF293</f>
        <v>34.984885720000001</v>
      </c>
      <c r="AD605" s="6">
        <f>[1]Results!AG293</f>
        <v>35.274739709999999</v>
      </c>
      <c r="AE605" s="6">
        <f>[1]Results!AH293</f>
        <v>35.565867799999999</v>
      </c>
      <c r="AF605" s="6">
        <f>[1]Results!AI293</f>
        <v>35.858966359999997</v>
      </c>
      <c r="AG605" s="6">
        <f>[1]Results!AJ293</f>
        <v>36.157745990000002</v>
      </c>
      <c r="AH605" s="6">
        <f>[1]Results!AK293</f>
        <v>36.465347299999998</v>
      </c>
      <c r="AI605" s="6">
        <f>[1]Results!AL293</f>
        <v>36.782967829999997</v>
      </c>
      <c r="AJ605" s="6">
        <f>[1]Results!AM293</f>
        <v>37.109813840000001</v>
      </c>
      <c r="AK605" s="6">
        <f>[1]Results!AN293</f>
        <v>37.443852700000001</v>
      </c>
      <c r="AL605" s="6">
        <f>[1]Results!AO293</f>
        <v>37.782867240000002</v>
      </c>
    </row>
    <row r="606" spans="1:38" x14ac:dyDescent="0.3">
      <c r="B606" s="6" t="str">
        <f>[1]Results!E299</f>
        <v>CF_toe_cele_2</v>
      </c>
      <c r="C606" s="6">
        <f>[1]Results!F299</f>
        <v>36.345868719999999</v>
      </c>
      <c r="D606" s="6">
        <f>[1]Results!G299</f>
        <v>36.433590850000002</v>
      </c>
      <c r="E606" s="6">
        <f>[1]Results!H299</f>
        <v>36.562630380000002</v>
      </c>
      <c r="F606" s="6">
        <f>[1]Results!I299</f>
        <v>36.852394359999998</v>
      </c>
      <c r="G606" s="6">
        <f>[1]Results!J299</f>
        <v>37.33920457</v>
      </c>
      <c r="H606" s="6">
        <f>[1]Results!K299</f>
        <v>38.028942409999999</v>
      </c>
      <c r="I606" s="6">
        <f>[1]Results!L299</f>
        <v>38.914013879999999</v>
      </c>
      <c r="J606" s="6">
        <f>[1]Results!M299</f>
        <v>39.541696029999997</v>
      </c>
      <c r="K606" s="6">
        <f>[1]Results!N299</f>
        <v>39.947476909999999</v>
      </c>
      <c r="L606" s="6">
        <f>[1]Results!O299</f>
        <v>40.1519215</v>
      </c>
      <c r="M606" s="6">
        <f>[1]Results!P299</f>
        <v>40.203233439999998</v>
      </c>
      <c r="N606" s="6">
        <f>[1]Results!Q299</f>
        <v>40.1515719</v>
      </c>
      <c r="O606" s="6">
        <f>[1]Results!R299</f>
        <v>40.081967540000001</v>
      </c>
      <c r="P606" s="6">
        <f>[1]Results!S299</f>
        <v>40.07998997</v>
      </c>
      <c r="Q606" s="6">
        <f>[1]Results!T299</f>
        <v>40.202096320000003</v>
      </c>
      <c r="R606" s="6">
        <f>[1]Results!U299</f>
        <v>40.464570879999997</v>
      </c>
      <c r="S606" s="6">
        <f>[1]Results!V299</f>
        <v>40.870364389999999</v>
      </c>
      <c r="T606" s="6">
        <f>[1]Results!W299</f>
        <v>41.410506679999997</v>
      </c>
      <c r="U606" s="6">
        <f>[1]Results!X299</f>
        <v>42.068445859999997</v>
      </c>
      <c r="V606" s="6">
        <f>[1]Results!Y299</f>
        <v>42.824351499999999</v>
      </c>
      <c r="W606" s="6">
        <f>[1]Results!Z299</f>
        <v>43.643714639999999</v>
      </c>
      <c r="X606" s="6">
        <f>[1]Results!AA299</f>
        <v>44.521426519999999</v>
      </c>
      <c r="Y606" s="6">
        <f>[1]Results!AB299</f>
        <v>45.438374639999999</v>
      </c>
      <c r="Z606" s="6">
        <f>[1]Results!AC299</f>
        <v>46.373511919999999</v>
      </c>
      <c r="AA606" s="6">
        <f>[1]Results!AD299</f>
        <v>47.311741650000002</v>
      </c>
      <c r="AB606" s="6">
        <f>[1]Results!AE299</f>
        <v>48.187018649999999</v>
      </c>
      <c r="AC606" s="6">
        <f>[1]Results!AF299</f>
        <v>49.034815870000003</v>
      </c>
      <c r="AD606" s="6">
        <f>[1]Results!AG299</f>
        <v>49.832680830000001</v>
      </c>
      <c r="AE606" s="6">
        <f>[1]Results!AH299</f>
        <v>50.567189089999999</v>
      </c>
      <c r="AF606" s="6">
        <f>[1]Results!AI299</f>
        <v>51.244892999999998</v>
      </c>
      <c r="AG606" s="6">
        <f>[1]Results!AJ299</f>
        <v>51.883488149999998</v>
      </c>
      <c r="AH606" s="6">
        <f>[1]Results!AK299</f>
        <v>52.504400609999998</v>
      </c>
      <c r="AI606" s="6">
        <f>[1]Results!AL299</f>
        <v>53.127109879999999</v>
      </c>
      <c r="AJ606" s="6">
        <f>[1]Results!AM299</f>
        <v>53.764186690000002</v>
      </c>
      <c r="AK606" s="6">
        <f>[1]Results!AN299</f>
        <v>54.422502000000001</v>
      </c>
      <c r="AL606" s="6">
        <f>[1]Results!AO299</f>
        <v>55.104996270000001</v>
      </c>
    </row>
    <row r="607" spans="1:38" x14ac:dyDescent="0.3">
      <c r="B607" s="6" t="s">
        <v>49</v>
      </c>
      <c r="C607" s="6">
        <f>SUM(C608:C610)</f>
        <v>17.332732485000001</v>
      </c>
      <c r="D607" s="6">
        <f t="shared" ref="D607:AL607" si="113">SUM(D608:D610)</f>
        <v>17.362373261000002</v>
      </c>
      <c r="E607" s="6">
        <f t="shared" si="113"/>
        <v>17.397306442999998</v>
      </c>
      <c r="F607" s="6">
        <f t="shared" si="113"/>
        <v>17.471855982000001</v>
      </c>
      <c r="G607" s="6">
        <f t="shared" si="113"/>
        <v>17.594352571000002</v>
      </c>
      <c r="H607" s="6">
        <f t="shared" si="113"/>
        <v>17.766778469999998</v>
      </c>
      <c r="I607" s="6">
        <f t="shared" si="113"/>
        <v>17.984550399</v>
      </c>
      <c r="J607" s="6">
        <f t="shared" si="113"/>
        <v>18.210004390000002</v>
      </c>
      <c r="K607" s="6">
        <f t="shared" si="113"/>
        <v>18.429776035</v>
      </c>
      <c r="L607" s="6">
        <f t="shared" si="113"/>
        <v>18.628405410999999</v>
      </c>
      <c r="M607" s="6">
        <f t="shared" si="113"/>
        <v>18.811914608000002</v>
      </c>
      <c r="N607" s="6">
        <f t="shared" si="113"/>
        <v>18.958512136</v>
      </c>
      <c r="O607" s="6">
        <f t="shared" si="113"/>
        <v>19.090086904</v>
      </c>
      <c r="P607" s="6">
        <f t="shared" si="113"/>
        <v>19.224764806</v>
      </c>
      <c r="Q607" s="6">
        <f t="shared" si="113"/>
        <v>19.373527705999997</v>
      </c>
      <c r="R607" s="6">
        <f t="shared" si="113"/>
        <v>19.539966732</v>
      </c>
      <c r="S607" s="6">
        <f t="shared" si="113"/>
        <v>19.723778543999998</v>
      </c>
      <c r="T607" s="6">
        <f t="shared" si="113"/>
        <v>19.922332469000001</v>
      </c>
      <c r="U607" s="6">
        <f t="shared" si="113"/>
        <v>20.132405906999999</v>
      </c>
      <c r="V607" s="6">
        <f t="shared" si="113"/>
        <v>20.351403439999999</v>
      </c>
      <c r="W607" s="6">
        <f t="shared" si="113"/>
        <v>20.566081707000002</v>
      </c>
      <c r="X607" s="6">
        <f t="shared" si="113"/>
        <v>20.794411058999998</v>
      </c>
      <c r="Y607" s="6">
        <f t="shared" si="113"/>
        <v>21.030090201</v>
      </c>
      <c r="Z607" s="6">
        <f t="shared" si="113"/>
        <v>21.270268770000001</v>
      </c>
      <c r="AA607" s="6">
        <f t="shared" si="113"/>
        <v>21.514614352999999</v>
      </c>
      <c r="AB607" s="6">
        <f t="shared" si="113"/>
        <v>21.724710174999998</v>
      </c>
      <c r="AC607" s="6">
        <f t="shared" si="113"/>
        <v>21.948233525999999</v>
      </c>
      <c r="AD607" s="6">
        <f t="shared" si="113"/>
        <v>22.169153213999998</v>
      </c>
      <c r="AE607" s="6">
        <f t="shared" si="113"/>
        <v>22.381203348999996</v>
      </c>
      <c r="AF607" s="6">
        <f t="shared" si="113"/>
        <v>22.585694822000001</v>
      </c>
      <c r="AG607" s="6">
        <f t="shared" si="113"/>
        <v>22.786800833000001</v>
      </c>
      <c r="AH607" s="6">
        <f t="shared" si="113"/>
        <v>22.988956321</v>
      </c>
      <c r="AI607" s="6">
        <f t="shared" si="113"/>
        <v>23.195400002</v>
      </c>
      <c r="AJ607" s="6">
        <f t="shared" si="113"/>
        <v>23.407462385999999</v>
      </c>
      <c r="AK607" s="6">
        <f t="shared" si="113"/>
        <v>23.625041144999997</v>
      </c>
      <c r="AL607" s="6">
        <f t="shared" si="113"/>
        <v>23.847351724999999</v>
      </c>
    </row>
    <row r="608" spans="1:38" x14ac:dyDescent="0.3">
      <c r="B608" s="6" t="str">
        <f>[1]Results!E309</f>
        <v>CF_toe_chea_2</v>
      </c>
      <c r="C608" s="6">
        <f>[1]Results!F309</f>
        <v>2.7598611929999999</v>
      </c>
      <c r="D608" s="6">
        <f>[1]Results!G309</f>
        <v>2.7751511419999999</v>
      </c>
      <c r="E608" s="6">
        <f>[1]Results!H309</f>
        <v>2.7946402300000002</v>
      </c>
      <c r="F608" s="6">
        <f>[1]Results!I309</f>
        <v>2.8226108449999998</v>
      </c>
      <c r="G608" s="6">
        <f>[1]Results!J309</f>
        <v>2.859064423</v>
      </c>
      <c r="H608" s="6">
        <f>[1]Results!K309</f>
        <v>2.9033649210000001</v>
      </c>
      <c r="I608" s="6">
        <f>[1]Results!L309</f>
        <v>2.9546254630000002</v>
      </c>
      <c r="J608" s="6">
        <f>[1]Results!M309</f>
        <v>2.9953430640000001</v>
      </c>
      <c r="K608" s="6">
        <f>[1]Results!N309</f>
        <v>3.0286860770000001</v>
      </c>
      <c r="L608" s="6">
        <f>[1]Results!O309</f>
        <v>3.0560983890000002</v>
      </c>
      <c r="M608" s="6">
        <f>[1]Results!P309</f>
        <v>3.0805515680000002</v>
      </c>
      <c r="N608" s="6">
        <f>[1]Results!Q309</f>
        <v>3.102910568</v>
      </c>
      <c r="O608" s="6">
        <f>[1]Results!R309</f>
        <v>3.1249303039999998</v>
      </c>
      <c r="P608" s="6">
        <f>[1]Results!S309</f>
        <v>3.150168463</v>
      </c>
      <c r="Q608" s="6">
        <f>[1]Results!T309</f>
        <v>3.1806829909999998</v>
      </c>
      <c r="R608" s="6">
        <f>[1]Results!U309</f>
        <v>3.2159150959999998</v>
      </c>
      <c r="S608" s="6">
        <f>[1]Results!V309</f>
        <v>3.2552621039999998</v>
      </c>
      <c r="T608" s="6">
        <f>[1]Results!W309</f>
        <v>3.2979836690000002</v>
      </c>
      <c r="U608" s="6">
        <f>[1]Results!X309</f>
        <v>3.3433224080000001</v>
      </c>
      <c r="V608" s="6">
        <f>[1]Results!Y309</f>
        <v>3.3906302410000002</v>
      </c>
      <c r="W608" s="6">
        <f>[1]Results!Z309</f>
        <v>3.4381075710000002</v>
      </c>
      <c r="X608" s="6">
        <f>[1]Results!AA309</f>
        <v>3.4862771229999998</v>
      </c>
      <c r="Y608" s="6">
        <f>[1]Results!AB309</f>
        <v>3.535783892</v>
      </c>
      <c r="Z608" s="6">
        <f>[1]Results!AC309</f>
        <v>3.586056304</v>
      </c>
      <c r="AA608" s="6">
        <f>[1]Results!AD309</f>
        <v>3.6367136879999999</v>
      </c>
      <c r="AB608" s="6">
        <f>[1]Results!AE309</f>
        <v>3.6832522019999998</v>
      </c>
      <c r="AC608" s="6">
        <f>[1]Results!AF309</f>
        <v>3.7272182269999998</v>
      </c>
      <c r="AD608" s="6">
        <f>[1]Results!AG309</f>
        <v>3.7699280229999999</v>
      </c>
      <c r="AE608" s="6">
        <f>[1]Results!AH309</f>
        <v>3.8110682809999998</v>
      </c>
      <c r="AF608" s="6">
        <f>[1]Results!AI309</f>
        <v>3.8508734140000001</v>
      </c>
      <c r="AG608" s="6">
        <f>[1]Results!AJ309</f>
        <v>3.889935967</v>
      </c>
      <c r="AH608" s="6">
        <f>[1]Results!AK309</f>
        <v>3.928967976</v>
      </c>
      <c r="AI608" s="6">
        <f>[1]Results!AL309</f>
        <v>3.96861438</v>
      </c>
      <c r="AJ608" s="6">
        <f>[1]Results!AM309</f>
        <v>4.0091314560000004</v>
      </c>
      <c r="AK608" s="6">
        <f>[1]Results!AN309</f>
        <v>4.0505629689999996</v>
      </c>
      <c r="AL608" s="6">
        <f>[1]Results!AO309</f>
        <v>4.0928348809999999</v>
      </c>
    </row>
    <row r="609" spans="1:38" x14ac:dyDescent="0.3">
      <c r="B609" s="6" t="str">
        <f>[1]Results!E311</f>
        <v>CF_toe_cbio_2</v>
      </c>
      <c r="C609" s="6">
        <f>[1]Results!F311</f>
        <v>8.0978191689999992</v>
      </c>
      <c r="D609" s="6">
        <f>[1]Results!G311</f>
        <v>8.107548907</v>
      </c>
      <c r="E609" s="6">
        <f>[1]Results!H311</f>
        <v>8.0997810759999993</v>
      </c>
      <c r="F609" s="6">
        <f>[1]Results!I311</f>
        <v>8.0947720620000005</v>
      </c>
      <c r="G609" s="6">
        <f>[1]Results!J311</f>
        <v>8.098023757</v>
      </c>
      <c r="H609" s="6">
        <f>[1]Results!K311</f>
        <v>8.1101865199999992</v>
      </c>
      <c r="I609" s="6">
        <f>[1]Results!L311</f>
        <v>8.1276075940000005</v>
      </c>
      <c r="J609" s="6">
        <f>[1]Results!M311</f>
        <v>8.1471162770000003</v>
      </c>
      <c r="K609" s="6">
        <f>[1]Results!N311</f>
        <v>8.166169236</v>
      </c>
      <c r="L609" s="6">
        <f>[1]Results!O311</f>
        <v>8.1831480459999995</v>
      </c>
      <c r="M609" s="6">
        <f>[1]Results!P311</f>
        <v>8.2029902860000004</v>
      </c>
      <c r="N609" s="6">
        <f>[1]Results!Q311</f>
        <v>8.2149301739999991</v>
      </c>
      <c r="O609" s="6">
        <f>[1]Results!R311</f>
        <v>8.2228064799999991</v>
      </c>
      <c r="P609" s="6">
        <f>[1]Results!S311</f>
        <v>8.229603247</v>
      </c>
      <c r="Q609" s="6">
        <f>[1]Results!T311</f>
        <v>8.2370628109999995</v>
      </c>
      <c r="R609" s="6">
        <f>[1]Results!U311</f>
        <v>8.2461624049999998</v>
      </c>
      <c r="S609" s="6">
        <f>[1]Results!V311</f>
        <v>8.257278908</v>
      </c>
      <c r="T609" s="6">
        <f>[1]Results!W311</f>
        <v>8.2704508860000008</v>
      </c>
      <c r="U609" s="6">
        <f>[1]Results!X311</f>
        <v>8.2855582870000006</v>
      </c>
      <c r="V609" s="6">
        <f>[1]Results!Y311</f>
        <v>8.3024398089999991</v>
      </c>
      <c r="W609" s="6">
        <f>[1]Results!Z311</f>
        <v>8.3171119139999998</v>
      </c>
      <c r="X609" s="6">
        <f>[1]Results!AA311</f>
        <v>8.3356628179999994</v>
      </c>
      <c r="Y609" s="6">
        <f>[1]Results!AB311</f>
        <v>8.3563163409999994</v>
      </c>
      <c r="Z609" s="6">
        <f>[1]Results!AC311</f>
        <v>8.3781851340000006</v>
      </c>
      <c r="AA609" s="6">
        <f>[1]Results!AD311</f>
        <v>8.4009735649999993</v>
      </c>
      <c r="AB609" s="6">
        <f>[1]Results!AE311</f>
        <v>8.4130375659999999</v>
      </c>
      <c r="AC609" s="6">
        <f>[1]Results!AF311</f>
        <v>8.4283646099999991</v>
      </c>
      <c r="AD609" s="6">
        <f>[1]Results!AG311</f>
        <v>8.4444158399999996</v>
      </c>
      <c r="AE609" s="6">
        <f>[1]Results!AH311</f>
        <v>8.4601018579999998</v>
      </c>
      <c r="AF609" s="6">
        <f>[1]Results!AI311</f>
        <v>8.4754930179999999</v>
      </c>
      <c r="AG609" s="6">
        <f>[1]Results!AJ311</f>
        <v>8.4909775560000007</v>
      </c>
      <c r="AH609" s="6">
        <f>[1]Results!AK311</f>
        <v>8.5069234349999991</v>
      </c>
      <c r="AI609" s="6">
        <f>[1]Results!AL311</f>
        <v>8.5235606819999994</v>
      </c>
      <c r="AJ609" s="6">
        <f>[1]Results!AM311</f>
        <v>8.5409740500000009</v>
      </c>
      <c r="AK609" s="6">
        <f>[1]Results!AN311</f>
        <v>8.5591533660000003</v>
      </c>
      <c r="AL609" s="6">
        <f>[1]Results!AO311</f>
        <v>8.5780599439999996</v>
      </c>
    </row>
    <row r="610" spans="1:38" x14ac:dyDescent="0.3">
      <c r="B610" s="6" t="str">
        <f>[1]Results!E314</f>
        <v>CF_toe_cote_2</v>
      </c>
      <c r="C610" s="6">
        <f>[1]Results!F314</f>
        <v>6.4750521230000002</v>
      </c>
      <c r="D610" s="6">
        <f>[1]Results!G314</f>
        <v>6.4796732119999998</v>
      </c>
      <c r="E610" s="6">
        <f>[1]Results!H314</f>
        <v>6.5028851369999998</v>
      </c>
      <c r="F610" s="6">
        <f>[1]Results!I314</f>
        <v>6.5544730749999998</v>
      </c>
      <c r="G610" s="6">
        <f>[1]Results!J314</f>
        <v>6.6372643910000004</v>
      </c>
      <c r="H610" s="6">
        <f>[1]Results!K314</f>
        <v>6.7532270289999996</v>
      </c>
      <c r="I610" s="6">
        <f>[1]Results!L314</f>
        <v>6.9023173419999999</v>
      </c>
      <c r="J610" s="6">
        <f>[1]Results!M314</f>
        <v>7.0675450489999996</v>
      </c>
      <c r="K610" s="6">
        <f>[1]Results!N314</f>
        <v>7.234920722</v>
      </c>
      <c r="L610" s="6">
        <f>[1]Results!O314</f>
        <v>7.389158976</v>
      </c>
      <c r="M610" s="6">
        <f>[1]Results!P314</f>
        <v>7.5283727540000003</v>
      </c>
      <c r="N610" s="6">
        <f>[1]Results!Q314</f>
        <v>7.6406713939999999</v>
      </c>
      <c r="O610" s="6">
        <f>[1]Results!R314</f>
        <v>7.7423501200000002</v>
      </c>
      <c r="P610" s="6">
        <f>[1]Results!S314</f>
        <v>7.8449930959999996</v>
      </c>
      <c r="Q610" s="6">
        <f>[1]Results!T314</f>
        <v>7.9557819040000002</v>
      </c>
      <c r="R610" s="6">
        <f>[1]Results!U314</f>
        <v>8.0778892310000003</v>
      </c>
      <c r="S610" s="6">
        <f>[1]Results!V314</f>
        <v>8.2112375320000002</v>
      </c>
      <c r="T610" s="6">
        <f>[1]Results!W314</f>
        <v>8.3538979139999991</v>
      </c>
      <c r="U610" s="6">
        <f>[1]Results!X314</f>
        <v>8.5035252119999996</v>
      </c>
      <c r="V610" s="6">
        <f>[1]Results!Y314</f>
        <v>8.6583333899999992</v>
      </c>
      <c r="W610" s="6">
        <f>[1]Results!Z314</f>
        <v>8.8108622220000008</v>
      </c>
      <c r="X610" s="6">
        <f>[1]Results!AA314</f>
        <v>8.9724711179999996</v>
      </c>
      <c r="Y610" s="6">
        <f>[1]Results!AB314</f>
        <v>9.1379899679999994</v>
      </c>
      <c r="Z610" s="6">
        <f>[1]Results!AC314</f>
        <v>9.3060273319999993</v>
      </c>
      <c r="AA610" s="6">
        <f>[1]Results!AD314</f>
        <v>9.4769270999999993</v>
      </c>
      <c r="AB610" s="6">
        <f>[1]Results!AE314</f>
        <v>9.6284204070000001</v>
      </c>
      <c r="AC610" s="6">
        <f>[1]Results!AF314</f>
        <v>9.7926506890000002</v>
      </c>
      <c r="AD610" s="6">
        <f>[1]Results!AG314</f>
        <v>9.9548093509999998</v>
      </c>
      <c r="AE610" s="6">
        <f>[1]Results!AH314</f>
        <v>10.110033209999999</v>
      </c>
      <c r="AF610" s="6">
        <f>[1]Results!AI314</f>
        <v>10.25932839</v>
      </c>
      <c r="AG610" s="6">
        <f>[1]Results!AJ314</f>
        <v>10.405887310000001</v>
      </c>
      <c r="AH610" s="6">
        <f>[1]Results!AK314</f>
        <v>10.55306491</v>
      </c>
      <c r="AI610" s="6">
        <f>[1]Results!AL314</f>
        <v>10.70322494</v>
      </c>
      <c r="AJ610" s="6">
        <f>[1]Results!AM314</f>
        <v>10.857356879999999</v>
      </c>
      <c r="AK610" s="6">
        <f>[1]Results!AN314</f>
        <v>11.015324809999999</v>
      </c>
      <c r="AL610" s="6">
        <f>[1]Results!AO314</f>
        <v>11.1764569</v>
      </c>
    </row>
    <row r="611" spans="1:38" x14ac:dyDescent="0.3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spans="1:38" x14ac:dyDescent="0.3">
      <c r="A612" s="12" t="s">
        <v>67</v>
      </c>
      <c r="B612" s="6" t="str">
        <f>[1]Results!E317</f>
        <v>CF_toe_0</v>
      </c>
      <c r="C612" s="6">
        <f>[1]Results!F317</f>
        <v>150.61297149999999</v>
      </c>
      <c r="D612" s="6">
        <f>[1]Results!G317</f>
        <v>151.03001169999999</v>
      </c>
      <c r="E612" s="6">
        <f>[1]Results!H317</f>
        <v>151.41730720000001</v>
      </c>
      <c r="F612" s="6">
        <f>[1]Results!I317</f>
        <v>152.0965563</v>
      </c>
      <c r="G612" s="6">
        <f>[1]Results!J317</f>
        <v>153.1636436</v>
      </c>
      <c r="H612" s="6">
        <f>[1]Results!K317</f>
        <v>154.6372543</v>
      </c>
      <c r="I612" s="6">
        <f>[1]Results!L317</f>
        <v>156.35838670000001</v>
      </c>
      <c r="J612" s="6">
        <f>[1]Results!M317</f>
        <v>158.3564508</v>
      </c>
      <c r="K612" s="6">
        <f>[1]Results!N317</f>
        <v>160.535256</v>
      </c>
      <c r="L612" s="6">
        <f>[1]Results!O317</f>
        <v>162.79147699999999</v>
      </c>
      <c r="M612" s="6">
        <f>[1]Results!P317</f>
        <v>165.19140110000001</v>
      </c>
      <c r="N612" s="6">
        <f>[1]Results!Q317</f>
        <v>167.43400020000001</v>
      </c>
      <c r="O612" s="6">
        <f>[1]Results!R317</f>
        <v>169.62187829999999</v>
      </c>
      <c r="P612" s="6">
        <f>[1]Results!S317</f>
        <v>171.76048510000001</v>
      </c>
      <c r="Q612" s="6">
        <f>[1]Results!T317</f>
        <v>173.8199922</v>
      </c>
      <c r="R612" s="6">
        <f>[1]Results!U317</f>
        <v>175.7701793</v>
      </c>
      <c r="S612" s="6">
        <f>[1]Results!V317</f>
        <v>177.59885639999999</v>
      </c>
      <c r="T612" s="6">
        <f>[1]Results!W317</f>
        <v>179.3154825</v>
      </c>
      <c r="U612" s="6">
        <f>[1]Results!X317</f>
        <v>180.94827860000001</v>
      </c>
      <c r="V612" s="6">
        <f>[1]Results!Y317</f>
        <v>182.53624160000001</v>
      </c>
      <c r="W612" s="6">
        <f>[1]Results!Z317</f>
        <v>184.0071231</v>
      </c>
      <c r="X612" s="6">
        <f>[1]Results!AA317</f>
        <v>185.58470070000001</v>
      </c>
      <c r="Y612" s="6">
        <f>[1]Results!AB317</f>
        <v>187.21566659999999</v>
      </c>
      <c r="Z612" s="6">
        <f>[1]Results!AC317</f>
        <v>188.89725490000001</v>
      </c>
      <c r="AA612" s="6">
        <f>[1]Results!AD317</f>
        <v>190.64299740000001</v>
      </c>
      <c r="AB612" s="6">
        <f>[1]Results!AE317</f>
        <v>192.1079593</v>
      </c>
      <c r="AC612" s="6">
        <f>[1]Results!AF317</f>
        <v>193.78644360000001</v>
      </c>
      <c r="AD612" s="6">
        <f>[1]Results!AG317</f>
        <v>195.5093602</v>
      </c>
      <c r="AE612" s="6">
        <f>[1]Results!AH317</f>
        <v>197.22249669999999</v>
      </c>
      <c r="AF612" s="6">
        <f>[1]Results!AI317</f>
        <v>198.92549890000001</v>
      </c>
      <c r="AG612" s="6">
        <f>[1]Results!AJ317</f>
        <v>200.63237520000001</v>
      </c>
      <c r="AH612" s="6">
        <f>[1]Results!AK317</f>
        <v>202.3549161</v>
      </c>
      <c r="AI612" s="6">
        <f>[1]Results!AL317</f>
        <v>204.09566520000001</v>
      </c>
      <c r="AJ612" s="6">
        <f>[1]Results!AM317</f>
        <v>205.84723940000001</v>
      </c>
      <c r="AK612" s="6">
        <f>[1]Results!AN317</f>
        <v>207.59616500000001</v>
      </c>
      <c r="AL612" s="6">
        <f>[1]Results!AO317</f>
        <v>209.3270105</v>
      </c>
    </row>
    <row r="613" spans="1:38" x14ac:dyDescent="0.3">
      <c r="A613" t="s">
        <v>26</v>
      </c>
      <c r="B613" s="6" t="str">
        <f>[1]Results!E318</f>
        <v>CF_toe_ccoa_0</v>
      </c>
      <c r="C613" s="6">
        <f>[1]Results!F318</f>
        <v>7.5732953910000003</v>
      </c>
      <c r="D613" s="6">
        <f>[1]Results!G318</f>
        <v>7.921507117</v>
      </c>
      <c r="E613" s="6">
        <f>[1]Results!H318</f>
        <v>8.2730503760000005</v>
      </c>
      <c r="F613" s="6">
        <f>[1]Results!I318</f>
        <v>8.5767241779999992</v>
      </c>
      <c r="G613" s="6">
        <f>[1]Results!J318</f>
        <v>8.8359878030000001</v>
      </c>
      <c r="H613" s="6">
        <f>[1]Results!K318</f>
        <v>9.0645737729999993</v>
      </c>
      <c r="I613" s="6">
        <f>[1]Results!L318</f>
        <v>9.2494085520000002</v>
      </c>
      <c r="J613" s="6">
        <f>[1]Results!M318</f>
        <v>9.4261595969999998</v>
      </c>
      <c r="K613" s="6">
        <f>[1]Results!N318</f>
        <v>9.599378089</v>
      </c>
      <c r="L613" s="6">
        <f>[1]Results!O318</f>
        <v>9.7692101430000005</v>
      </c>
      <c r="M613" s="6">
        <f>[1]Results!P318</f>
        <v>9.9717226159999992</v>
      </c>
      <c r="N613" s="6">
        <f>[1]Results!Q318</f>
        <v>10.13131214</v>
      </c>
      <c r="O613" s="6">
        <f>[1]Results!R318</f>
        <v>10.289161719999999</v>
      </c>
      <c r="P613" s="6">
        <f>[1]Results!S318</f>
        <v>10.450700919999999</v>
      </c>
      <c r="Q613" s="6">
        <f>[1]Results!T318</f>
        <v>10.61390724</v>
      </c>
      <c r="R613" s="6">
        <f>[1]Results!U318</f>
        <v>10.777140449999999</v>
      </c>
      <c r="S613" s="6">
        <f>[1]Results!V318</f>
        <v>10.939948190000001</v>
      </c>
      <c r="T613" s="6">
        <f>[1]Results!W318</f>
        <v>11.102634439999999</v>
      </c>
      <c r="U613" s="6">
        <f>[1]Results!X318</f>
        <v>11.26578445</v>
      </c>
      <c r="V613" s="6">
        <f>[1]Results!Y318</f>
        <v>11.42994781</v>
      </c>
      <c r="W613" s="6">
        <f>[1]Results!Z318</f>
        <v>11.56970892</v>
      </c>
      <c r="X613" s="6">
        <f>[1]Results!AA318</f>
        <v>11.74042884</v>
      </c>
      <c r="Y613" s="6">
        <f>[1]Results!AB318</f>
        <v>11.914860880000001</v>
      </c>
      <c r="Z613" s="6">
        <f>[1]Results!AC318</f>
        <v>12.088406129999999</v>
      </c>
      <c r="AA613" s="6">
        <f>[1]Results!AD318</f>
        <v>12.26213325</v>
      </c>
      <c r="AB613" s="6">
        <f>[1]Results!AE318</f>
        <v>12.361331399999999</v>
      </c>
      <c r="AC613" s="6">
        <f>[1]Results!AF318</f>
        <v>12.51806245</v>
      </c>
      <c r="AD613" s="6">
        <f>[1]Results!AG318</f>
        <v>12.68715662</v>
      </c>
      <c r="AE613" s="6">
        <f>[1]Results!AH318</f>
        <v>12.857919409999999</v>
      </c>
      <c r="AF613" s="6">
        <f>[1]Results!AI318</f>
        <v>13.03028758</v>
      </c>
      <c r="AG613" s="6">
        <f>[1]Results!AJ318</f>
        <v>13.20551405</v>
      </c>
      <c r="AH613" s="6">
        <f>[1]Results!AK318</f>
        <v>13.38430606</v>
      </c>
      <c r="AI613" s="6">
        <f>[1]Results!AL318</f>
        <v>13.56679815</v>
      </c>
      <c r="AJ613" s="6">
        <f>[1]Results!AM318</f>
        <v>13.752846330000001</v>
      </c>
      <c r="AK613" s="6">
        <f>[1]Results!AN318</f>
        <v>13.942280119999999</v>
      </c>
      <c r="AL613" s="6">
        <f>[1]Results!AO318</f>
        <v>14.13501499</v>
      </c>
    </row>
    <row r="614" spans="1:38" x14ac:dyDescent="0.3">
      <c r="B614" s="6" t="s">
        <v>48</v>
      </c>
      <c r="C614" s="6">
        <f>C615+C616+C617</f>
        <v>61.374248553000001</v>
      </c>
      <c r="D614" s="6">
        <f t="shared" ref="D614:AI614" si="114">D615+D616+D617</f>
        <v>61.242955713999997</v>
      </c>
      <c r="E614" s="6">
        <f t="shared" si="114"/>
        <v>61.036632650999998</v>
      </c>
      <c r="F614" s="6">
        <f t="shared" si="114"/>
        <v>60.935433838000002</v>
      </c>
      <c r="G614" s="6">
        <f t="shared" si="114"/>
        <v>60.977131663999998</v>
      </c>
      <c r="H614" s="6">
        <f t="shared" si="114"/>
        <v>61.155172422999996</v>
      </c>
      <c r="I614" s="6">
        <f t="shared" si="114"/>
        <v>61.410972477000001</v>
      </c>
      <c r="J614" s="6">
        <f t="shared" si="114"/>
        <v>61.754063299999999</v>
      </c>
      <c r="K614" s="6">
        <f t="shared" si="114"/>
        <v>62.158308430999995</v>
      </c>
      <c r="L614" s="6">
        <f t="shared" si="114"/>
        <v>62.601535536</v>
      </c>
      <c r="M614" s="6">
        <f t="shared" si="114"/>
        <v>63.114861665999996</v>
      </c>
      <c r="N614" s="6">
        <f t="shared" si="114"/>
        <v>63.603023888999999</v>
      </c>
      <c r="O614" s="6">
        <f t="shared" si="114"/>
        <v>64.106724309000001</v>
      </c>
      <c r="P614" s="6">
        <f t="shared" si="114"/>
        <v>64.622830640000004</v>
      </c>
      <c r="Q614" s="6">
        <f t="shared" si="114"/>
        <v>65.141448518000004</v>
      </c>
      <c r="R614" s="6">
        <f t="shared" si="114"/>
        <v>65.652879705000004</v>
      </c>
      <c r="S614" s="6">
        <f t="shared" si="114"/>
        <v>66.149591568000005</v>
      </c>
      <c r="T614" s="6">
        <f t="shared" si="114"/>
        <v>66.627003746</v>
      </c>
      <c r="U614" s="6">
        <f t="shared" si="114"/>
        <v>67.083332714999997</v>
      </c>
      <c r="V614" s="6">
        <f t="shared" si="114"/>
        <v>67.518754139999999</v>
      </c>
      <c r="W614" s="6">
        <f t="shared" si="114"/>
        <v>67.899654749999996</v>
      </c>
      <c r="X614" s="6">
        <f t="shared" si="114"/>
        <v>68.291934560000001</v>
      </c>
      <c r="Y614" s="6">
        <f t="shared" si="114"/>
        <v>68.66688207</v>
      </c>
      <c r="Z614" s="6">
        <f t="shared" si="114"/>
        <v>69.022022460000002</v>
      </c>
      <c r="AA614" s="6">
        <f t="shared" si="114"/>
        <v>69.359362759999996</v>
      </c>
      <c r="AB614" s="6">
        <f t="shared" si="114"/>
        <v>69.573262470000003</v>
      </c>
      <c r="AC614" s="6">
        <f t="shared" si="114"/>
        <v>69.824922740000005</v>
      </c>
      <c r="AD614" s="6">
        <f t="shared" si="114"/>
        <v>70.055911280000004</v>
      </c>
      <c r="AE614" s="6">
        <f t="shared" si="114"/>
        <v>70.257963820000001</v>
      </c>
      <c r="AF614" s="6">
        <f t="shared" si="114"/>
        <v>70.433973139999992</v>
      </c>
      <c r="AG614" s="6">
        <f t="shared" si="114"/>
        <v>70.588475099999997</v>
      </c>
      <c r="AH614" s="6">
        <f t="shared" si="114"/>
        <v>70.72492278</v>
      </c>
      <c r="AI614" s="6">
        <f t="shared" si="114"/>
        <v>70.844829259999997</v>
      </c>
      <c r="AJ614" s="6">
        <f>AJ615+AJ616+AJ617</f>
        <v>70.947854809999995</v>
      </c>
      <c r="AK614" s="6">
        <f t="shared" ref="AK614" si="115">AK615+AK616+AK617</f>
        <v>71.032483850000006</v>
      </c>
      <c r="AL614" s="6">
        <f t="shared" ref="AL614" si="116">AL615+AL616+AL617</f>
        <v>71.096920769999997</v>
      </c>
    </row>
    <row r="615" spans="1:38" x14ac:dyDescent="0.3">
      <c r="B615" s="6" t="str">
        <f>[1]Results!E321</f>
        <v>CF_toe_ccoi_0</v>
      </c>
      <c r="C615" s="6">
        <f>[1]Results!F321</f>
        <v>0</v>
      </c>
      <c r="D615" s="6">
        <f>[1]Results!G321</f>
        <v>0</v>
      </c>
      <c r="E615" s="6">
        <f>[1]Results!H321</f>
        <v>0</v>
      </c>
      <c r="F615" s="6">
        <f>[1]Results!I321</f>
        <v>0</v>
      </c>
      <c r="G615" s="6">
        <f>[1]Results!J321</f>
        <v>0</v>
      </c>
      <c r="H615" s="6">
        <f>[1]Results!K321</f>
        <v>0</v>
      </c>
      <c r="I615" s="6">
        <f>[1]Results!L321</f>
        <v>0</v>
      </c>
      <c r="J615" s="6">
        <f>[1]Results!M321</f>
        <v>0</v>
      </c>
      <c r="K615" s="6">
        <f>[1]Results!N321</f>
        <v>0</v>
      </c>
      <c r="L615" s="6">
        <f>[1]Results!O321</f>
        <v>0</v>
      </c>
      <c r="M615" s="6">
        <f>[1]Results!P321</f>
        <v>0</v>
      </c>
      <c r="N615" s="6">
        <f>[1]Results!Q321</f>
        <v>0</v>
      </c>
      <c r="O615" s="6">
        <f>[1]Results!R321</f>
        <v>0</v>
      </c>
      <c r="P615" s="6">
        <f>[1]Results!S321</f>
        <v>0</v>
      </c>
      <c r="Q615" s="6">
        <f>[1]Results!T321</f>
        <v>0</v>
      </c>
      <c r="R615" s="6">
        <f>[1]Results!U321</f>
        <v>0</v>
      </c>
      <c r="S615" s="6">
        <f>[1]Results!V321</f>
        <v>0</v>
      </c>
      <c r="T615" s="6">
        <f>[1]Results!W321</f>
        <v>0</v>
      </c>
      <c r="U615" s="6">
        <f>[1]Results!X321</f>
        <v>0</v>
      </c>
      <c r="V615" s="6">
        <f>[1]Results!Y321</f>
        <v>0</v>
      </c>
      <c r="W615" s="6">
        <f>[1]Results!Z321</f>
        <v>0</v>
      </c>
      <c r="X615" s="6">
        <f>[1]Results!AA321</f>
        <v>0</v>
      </c>
      <c r="Y615" s="6">
        <f>[1]Results!AB321</f>
        <v>0</v>
      </c>
      <c r="Z615" s="6">
        <f>[1]Results!AC321</f>
        <v>0</v>
      </c>
      <c r="AA615" s="6">
        <f>[1]Results!AD321</f>
        <v>0</v>
      </c>
      <c r="AB615" s="6">
        <f>[1]Results!AE321</f>
        <v>0</v>
      </c>
      <c r="AC615" s="6">
        <f>[1]Results!AF321</f>
        <v>0</v>
      </c>
      <c r="AD615" s="6">
        <f>[1]Results!AG321</f>
        <v>0</v>
      </c>
      <c r="AE615" s="6">
        <f>[1]Results!AH321</f>
        <v>0</v>
      </c>
      <c r="AF615" s="6">
        <f>[1]Results!AI321</f>
        <v>0</v>
      </c>
      <c r="AG615" s="6">
        <f>[1]Results!AJ321</f>
        <v>0</v>
      </c>
      <c r="AH615" s="6">
        <f>[1]Results!AK321</f>
        <v>0</v>
      </c>
      <c r="AI615" s="6">
        <f>[1]Results!AL321</f>
        <v>0</v>
      </c>
      <c r="AJ615" s="6">
        <f>[1]Results!AM321</f>
        <v>0</v>
      </c>
      <c r="AK615" s="6">
        <f>[1]Results!AN321</f>
        <v>0</v>
      </c>
      <c r="AL615" s="6">
        <f>[1]Results!AO321</f>
        <v>0</v>
      </c>
    </row>
    <row r="616" spans="1:38" x14ac:dyDescent="0.3">
      <c r="B616" s="6" t="str">
        <f>[1]Results!E324</f>
        <v>CF_toe_cfut_0</v>
      </c>
      <c r="C616" s="6">
        <f>[1]Results!F324</f>
        <v>51.712525730000003</v>
      </c>
      <c r="D616" s="6">
        <f>[1]Results!G324</f>
        <v>51.589643379999998</v>
      </c>
      <c r="E616" s="6">
        <f>[1]Results!H324</f>
        <v>51.41445143</v>
      </c>
      <c r="F616" s="6">
        <f>[1]Results!I324</f>
        <v>51.341435820000001</v>
      </c>
      <c r="G616" s="6">
        <f>[1]Results!J324</f>
        <v>51.398797510000001</v>
      </c>
      <c r="H616" s="6">
        <f>[1]Results!K324</f>
        <v>51.577441479999997</v>
      </c>
      <c r="I616" s="6">
        <f>[1]Results!L324</f>
        <v>51.826618000000003</v>
      </c>
      <c r="J616" s="6">
        <f>[1]Results!M324</f>
        <v>52.1520133</v>
      </c>
      <c r="K616" s="6">
        <f>[1]Results!N324</f>
        <v>52.530923469999998</v>
      </c>
      <c r="L616" s="6">
        <f>[1]Results!O324</f>
        <v>52.944367550000003</v>
      </c>
      <c r="M616" s="6">
        <f>[1]Results!P324</f>
        <v>53.416586909999999</v>
      </c>
      <c r="N616" s="6">
        <f>[1]Results!Q324</f>
        <v>53.870313340000003</v>
      </c>
      <c r="O616" s="6">
        <f>[1]Results!R324</f>
        <v>54.338002080000003</v>
      </c>
      <c r="P616" s="6">
        <f>[1]Results!S324</f>
        <v>54.816317890000001</v>
      </c>
      <c r="Q616" s="6">
        <f>[1]Results!T324</f>
        <v>55.296291170000003</v>
      </c>
      <c r="R616" s="6">
        <f>[1]Results!U324</f>
        <v>55.769319490000001</v>
      </c>
      <c r="S616" s="6">
        <f>[1]Results!V324</f>
        <v>56.228764009999999</v>
      </c>
      <c r="T616" s="6">
        <f>[1]Results!W324</f>
        <v>56.670511650000002</v>
      </c>
      <c r="U616" s="6">
        <f>[1]Results!X324</f>
        <v>57.092782700000001</v>
      </c>
      <c r="V616" s="6">
        <f>[1]Results!Y324</f>
        <v>57.495413880000001</v>
      </c>
      <c r="W616" s="6">
        <f>[1]Results!Z324</f>
        <v>57.850827099999997</v>
      </c>
      <c r="X616" s="6">
        <f>[1]Results!AA324</f>
        <v>58.21191657</v>
      </c>
      <c r="Y616" s="6">
        <f>[1]Results!AB324</f>
        <v>58.55530796</v>
      </c>
      <c r="Z616" s="6">
        <f>[1]Results!AC324</f>
        <v>58.878836300000003</v>
      </c>
      <c r="AA616" s="6">
        <f>[1]Results!AD324</f>
        <v>59.184088819999999</v>
      </c>
      <c r="AB616" s="6">
        <f>[1]Results!AE324</f>
        <v>59.384500600000003</v>
      </c>
      <c r="AC616" s="6">
        <f>[1]Results!AF324</f>
        <v>59.611417889999998</v>
      </c>
      <c r="AD616" s="6">
        <f>[1]Results!AG324</f>
        <v>59.81660514</v>
      </c>
      <c r="AE616" s="6">
        <f>[1]Results!AH324</f>
        <v>59.993038480000003</v>
      </c>
      <c r="AF616" s="6">
        <f>[1]Results!AI324</f>
        <v>60.143214129999997</v>
      </c>
      <c r="AG616" s="6">
        <f>[1]Results!AJ324</f>
        <v>60.270961270000001</v>
      </c>
      <c r="AH616" s="6">
        <f>[1]Results!AK324</f>
        <v>60.379138699999999</v>
      </c>
      <c r="AI616" s="6">
        <f>[1]Results!AL324</f>
        <v>60.468961280000002</v>
      </c>
      <c r="AJ616" s="6">
        <f>[1]Results!AM324</f>
        <v>60.5401107</v>
      </c>
      <c r="AK616" s="6">
        <f>[1]Results!AN324</f>
        <v>60.591317330000003</v>
      </c>
      <c r="AL616" s="6">
        <f>[1]Results!AO324</f>
        <v>60.621107090000002</v>
      </c>
    </row>
    <row r="617" spans="1:38" x14ac:dyDescent="0.3">
      <c r="B617" s="6" t="str">
        <f>[1]Results!E327</f>
        <v>CF_toe_cfuh_0</v>
      </c>
      <c r="C617" s="6">
        <f>[1]Results!F327</f>
        <v>9.6617228229999998</v>
      </c>
      <c r="D617" s="6">
        <f>[1]Results!G327</f>
        <v>9.6533123340000007</v>
      </c>
      <c r="E617" s="6">
        <f>[1]Results!H327</f>
        <v>9.622181221</v>
      </c>
      <c r="F617" s="6">
        <f>[1]Results!I327</f>
        <v>9.5939980180000006</v>
      </c>
      <c r="G617" s="6">
        <f>[1]Results!J327</f>
        <v>9.5783341540000002</v>
      </c>
      <c r="H617" s="6">
        <f>[1]Results!K327</f>
        <v>9.5777309430000006</v>
      </c>
      <c r="I617" s="6">
        <f>[1]Results!L327</f>
        <v>9.5843544769999998</v>
      </c>
      <c r="J617" s="6">
        <f>[1]Results!M327</f>
        <v>9.6020500000000002</v>
      </c>
      <c r="K617" s="6">
        <f>[1]Results!N327</f>
        <v>9.6273849610000006</v>
      </c>
      <c r="L617" s="6">
        <f>[1]Results!O327</f>
        <v>9.6571679859999993</v>
      </c>
      <c r="M617" s="6">
        <f>[1]Results!P327</f>
        <v>9.698274756</v>
      </c>
      <c r="N617" s="6">
        <f>[1]Results!Q327</f>
        <v>9.7327105490000001</v>
      </c>
      <c r="O617" s="6">
        <f>[1]Results!R327</f>
        <v>9.7687222289999998</v>
      </c>
      <c r="P617" s="6">
        <f>[1]Results!S327</f>
        <v>9.8065127499999996</v>
      </c>
      <c r="Q617" s="6">
        <f>[1]Results!T327</f>
        <v>9.8451573480000008</v>
      </c>
      <c r="R617" s="6">
        <f>[1]Results!U327</f>
        <v>9.8835602149999993</v>
      </c>
      <c r="S617" s="6">
        <f>[1]Results!V327</f>
        <v>9.9208275579999992</v>
      </c>
      <c r="T617" s="6">
        <f>[1]Results!W327</f>
        <v>9.9564920959999998</v>
      </c>
      <c r="U617" s="6">
        <f>[1]Results!X327</f>
        <v>9.9905500150000002</v>
      </c>
      <c r="V617" s="6">
        <f>[1]Results!Y327</f>
        <v>10.023340259999999</v>
      </c>
      <c r="W617" s="6">
        <f>[1]Results!Z327</f>
        <v>10.04882765</v>
      </c>
      <c r="X617" s="6">
        <f>[1]Results!AA327</f>
        <v>10.08001799</v>
      </c>
      <c r="Y617" s="6">
        <f>[1]Results!AB327</f>
        <v>10.111574109999999</v>
      </c>
      <c r="Z617" s="6">
        <f>[1]Results!AC327</f>
        <v>10.143186160000001</v>
      </c>
      <c r="AA617" s="6">
        <f>[1]Results!AD327</f>
        <v>10.17527394</v>
      </c>
      <c r="AB617" s="6">
        <f>[1]Results!AE327</f>
        <v>10.18876187</v>
      </c>
      <c r="AC617" s="6">
        <f>[1]Results!AF327</f>
        <v>10.21350485</v>
      </c>
      <c r="AD617" s="6">
        <f>[1]Results!AG327</f>
        <v>10.23930614</v>
      </c>
      <c r="AE617" s="6">
        <f>[1]Results!AH327</f>
        <v>10.26492534</v>
      </c>
      <c r="AF617" s="6">
        <f>[1]Results!AI327</f>
        <v>10.29075901</v>
      </c>
      <c r="AG617" s="6">
        <f>[1]Results!AJ327</f>
        <v>10.317513829999999</v>
      </c>
      <c r="AH617" s="6">
        <f>[1]Results!AK327</f>
        <v>10.34578408</v>
      </c>
      <c r="AI617" s="6">
        <f>[1]Results!AL327</f>
        <v>10.375867980000001</v>
      </c>
      <c r="AJ617" s="6">
        <f>[1]Results!AM327</f>
        <v>10.407744109999999</v>
      </c>
      <c r="AK617" s="6">
        <f>[1]Results!AN327</f>
        <v>10.441166519999999</v>
      </c>
      <c r="AL617" s="6">
        <f>[1]Results!AO327</f>
        <v>10.47581368</v>
      </c>
    </row>
    <row r="618" spans="1:38" x14ac:dyDescent="0.3">
      <c r="B618" s="6" t="str">
        <f>[1]Results!E329</f>
        <v>CF_toe_cgas_0</v>
      </c>
      <c r="C618" s="6">
        <f>[1]Results!F329</f>
        <v>27.986826390000001</v>
      </c>
      <c r="D618" s="6">
        <f>[1]Results!G329</f>
        <v>28.069584720000002</v>
      </c>
      <c r="E618" s="6">
        <f>[1]Results!H329</f>
        <v>28.147687340000001</v>
      </c>
      <c r="F618" s="6">
        <f>[1]Results!I329</f>
        <v>28.260147920000001</v>
      </c>
      <c r="G618" s="6">
        <f>[1]Results!J329</f>
        <v>28.416966949999999</v>
      </c>
      <c r="H618" s="6">
        <f>[1]Results!K329</f>
        <v>28.621787269999999</v>
      </c>
      <c r="I618" s="6">
        <f>[1]Results!L329</f>
        <v>28.845060969999999</v>
      </c>
      <c r="J618" s="6">
        <f>[1]Results!M329</f>
        <v>29.101653809999998</v>
      </c>
      <c r="K618" s="6">
        <f>[1]Results!N329</f>
        <v>29.382863220000001</v>
      </c>
      <c r="L618" s="6">
        <f>[1]Results!O329</f>
        <v>29.678755559999999</v>
      </c>
      <c r="M618" s="6">
        <f>[1]Results!P329</f>
        <v>30.01563865</v>
      </c>
      <c r="N618" s="6">
        <f>[1]Results!Q329</f>
        <v>30.33538794</v>
      </c>
      <c r="O618" s="6">
        <f>[1]Results!R329</f>
        <v>30.663215130000001</v>
      </c>
      <c r="P618" s="6">
        <f>[1]Results!S329</f>
        <v>31.003010929999999</v>
      </c>
      <c r="Q618" s="6">
        <f>[1]Results!T329</f>
        <v>31.348806499999998</v>
      </c>
      <c r="R618" s="6">
        <f>[1]Results!U329</f>
        <v>31.693302030000002</v>
      </c>
      <c r="S618" s="6">
        <f>[1]Results!V329</f>
        <v>32.030883039999999</v>
      </c>
      <c r="T618" s="6">
        <f>[1]Results!W329</f>
        <v>32.358900439999999</v>
      </c>
      <c r="U618" s="6">
        <f>[1]Results!X329</f>
        <v>32.677628419999998</v>
      </c>
      <c r="V618" s="6">
        <f>[1]Results!Y329</f>
        <v>32.989328989999997</v>
      </c>
      <c r="W618" s="6">
        <f>[1]Results!Z329</f>
        <v>33.272994320000002</v>
      </c>
      <c r="X618" s="6">
        <f>[1]Results!AA329</f>
        <v>33.574053790000001</v>
      </c>
      <c r="Y618" s="6">
        <f>[1]Results!AB329</f>
        <v>33.879367479999999</v>
      </c>
      <c r="Z618" s="6">
        <f>[1]Results!AC329</f>
        <v>34.186034040000003</v>
      </c>
      <c r="AA618" s="6">
        <f>[1]Results!AD329</f>
        <v>34.496259709999997</v>
      </c>
      <c r="AB618" s="6">
        <f>[1]Results!AE329</f>
        <v>34.73724833</v>
      </c>
      <c r="AC618" s="6">
        <f>[1]Results!AF329</f>
        <v>35.016969770000003</v>
      </c>
      <c r="AD618" s="6">
        <f>[1]Results!AG329</f>
        <v>35.305974970000001</v>
      </c>
      <c r="AE618" s="6">
        <f>[1]Results!AH329</f>
        <v>35.595301319999997</v>
      </c>
      <c r="AF618" s="6">
        <f>[1]Results!AI329</f>
        <v>35.887225200000003</v>
      </c>
      <c r="AG618" s="6">
        <f>[1]Results!AJ329</f>
        <v>36.186435619999997</v>
      </c>
      <c r="AH618" s="6">
        <f>[1]Results!AK329</f>
        <v>36.496604570000002</v>
      </c>
      <c r="AI618" s="6">
        <f>[1]Results!AL329</f>
        <v>36.81920143</v>
      </c>
      <c r="AJ618" s="6">
        <f>[1]Results!AM329</f>
        <v>37.153562409999999</v>
      </c>
      <c r="AK618" s="6">
        <f>[1]Results!AN329</f>
        <v>37.497707820000002</v>
      </c>
      <c r="AL618" s="6">
        <f>[1]Results!AO329</f>
        <v>37.849402189999999</v>
      </c>
    </row>
    <row r="619" spans="1:38" x14ac:dyDescent="0.3">
      <c r="B619" s="6" t="str">
        <f>[1]Results!E335</f>
        <v>CF_toe_cele_0</v>
      </c>
      <c r="C619" s="6">
        <f>[1]Results!F335</f>
        <v>36.345868719999999</v>
      </c>
      <c r="D619" s="6">
        <f>[1]Results!G335</f>
        <v>36.433590850000002</v>
      </c>
      <c r="E619" s="6">
        <f>[1]Results!H335</f>
        <v>36.562630380000002</v>
      </c>
      <c r="F619" s="6">
        <f>[1]Results!I335</f>
        <v>36.852394359999998</v>
      </c>
      <c r="G619" s="6">
        <f>[1]Results!J335</f>
        <v>37.33920457</v>
      </c>
      <c r="H619" s="6">
        <f>[1]Results!K335</f>
        <v>38.028942409999999</v>
      </c>
      <c r="I619" s="6">
        <f>[1]Results!L335</f>
        <v>38.882110359999999</v>
      </c>
      <c r="J619" s="6">
        <f>[1]Results!M335</f>
        <v>39.867258020000001</v>
      </c>
      <c r="K619" s="6">
        <f>[1]Results!N335</f>
        <v>40.930230559999998</v>
      </c>
      <c r="L619" s="6">
        <f>[1]Results!O335</f>
        <v>42.0119775</v>
      </c>
      <c r="M619" s="6">
        <f>[1]Results!P335</f>
        <v>43.079572829999996</v>
      </c>
      <c r="N619" s="6">
        <f>[1]Results!Q335</f>
        <v>44.08804696</v>
      </c>
      <c r="O619" s="6">
        <f>[1]Results!R335</f>
        <v>45.024924820000003</v>
      </c>
      <c r="P619" s="6">
        <f>[1]Results!S335</f>
        <v>45.888127240000003</v>
      </c>
      <c r="Q619" s="6">
        <f>[1]Results!T335</f>
        <v>46.669306689999999</v>
      </c>
      <c r="R619" s="6">
        <f>[1]Results!U335</f>
        <v>47.3614332</v>
      </c>
      <c r="S619" s="6">
        <f>[1]Results!V335</f>
        <v>47.968664109999999</v>
      </c>
      <c r="T619" s="6">
        <f>[1]Results!W335</f>
        <v>48.507271770000003</v>
      </c>
      <c r="U619" s="6">
        <f>[1]Results!X335</f>
        <v>49.003488760000003</v>
      </c>
      <c r="V619" s="6">
        <f>[1]Results!Y335</f>
        <v>49.488579970000004</v>
      </c>
      <c r="W619" s="6">
        <f>[1]Results!Z335</f>
        <v>49.976621960000003</v>
      </c>
      <c r="X619" s="6">
        <f>[1]Results!AA335</f>
        <v>50.502901319999999</v>
      </c>
      <c r="Y619" s="6">
        <f>[1]Results!AB335</f>
        <v>51.08487624</v>
      </c>
      <c r="Z619" s="6">
        <f>[1]Results!AC335</f>
        <v>51.729731219999998</v>
      </c>
      <c r="AA619" s="6">
        <f>[1]Results!AD335</f>
        <v>52.443802779999999</v>
      </c>
      <c r="AB619" s="6">
        <f>[1]Results!AE335</f>
        <v>53.171666170000002</v>
      </c>
      <c r="AC619" s="6">
        <f>[1]Results!AF335</f>
        <v>53.958332290000001</v>
      </c>
      <c r="AD619" s="6">
        <f>[1]Results!AG335</f>
        <v>54.782059490000002</v>
      </c>
      <c r="AE619" s="6">
        <f>[1]Results!AH335</f>
        <v>55.622594700000001</v>
      </c>
      <c r="AF619" s="6">
        <f>[1]Results!AI335</f>
        <v>56.47393185</v>
      </c>
      <c r="AG619" s="6">
        <f>[1]Results!AJ335</f>
        <v>57.337005359999999</v>
      </c>
      <c r="AH619" s="6">
        <f>[1]Results!AK335</f>
        <v>58.213519849999997</v>
      </c>
      <c r="AI619" s="6">
        <f>[1]Results!AL335</f>
        <v>59.102130350000003</v>
      </c>
      <c r="AJ619" s="6">
        <f>[1]Results!AM335</f>
        <v>59.997469979999998</v>
      </c>
      <c r="AK619" s="6">
        <f>[1]Results!AN335</f>
        <v>60.89167303</v>
      </c>
      <c r="AL619" s="6">
        <f>[1]Results!AO335</f>
        <v>61.775722889999997</v>
      </c>
    </row>
    <row r="620" spans="1:38" x14ac:dyDescent="0.3">
      <c r="B620" s="6" t="s">
        <v>49</v>
      </c>
      <c r="C620" s="6">
        <f>SUM(C621:C623)</f>
        <v>17.332732485000001</v>
      </c>
      <c r="D620" s="6">
        <f t="shared" ref="D620:AL620" si="117">SUM(D621:D623)</f>
        <v>17.362373261000002</v>
      </c>
      <c r="E620" s="6">
        <f t="shared" si="117"/>
        <v>17.397306442999998</v>
      </c>
      <c r="F620" s="6">
        <f t="shared" si="117"/>
        <v>17.471855982000001</v>
      </c>
      <c r="G620" s="6">
        <f t="shared" si="117"/>
        <v>17.594352571000002</v>
      </c>
      <c r="H620" s="6">
        <f t="shared" si="117"/>
        <v>17.766778469999998</v>
      </c>
      <c r="I620" s="6">
        <f t="shared" si="117"/>
        <v>17.970834322999998</v>
      </c>
      <c r="J620" s="6">
        <f t="shared" si="117"/>
        <v>18.207316073000001</v>
      </c>
      <c r="K620" s="6">
        <f t="shared" si="117"/>
        <v>18.464475702999998</v>
      </c>
      <c r="L620" s="6">
        <f t="shared" si="117"/>
        <v>18.729998249000001</v>
      </c>
      <c r="M620" s="6">
        <f t="shared" si="117"/>
        <v>19.009605363999999</v>
      </c>
      <c r="N620" s="6">
        <f t="shared" si="117"/>
        <v>19.276229272999998</v>
      </c>
      <c r="O620" s="6">
        <f t="shared" si="117"/>
        <v>19.537852298000001</v>
      </c>
      <c r="P620" s="6">
        <f t="shared" si="117"/>
        <v>19.795815406999999</v>
      </c>
      <c r="Q620" s="6">
        <f t="shared" si="117"/>
        <v>20.046523211999997</v>
      </c>
      <c r="R620" s="6">
        <f t="shared" si="117"/>
        <v>20.285423929</v>
      </c>
      <c r="S620" s="6">
        <f t="shared" si="117"/>
        <v>20.509769480999999</v>
      </c>
      <c r="T620" s="6">
        <f t="shared" si="117"/>
        <v>20.719672101</v>
      </c>
      <c r="U620" s="6">
        <f t="shared" si="117"/>
        <v>20.91804428</v>
      </c>
      <c r="V620" s="6">
        <f t="shared" si="117"/>
        <v>21.109630633999998</v>
      </c>
      <c r="W620" s="6">
        <f t="shared" si="117"/>
        <v>21.288143109</v>
      </c>
      <c r="X620" s="6">
        <f t="shared" si="117"/>
        <v>21.475382185000001</v>
      </c>
      <c r="Y620" s="6">
        <f t="shared" si="117"/>
        <v>21.669679954999999</v>
      </c>
      <c r="Z620" s="6">
        <f t="shared" si="117"/>
        <v>21.871061021999999</v>
      </c>
      <c r="AA620" s="6">
        <f t="shared" si="117"/>
        <v>22.081438939000002</v>
      </c>
      <c r="AB620" s="6">
        <f t="shared" si="117"/>
        <v>22.264450924000002</v>
      </c>
      <c r="AC620" s="6">
        <f t="shared" si="117"/>
        <v>22.468156323000002</v>
      </c>
      <c r="AD620" s="6">
        <f t="shared" si="117"/>
        <v>22.678257860999999</v>
      </c>
      <c r="AE620" s="6">
        <f t="shared" si="117"/>
        <v>22.888717404000001</v>
      </c>
      <c r="AF620" s="6">
        <f t="shared" si="117"/>
        <v>23.100081107999998</v>
      </c>
      <c r="AG620" s="6">
        <f t="shared" si="117"/>
        <v>23.314945043000002</v>
      </c>
      <c r="AH620" s="6">
        <f t="shared" si="117"/>
        <v>23.535562861999999</v>
      </c>
      <c r="AI620" s="6">
        <f t="shared" si="117"/>
        <v>23.762706072</v>
      </c>
      <c r="AJ620" s="6">
        <f t="shared" si="117"/>
        <v>23.995505919999999</v>
      </c>
      <c r="AK620" s="6">
        <f t="shared" si="117"/>
        <v>24.232020186</v>
      </c>
      <c r="AL620" s="6">
        <f t="shared" si="117"/>
        <v>24.469949658000001</v>
      </c>
    </row>
    <row r="621" spans="1:38" x14ac:dyDescent="0.3">
      <c r="B621" s="6" t="str">
        <f>[1]Results!E345</f>
        <v>CF_toe_chea_0</v>
      </c>
      <c r="C621" s="6">
        <f>[1]Results!F345</f>
        <v>2.7598611929999999</v>
      </c>
      <c r="D621" s="6">
        <f>[1]Results!G345</f>
        <v>2.7751511419999999</v>
      </c>
      <c r="E621" s="6">
        <f>[1]Results!H345</f>
        <v>2.7946402300000002</v>
      </c>
      <c r="F621" s="6">
        <f>[1]Results!I345</f>
        <v>2.8226108449999998</v>
      </c>
      <c r="G621" s="6">
        <f>[1]Results!J345</f>
        <v>2.859064423</v>
      </c>
      <c r="H621" s="6">
        <f>[1]Results!K345</f>
        <v>2.9033649210000001</v>
      </c>
      <c r="I621" s="6">
        <f>[1]Results!L345</f>
        <v>2.952812427</v>
      </c>
      <c r="J621" s="6">
        <f>[1]Results!M345</f>
        <v>3.0057289310000002</v>
      </c>
      <c r="K621" s="6">
        <f>[1]Results!N345</f>
        <v>3.0606299749999999</v>
      </c>
      <c r="L621" s="6">
        <f>[1]Results!O345</f>
        <v>3.1158862740000002</v>
      </c>
      <c r="M621" s="6">
        <f>[1]Results!P345</f>
        <v>3.171929585</v>
      </c>
      <c r="N621" s="6">
        <f>[1]Results!Q345</f>
        <v>3.2271991400000002</v>
      </c>
      <c r="O621" s="6">
        <f>[1]Results!R345</f>
        <v>3.2801253099999998</v>
      </c>
      <c r="P621" s="6">
        <f>[1]Results!S345</f>
        <v>3.3310230590000001</v>
      </c>
      <c r="Q621" s="6">
        <f>[1]Results!T345</f>
        <v>3.379585397</v>
      </c>
      <c r="R621" s="6">
        <f>[1]Results!U345</f>
        <v>3.4252677600000001</v>
      </c>
      <c r="S621" s="6">
        <f>[1]Results!V345</f>
        <v>3.4680585559999999</v>
      </c>
      <c r="T621" s="6">
        <f>[1]Results!W345</f>
        <v>3.5084828400000001</v>
      </c>
      <c r="U621" s="6">
        <f>[1]Results!X345</f>
        <v>3.547488736</v>
      </c>
      <c r="V621" s="6">
        <f>[1]Results!Y345</f>
        <v>3.5862237769999998</v>
      </c>
      <c r="W621" s="6">
        <f>[1]Results!Z345</f>
        <v>3.6243311770000002</v>
      </c>
      <c r="X621" s="6">
        <f>[1]Results!AA345</f>
        <v>3.6630310270000002</v>
      </c>
      <c r="Y621" s="6">
        <f>[1]Results!AB345</f>
        <v>3.7037635359999999</v>
      </c>
      <c r="Z621" s="6">
        <f>[1]Results!AC345</f>
        <v>3.7464841199999999</v>
      </c>
      <c r="AA621" s="6">
        <f>[1]Results!AD345</f>
        <v>3.791198005</v>
      </c>
      <c r="AB621" s="6">
        <f>[1]Results!AE345</f>
        <v>3.8335392810000002</v>
      </c>
      <c r="AC621" s="6">
        <f>[1]Results!AF345</f>
        <v>3.875192084</v>
      </c>
      <c r="AD621" s="6">
        <f>[1]Results!AG345</f>
        <v>3.9175976929999998</v>
      </c>
      <c r="AE621" s="6">
        <f>[1]Results!AH345</f>
        <v>3.960302837</v>
      </c>
      <c r="AF621" s="6">
        <f>[1]Results!AI345</f>
        <v>4.0032372330000001</v>
      </c>
      <c r="AG621" s="6">
        <f>[1]Results!AJ345</f>
        <v>4.0466061870000001</v>
      </c>
      <c r="AH621" s="6">
        <f>[1]Results!AK345</f>
        <v>4.0906215389999998</v>
      </c>
      <c r="AI621" s="6">
        <f>[1]Results!AL345</f>
        <v>4.1353290810000001</v>
      </c>
      <c r="AJ621" s="6">
        <f>[1]Results!AM345</f>
        <v>4.1805704339999998</v>
      </c>
      <c r="AK621" s="6">
        <f>[1]Results!AN345</f>
        <v>4.2260549340000004</v>
      </c>
      <c r="AL621" s="6">
        <f>[1]Results!AO345</f>
        <v>4.2713045510000001</v>
      </c>
    </row>
    <row r="622" spans="1:38" x14ac:dyDescent="0.3">
      <c r="B622" s="6" t="str">
        <f>[1]Results!E347</f>
        <v>CF_toe_cbio_0</v>
      </c>
      <c r="C622" s="6">
        <f>[1]Results!F347</f>
        <v>8.0978191689999992</v>
      </c>
      <c r="D622" s="6">
        <f>[1]Results!G347</f>
        <v>8.107548907</v>
      </c>
      <c r="E622" s="6">
        <f>[1]Results!H347</f>
        <v>8.0997810759999993</v>
      </c>
      <c r="F622" s="6">
        <f>[1]Results!I347</f>
        <v>8.0947720620000005</v>
      </c>
      <c r="G622" s="6">
        <f>[1]Results!J347</f>
        <v>8.098023757</v>
      </c>
      <c r="H622" s="6">
        <f>[1]Results!K347</f>
        <v>8.1101865199999992</v>
      </c>
      <c r="I622" s="6">
        <f>[1]Results!L347</f>
        <v>8.1261623410000006</v>
      </c>
      <c r="J622" s="6">
        <f>[1]Results!M347</f>
        <v>8.1463557689999995</v>
      </c>
      <c r="K622" s="6">
        <f>[1]Results!N347</f>
        <v>8.1694113490000007</v>
      </c>
      <c r="L622" s="6">
        <f>[1]Results!O347</f>
        <v>8.1938989440000007</v>
      </c>
      <c r="M622" s="6">
        <f>[1]Results!P347</f>
        <v>8.2241117470000002</v>
      </c>
      <c r="N622" s="6">
        <f>[1]Results!Q347</f>
        <v>8.2509325459999996</v>
      </c>
      <c r="O622" s="6">
        <f>[1]Results!R347</f>
        <v>8.2765067349999999</v>
      </c>
      <c r="P622" s="6">
        <f>[1]Results!S347</f>
        <v>8.3014135929999995</v>
      </c>
      <c r="Q622" s="6">
        <f>[1]Results!T347</f>
        <v>8.3253948389999994</v>
      </c>
      <c r="R622" s="6">
        <f>[1]Results!U347</f>
        <v>8.3481344659999994</v>
      </c>
      <c r="S622" s="6">
        <f>[1]Results!V347</f>
        <v>8.3695322050000005</v>
      </c>
      <c r="T622" s="6">
        <f>[1]Results!W347</f>
        <v>8.3897673360000002</v>
      </c>
      <c r="U622" s="6">
        <f>[1]Results!X347</f>
        <v>8.4092443039999996</v>
      </c>
      <c r="V622" s="6">
        <f>[1]Results!Y347</f>
        <v>8.4284783480000005</v>
      </c>
      <c r="W622" s="6">
        <f>[1]Results!Z347</f>
        <v>8.4440651409999994</v>
      </c>
      <c r="X622" s="6">
        <f>[1]Results!AA347</f>
        <v>8.4627683069999993</v>
      </c>
      <c r="Y622" s="6">
        <f>[1]Results!AB347</f>
        <v>8.4833132209999995</v>
      </c>
      <c r="Z622" s="6">
        <f>[1]Results!AC347</f>
        <v>8.5052014959999998</v>
      </c>
      <c r="AA622" s="6">
        <f>[1]Results!AD347</f>
        <v>8.528468256</v>
      </c>
      <c r="AB622" s="6">
        <f>[1]Results!AE347</f>
        <v>8.5416925250000002</v>
      </c>
      <c r="AC622" s="6">
        <f>[1]Results!AF347</f>
        <v>8.5590781089999997</v>
      </c>
      <c r="AD622" s="6">
        <f>[1]Results!AG347</f>
        <v>8.5782110580000008</v>
      </c>
      <c r="AE622" s="6">
        <f>[1]Results!AH347</f>
        <v>8.5979919470000006</v>
      </c>
      <c r="AF622" s="6">
        <f>[1]Results!AI347</f>
        <v>8.6183759349999995</v>
      </c>
      <c r="AG622" s="6">
        <f>[1]Results!AJ347</f>
        <v>8.639551956</v>
      </c>
      <c r="AH622" s="6">
        <f>[1]Results!AK347</f>
        <v>8.6616408230000008</v>
      </c>
      <c r="AI622" s="6">
        <f>[1]Results!AL347</f>
        <v>8.6846156309999998</v>
      </c>
      <c r="AJ622" s="6">
        <f>[1]Results!AM347</f>
        <v>8.7083248060000003</v>
      </c>
      <c r="AK622" s="6">
        <f>[1]Results!AN347</f>
        <v>8.732562862</v>
      </c>
      <c r="AL622" s="6">
        <f>[1]Results!AO347</f>
        <v>8.7571482770000006</v>
      </c>
    </row>
    <row r="623" spans="1:38" x14ac:dyDescent="0.3">
      <c r="B623" s="6" t="str">
        <f>[1]Results!E350</f>
        <v>CF_toe_cote_0</v>
      </c>
      <c r="C623" s="6">
        <f>[1]Results!F350</f>
        <v>6.4750521230000002</v>
      </c>
      <c r="D623" s="6">
        <f>[1]Results!G350</f>
        <v>6.4796732119999998</v>
      </c>
      <c r="E623" s="6">
        <f>[1]Results!H350</f>
        <v>6.5028851369999998</v>
      </c>
      <c r="F623" s="6">
        <f>[1]Results!I350</f>
        <v>6.5544730749999998</v>
      </c>
      <c r="G623" s="6">
        <f>[1]Results!J350</f>
        <v>6.6372643910000004</v>
      </c>
      <c r="H623" s="6">
        <f>[1]Results!K350</f>
        <v>6.7532270289999996</v>
      </c>
      <c r="I623" s="6">
        <f>[1]Results!L350</f>
        <v>6.8918595549999999</v>
      </c>
      <c r="J623" s="6">
        <f>[1]Results!M350</f>
        <v>7.0552313729999998</v>
      </c>
      <c r="K623" s="6">
        <f>[1]Results!N350</f>
        <v>7.2344343789999996</v>
      </c>
      <c r="L623" s="6">
        <f>[1]Results!O350</f>
        <v>7.4202130310000003</v>
      </c>
      <c r="M623" s="6">
        <f>[1]Results!P350</f>
        <v>7.6135640320000002</v>
      </c>
      <c r="N623" s="6">
        <f>[1]Results!Q350</f>
        <v>7.798097587</v>
      </c>
      <c r="O623" s="6">
        <f>[1]Results!R350</f>
        <v>7.981220253</v>
      </c>
      <c r="P623" s="6">
        <f>[1]Results!S350</f>
        <v>8.1633787550000001</v>
      </c>
      <c r="Q623" s="6">
        <f>[1]Results!T350</f>
        <v>8.3415429759999995</v>
      </c>
      <c r="R623" s="6">
        <f>[1]Results!U350</f>
        <v>8.5120217030000003</v>
      </c>
      <c r="S623" s="6">
        <f>[1]Results!V350</f>
        <v>8.6721787199999998</v>
      </c>
      <c r="T623" s="6">
        <f>[1]Results!W350</f>
        <v>8.8214219249999992</v>
      </c>
      <c r="U623" s="6">
        <f>[1]Results!X350</f>
        <v>8.9613112400000006</v>
      </c>
      <c r="V623" s="6">
        <f>[1]Results!Y350</f>
        <v>9.0949285090000007</v>
      </c>
      <c r="W623" s="6">
        <f>[1]Results!Z350</f>
        <v>9.2197467910000004</v>
      </c>
      <c r="X623" s="6">
        <f>[1]Results!AA350</f>
        <v>9.3495828509999992</v>
      </c>
      <c r="Y623" s="6">
        <f>[1]Results!AB350</f>
        <v>9.4826031979999996</v>
      </c>
      <c r="Z623" s="6">
        <f>[1]Results!AC350</f>
        <v>9.6193754059999996</v>
      </c>
      <c r="AA623" s="6">
        <f>[1]Results!AD350</f>
        <v>9.7617726779999998</v>
      </c>
      <c r="AB623" s="6">
        <f>[1]Results!AE350</f>
        <v>9.8892191179999998</v>
      </c>
      <c r="AC623" s="6">
        <f>[1]Results!AF350</f>
        <v>10.033886130000001</v>
      </c>
      <c r="AD623" s="6">
        <f>[1]Results!AG350</f>
        <v>10.18244911</v>
      </c>
      <c r="AE623" s="6">
        <f>[1]Results!AH350</f>
        <v>10.33042262</v>
      </c>
      <c r="AF623" s="6">
        <f>[1]Results!AI350</f>
        <v>10.47846794</v>
      </c>
      <c r="AG623" s="6">
        <f>[1]Results!AJ350</f>
        <v>10.6287869</v>
      </c>
      <c r="AH623" s="6">
        <f>[1]Results!AK350</f>
        <v>10.783300499999999</v>
      </c>
      <c r="AI623" s="6">
        <f>[1]Results!AL350</f>
        <v>10.94276136</v>
      </c>
      <c r="AJ623" s="6">
        <f>[1]Results!AM350</f>
        <v>11.106610679999999</v>
      </c>
      <c r="AK623" s="6">
        <f>[1]Results!AN350</f>
        <v>11.273402389999999</v>
      </c>
      <c r="AL623" s="6">
        <f>[1]Results!AO350</f>
        <v>11.44149683</v>
      </c>
    </row>
    <row r="625" spans="1:38" x14ac:dyDescent="0.3">
      <c r="C625" s="2">
        <v>42005</v>
      </c>
      <c r="D625" s="2">
        <v>42370</v>
      </c>
      <c r="E625" s="2">
        <v>42736</v>
      </c>
      <c r="F625" s="2">
        <v>43101</v>
      </c>
      <c r="G625" s="2">
        <v>43466</v>
      </c>
      <c r="H625" s="2">
        <v>43831</v>
      </c>
      <c r="I625" s="2">
        <v>44197</v>
      </c>
      <c r="J625" s="2">
        <v>44562</v>
      </c>
      <c r="K625" s="2">
        <v>44927</v>
      </c>
      <c r="L625" s="2">
        <v>45292</v>
      </c>
      <c r="M625" s="2">
        <v>45658</v>
      </c>
      <c r="N625" s="2">
        <v>46023</v>
      </c>
      <c r="O625" s="2">
        <v>46388</v>
      </c>
      <c r="P625" s="2">
        <v>46753</v>
      </c>
      <c r="Q625" s="2">
        <v>47119</v>
      </c>
      <c r="R625" s="2">
        <v>47484</v>
      </c>
      <c r="S625" s="2">
        <v>47849</v>
      </c>
      <c r="T625" s="2">
        <v>48214</v>
      </c>
      <c r="U625" s="2">
        <v>48580</v>
      </c>
      <c r="V625" s="2">
        <v>48945</v>
      </c>
      <c r="W625" s="2">
        <v>49310</v>
      </c>
      <c r="X625" s="2">
        <v>49675</v>
      </c>
      <c r="Y625" s="2">
        <v>50041</v>
      </c>
      <c r="Z625" s="2">
        <v>50406</v>
      </c>
      <c r="AA625" s="2">
        <v>50771</v>
      </c>
      <c r="AB625" s="2">
        <v>51136</v>
      </c>
      <c r="AC625" s="2">
        <v>51502</v>
      </c>
      <c r="AD625" s="2">
        <v>51867</v>
      </c>
      <c r="AE625" s="2">
        <v>52232</v>
      </c>
      <c r="AF625" s="2">
        <v>52597</v>
      </c>
      <c r="AG625" s="2">
        <v>52963</v>
      </c>
      <c r="AH625" s="2">
        <v>53328</v>
      </c>
      <c r="AI625" s="2">
        <v>53693</v>
      </c>
      <c r="AJ625" s="2">
        <v>54058</v>
      </c>
      <c r="AK625" s="2">
        <v>54424</v>
      </c>
      <c r="AL625" s="2">
        <v>54789</v>
      </c>
    </row>
    <row r="626" spans="1:38" x14ac:dyDescent="0.3">
      <c r="A626" s="12" t="s">
        <v>67</v>
      </c>
      <c r="B626" t="s">
        <v>51</v>
      </c>
      <c r="C626" s="4">
        <f>C599/C612-1</f>
        <v>0</v>
      </c>
      <c r="D626" s="4">
        <f t="shared" ref="D626:AL626" si="118">D599/D612-1</f>
        <v>0</v>
      </c>
      <c r="E626" s="4">
        <f t="shared" si="118"/>
        <v>0</v>
      </c>
      <c r="F626" s="4">
        <f t="shared" si="118"/>
        <v>0</v>
      </c>
      <c r="G626" s="4">
        <f t="shared" si="118"/>
        <v>0</v>
      </c>
      <c r="H626" s="4">
        <f t="shared" si="118"/>
        <v>0</v>
      </c>
      <c r="I626" s="4">
        <f t="shared" si="118"/>
        <v>7.6276113176332316E-4</v>
      </c>
      <c r="J626" s="4">
        <f t="shared" si="118"/>
        <v>-5.9652132592502571E-4</v>
      </c>
      <c r="K626" s="4">
        <f t="shared" si="118"/>
        <v>-3.6915018841718883E-3</v>
      </c>
      <c r="L626" s="4">
        <f t="shared" si="118"/>
        <v>-8.2373163798986626E-3</v>
      </c>
      <c r="M626" s="4">
        <f t="shared" si="118"/>
        <v>-1.3856353204573679E-2</v>
      </c>
      <c r="N626" s="4">
        <f t="shared" si="118"/>
        <v>-2.0028260066619397E-2</v>
      </c>
      <c r="O626" s="4">
        <f t="shared" si="118"/>
        <v>-2.6039136249795924E-2</v>
      </c>
      <c r="P626" s="4">
        <f t="shared" si="118"/>
        <v>-3.1193052330288351E-2</v>
      </c>
      <c r="Q626" s="4">
        <f t="shared" si="118"/>
        <v>-3.4977000764127242E-2</v>
      </c>
      <c r="R626" s="4">
        <f t="shared" si="118"/>
        <v>-3.7208407740413563E-2</v>
      </c>
      <c r="S626" s="4">
        <f t="shared" si="118"/>
        <v>-3.79143933496634E-2</v>
      </c>
      <c r="T626" s="4">
        <f t="shared" si="118"/>
        <v>-3.7299557778007197E-2</v>
      </c>
      <c r="U626" s="4">
        <f t="shared" si="118"/>
        <v>-3.5674477535482918E-2</v>
      </c>
      <c r="V626" s="4">
        <f t="shared" si="118"/>
        <v>-3.3377793618382445E-2</v>
      </c>
      <c r="W626" s="4">
        <f t="shared" si="118"/>
        <v>-3.0735827530581128E-2</v>
      </c>
      <c r="X626" s="4">
        <f t="shared" si="118"/>
        <v>-2.7907084907673241E-2</v>
      </c>
      <c r="Y626" s="4">
        <f t="shared" si="118"/>
        <v>-2.5111490322252683E-2</v>
      </c>
      <c r="Z626" s="4">
        <f t="shared" si="118"/>
        <v>-2.2493668329110261E-2</v>
      </c>
      <c r="AA626" s="4">
        <f t="shared" si="118"/>
        <v>-2.0161223084084856E-2</v>
      </c>
      <c r="AB626" s="4">
        <f t="shared" si="118"/>
        <v>-1.822611001000829E-2</v>
      </c>
      <c r="AC626" s="4">
        <f t="shared" si="118"/>
        <v>-1.666201897313746E-2</v>
      </c>
      <c r="AD626" s="4">
        <f t="shared" si="118"/>
        <v>-1.5518114820161966E-2</v>
      </c>
      <c r="AE626" s="4">
        <f t="shared" si="118"/>
        <v>-1.4773375495960805E-2</v>
      </c>
      <c r="AF626" s="4">
        <f t="shared" si="118"/>
        <v>-1.4364168071969607E-2</v>
      </c>
      <c r="AG626" s="4">
        <f t="shared" si="118"/>
        <v>-1.4199125127039913E-2</v>
      </c>
      <c r="AH626" s="4">
        <f t="shared" si="118"/>
        <v>-1.4169790659214976E-2</v>
      </c>
      <c r="AI626" s="4">
        <f t="shared" si="118"/>
        <v>-1.4163728059423786E-2</v>
      </c>
      <c r="AJ626" s="4">
        <f t="shared" si="118"/>
        <v>-1.408764678337493E-2</v>
      </c>
      <c r="AK626" s="4">
        <f t="shared" si="118"/>
        <v>-1.3868698875049157E-2</v>
      </c>
      <c r="AL626" s="4">
        <f t="shared" si="118"/>
        <v>-1.3451058194900223E-2</v>
      </c>
    </row>
    <row r="627" spans="1:38" x14ac:dyDescent="0.3">
      <c r="A627" t="s">
        <v>62</v>
      </c>
      <c r="B627" t="s">
        <v>50</v>
      </c>
      <c r="C627" s="4">
        <f>(C600-C613)/C$612</f>
        <v>0</v>
      </c>
      <c r="D627" s="4">
        <f t="shared" ref="D627:AL627" si="119">(D600-D613)/D$612</f>
        <v>0</v>
      </c>
      <c r="E627" s="4">
        <f t="shared" si="119"/>
        <v>0</v>
      </c>
      <c r="F627" s="4">
        <f t="shared" si="119"/>
        <v>0</v>
      </c>
      <c r="G627" s="4">
        <f t="shared" si="119"/>
        <v>0</v>
      </c>
      <c r="H627" s="4">
        <f t="shared" si="119"/>
        <v>0</v>
      </c>
      <c r="I627" s="4">
        <f t="shared" si="119"/>
        <v>2.246868859513446E-4</v>
      </c>
      <c r="J627" s="4">
        <f t="shared" si="119"/>
        <v>3.7592664965184166E-4</v>
      </c>
      <c r="K627" s="4">
        <f t="shared" si="119"/>
        <v>5.081165784542646E-4</v>
      </c>
      <c r="L627" s="4">
        <f t="shared" si="119"/>
        <v>6.2939563476040964E-4</v>
      </c>
      <c r="M627" s="4">
        <f t="shared" si="119"/>
        <v>7.3786391536333001E-4</v>
      </c>
      <c r="N627" s="4">
        <f t="shared" si="119"/>
        <v>8.3137707893095108E-4</v>
      </c>
      <c r="O627" s="4">
        <f t="shared" si="119"/>
        <v>9.1109025291344749E-4</v>
      </c>
      <c r="P627" s="4">
        <f t="shared" si="119"/>
        <v>9.7588103516598856E-4</v>
      </c>
      <c r="Q627" s="4">
        <f t="shared" si="119"/>
        <v>1.0220283510057645E-3</v>
      </c>
      <c r="R627" s="4">
        <f t="shared" si="119"/>
        <v>1.0446854564937064E-3</v>
      </c>
      <c r="S627" s="4">
        <f t="shared" si="119"/>
        <v>1.0409422884099107E-3</v>
      </c>
      <c r="T627" s="4">
        <f t="shared" si="119"/>
        <v>1.0115621778504307E-3</v>
      </c>
      <c r="U627" s="4">
        <f t="shared" si="119"/>
        <v>9.6117570913438141E-4</v>
      </c>
      <c r="V627" s="4">
        <f t="shared" si="119"/>
        <v>8.9719755684945042E-4</v>
      </c>
      <c r="W627" s="4">
        <f t="shared" si="119"/>
        <v>8.2749258525851091E-4</v>
      </c>
      <c r="X627" s="4">
        <f t="shared" si="119"/>
        <v>7.6147052783430696E-4</v>
      </c>
      <c r="Y627" s="4">
        <f t="shared" si="119"/>
        <v>7.0404198747755174E-4</v>
      </c>
      <c r="Z627" s="4">
        <f t="shared" si="119"/>
        <v>6.5839183351732572E-4</v>
      </c>
      <c r="AA627" s="4">
        <f t="shared" si="119"/>
        <v>6.2554723554719238E-4</v>
      </c>
      <c r="AB627" s="4">
        <f t="shared" si="119"/>
        <v>6.0378893421518759E-4</v>
      </c>
      <c r="AC627" s="4">
        <f t="shared" si="119"/>
        <v>5.9322209471622197E-4</v>
      </c>
      <c r="AD627" s="4">
        <f t="shared" si="119"/>
        <v>5.9106290298218008E-4</v>
      </c>
      <c r="AE627" s="4">
        <f t="shared" si="119"/>
        <v>5.9503257469917682E-4</v>
      </c>
      <c r="AF627" s="4">
        <f t="shared" si="119"/>
        <v>6.0310860429367043E-4</v>
      </c>
      <c r="AG627" s="4">
        <f t="shared" si="119"/>
        <v>6.1332125424591328E-4</v>
      </c>
      <c r="AH627" s="4">
        <f t="shared" si="119"/>
        <v>6.2372776719507833E-4</v>
      </c>
      <c r="AI627" s="4">
        <f t="shared" si="119"/>
        <v>6.3251789239862448E-4</v>
      </c>
      <c r="AJ627" s="4">
        <f t="shared" si="119"/>
        <v>6.3811120509979003E-4</v>
      </c>
      <c r="AK627" s="4">
        <f t="shared" si="119"/>
        <v>6.3934331349522317E-4</v>
      </c>
      <c r="AL627" s="4">
        <f t="shared" si="119"/>
        <v>6.3564071202363822E-4</v>
      </c>
    </row>
    <row r="628" spans="1:38" x14ac:dyDescent="0.3">
      <c r="B628" t="s">
        <v>48</v>
      </c>
      <c r="C628" s="4">
        <f>(C601-C614)/C$612</f>
        <v>0</v>
      </c>
      <c r="D628" s="4">
        <f t="shared" ref="D628:AL628" si="120">(D601-D614)/D$612</f>
        <v>0</v>
      </c>
      <c r="E628" s="4">
        <f t="shared" si="120"/>
        <v>0</v>
      </c>
      <c r="F628" s="4">
        <f t="shared" si="120"/>
        <v>0</v>
      </c>
      <c r="G628" s="4">
        <f t="shared" si="120"/>
        <v>0</v>
      </c>
      <c r="H628" s="4">
        <f t="shared" si="120"/>
        <v>0</v>
      </c>
      <c r="I628" s="4">
        <f t="shared" si="120"/>
        <v>1.5017523201394791E-4</v>
      </c>
      <c r="J628" s="4">
        <f t="shared" si="120"/>
        <v>5.8593657240518251E-4</v>
      </c>
      <c r="K628" s="4">
        <f t="shared" si="120"/>
        <v>1.1561502290811912E-3</v>
      </c>
      <c r="L628" s="4">
        <f t="shared" si="120"/>
        <v>1.7362707139759888E-3</v>
      </c>
      <c r="M628" s="4">
        <f t="shared" si="120"/>
        <v>2.2455055137855168E-3</v>
      </c>
      <c r="N628" s="4">
        <f t="shared" si="120"/>
        <v>2.646637710803501E-3</v>
      </c>
      <c r="O628" s="4">
        <f t="shared" si="120"/>
        <v>2.9646918489523257E-3</v>
      </c>
      <c r="P628" s="4">
        <f t="shared" si="120"/>
        <v>3.2495717142102831E-3</v>
      </c>
      <c r="Q628" s="4">
        <f t="shared" si="120"/>
        <v>3.549184326795738E-3</v>
      </c>
      <c r="R628" s="4">
        <f t="shared" si="120"/>
        <v>3.8950945929881763E-3</v>
      </c>
      <c r="S628" s="4">
        <f t="shared" si="120"/>
        <v>4.2989021409036267E-3</v>
      </c>
      <c r="T628" s="4">
        <f t="shared" si="120"/>
        <v>4.7575771210943999E-3</v>
      </c>
      <c r="U628" s="4">
        <f t="shared" si="120"/>
        <v>5.2621977968902271E-3</v>
      </c>
      <c r="V628" s="4">
        <f t="shared" si="120"/>
        <v>5.8057274583438187E-3</v>
      </c>
      <c r="W628" s="4">
        <f t="shared" si="120"/>
        <v>6.3850377105320122E-3</v>
      </c>
      <c r="X628" s="4">
        <f t="shared" si="120"/>
        <v>7.0108095930992206E-3</v>
      </c>
      <c r="Y628" s="4">
        <f t="shared" si="120"/>
        <v>7.6871918153883839E-3</v>
      </c>
      <c r="Z628" s="4">
        <f t="shared" si="120"/>
        <v>8.4215722501746314E-3</v>
      </c>
      <c r="AA628" s="4">
        <f t="shared" si="120"/>
        <v>9.2177368377864503E-3</v>
      </c>
      <c r="AB628" s="4">
        <f t="shared" si="120"/>
        <v>1.0081688426951105E-2</v>
      </c>
      <c r="AC628" s="4">
        <f t="shared" si="120"/>
        <v>1.1000209614249756E-2</v>
      </c>
      <c r="AD628" s="4">
        <f t="shared" si="120"/>
        <v>1.1969879588404522E-2</v>
      </c>
      <c r="AE628" s="4">
        <f t="shared" si="120"/>
        <v>1.2987146410057564E-2</v>
      </c>
      <c r="AF628" s="4">
        <f t="shared" si="120"/>
        <v>1.4047022958101046E-2</v>
      </c>
      <c r="AG628" s="4">
        <f t="shared" si="120"/>
        <v>1.5144588638653575E-2</v>
      </c>
      <c r="AH628" s="4">
        <f t="shared" si="120"/>
        <v>1.6275571325247359E-2</v>
      </c>
      <c r="AI628" s="4">
        <f t="shared" si="120"/>
        <v>1.7436482183552052E-2</v>
      </c>
      <c r="AJ628" s="4">
        <f t="shared" si="120"/>
        <v>1.8624581467182925E-2</v>
      </c>
      <c r="AK628" s="4">
        <f t="shared" si="120"/>
        <v>1.9837511497382429E-2</v>
      </c>
      <c r="AL628" s="4">
        <f t="shared" si="120"/>
        <v>2.1072927471058458E-2</v>
      </c>
    </row>
    <row r="629" spans="1:38" x14ac:dyDescent="0.3">
      <c r="B629" t="s">
        <v>81</v>
      </c>
      <c r="C629" s="4">
        <f>(C605-C618)/C$612</f>
        <v>0</v>
      </c>
      <c r="D629" s="4">
        <f t="shared" ref="D629:AL629" si="121">(D605-D618)/D$612</f>
        <v>0</v>
      </c>
      <c r="E629" s="4">
        <f t="shared" si="121"/>
        <v>0</v>
      </c>
      <c r="F629" s="4">
        <f t="shared" si="121"/>
        <v>0</v>
      </c>
      <c r="G629" s="4">
        <f t="shared" si="121"/>
        <v>0</v>
      </c>
      <c r="H629" s="4">
        <f t="shared" si="121"/>
        <v>0</v>
      </c>
      <c r="I629" s="4">
        <f t="shared" si="121"/>
        <v>9.6135745048607919E-5</v>
      </c>
      <c r="J629" s="4">
        <f t="shared" si="121"/>
        <v>4.8052005217082003E-4</v>
      </c>
      <c r="K629" s="4">
        <f t="shared" si="121"/>
        <v>9.821120539403518E-4</v>
      </c>
      <c r="L629" s="4">
        <f t="shared" si="121"/>
        <v>1.447087982376383E-3</v>
      </c>
      <c r="M629" s="4">
        <f t="shared" si="121"/>
        <v>1.7691767734513096E-3</v>
      </c>
      <c r="N629" s="4">
        <f t="shared" si="121"/>
        <v>1.9018988952041981E-3</v>
      </c>
      <c r="O629" s="4">
        <f t="shared" si="121"/>
        <v>1.8659038160173335E-3</v>
      </c>
      <c r="P629" s="4">
        <f t="shared" si="121"/>
        <v>1.7215148747853834E-3</v>
      </c>
      <c r="Q629" s="4">
        <f t="shared" si="121"/>
        <v>1.5299494415694787E-3</v>
      </c>
      <c r="R629" s="4">
        <f t="shared" si="121"/>
        <v>1.3308568662306569E-3</v>
      </c>
      <c r="S629" s="4">
        <f t="shared" si="121"/>
        <v>1.1395765383993743E-3</v>
      </c>
      <c r="T629" s="4">
        <f t="shared" si="121"/>
        <v>9.5485642183741832E-4</v>
      </c>
      <c r="U629" s="4">
        <f t="shared" si="121"/>
        <v>7.7003871536142582E-4</v>
      </c>
      <c r="V629" s="4">
        <f t="shared" si="121"/>
        <v>5.8219671375114E-4</v>
      </c>
      <c r="W629" s="4">
        <f t="shared" si="121"/>
        <v>3.9237948392225431E-4</v>
      </c>
      <c r="X629" s="4">
        <f t="shared" si="121"/>
        <v>2.203933828905396E-4</v>
      </c>
      <c r="Y629" s="4">
        <f t="shared" si="121"/>
        <v>7.4013410584946966E-5</v>
      </c>
      <c r="Z629" s="4">
        <f t="shared" si="121"/>
        <v>-3.7909179801456532E-5</v>
      </c>
      <c r="AA629" s="4">
        <f t="shared" si="121"/>
        <v>-1.1153575158799488E-4</v>
      </c>
      <c r="AB629" s="4">
        <f t="shared" si="121"/>
        <v>-1.5490128627899775E-4</v>
      </c>
      <c r="AC629" s="4">
        <f t="shared" si="121"/>
        <v>-1.655639548565496E-4</v>
      </c>
      <c r="AD629" s="4">
        <f t="shared" si="121"/>
        <v>-1.59763501696542E-4</v>
      </c>
      <c r="AE629" s="4">
        <f t="shared" si="121"/>
        <v>-1.4924017539829558E-4</v>
      </c>
      <c r="AF629" s="4">
        <f t="shared" si="121"/>
        <v>-1.4205740418533422E-4</v>
      </c>
      <c r="AG629" s="4">
        <f t="shared" si="121"/>
        <v>-1.4299601433415739E-4</v>
      </c>
      <c r="AH629" s="4">
        <f t="shared" si="121"/>
        <v>-1.5446755928854187E-4</v>
      </c>
      <c r="AI629" s="4">
        <f t="shared" si="121"/>
        <v>-1.7753243296223987E-4</v>
      </c>
      <c r="AJ629" s="4">
        <f t="shared" si="121"/>
        <v>-2.1252930147382977E-4</v>
      </c>
      <c r="AK629" s="4">
        <f t="shared" si="121"/>
        <v>-2.5942251871561054E-4</v>
      </c>
      <c r="AL629" s="4">
        <f t="shared" si="121"/>
        <v>-3.1785171842406667E-4</v>
      </c>
    </row>
    <row r="630" spans="1:38" x14ac:dyDescent="0.3">
      <c r="B630" t="s">
        <v>11</v>
      </c>
      <c r="C630" s="4">
        <f>(C606-C619)/C$612</f>
        <v>0</v>
      </c>
      <c r="D630" s="4">
        <f t="shared" ref="D630:AL630" si="122">(D606-D619)/D$612</f>
        <v>0</v>
      </c>
      <c r="E630" s="4">
        <f t="shared" si="122"/>
        <v>0</v>
      </c>
      <c r="F630" s="4">
        <f t="shared" si="122"/>
        <v>0</v>
      </c>
      <c r="G630" s="4">
        <f t="shared" si="122"/>
        <v>0</v>
      </c>
      <c r="H630" s="4">
        <f t="shared" si="122"/>
        <v>0</v>
      </c>
      <c r="I630" s="4">
        <f t="shared" si="122"/>
        <v>2.0404098989082359E-4</v>
      </c>
      <c r="J630" s="4">
        <f t="shared" si="122"/>
        <v>-2.0558808204863112E-3</v>
      </c>
      <c r="K630" s="4">
        <f t="shared" si="122"/>
        <v>-6.1217309797668333E-3</v>
      </c>
      <c r="L630" s="4">
        <f t="shared" si="122"/>
        <v>-1.1426003586170548E-2</v>
      </c>
      <c r="M630" s="4">
        <f t="shared" si="122"/>
        <v>-1.7412161715722612E-2</v>
      </c>
      <c r="N630" s="4">
        <f t="shared" si="122"/>
        <v>-2.3510607494880834E-2</v>
      </c>
      <c r="O630" s="4">
        <f t="shared" si="122"/>
        <v>-2.9141036106543349E-2</v>
      </c>
      <c r="P630" s="4">
        <f t="shared" si="122"/>
        <v>-3.3815328750489204E-2</v>
      </c>
      <c r="Q630" s="4">
        <f t="shared" si="122"/>
        <v>-3.7206366702391303E-2</v>
      </c>
      <c r="R630" s="4">
        <f t="shared" si="122"/>
        <v>-3.9237954626129258E-2</v>
      </c>
      <c r="S630" s="4">
        <f t="shared" si="122"/>
        <v>-3.9968161191380289E-2</v>
      </c>
      <c r="T630" s="4">
        <f t="shared" si="122"/>
        <v>-3.9576979026337035E-2</v>
      </c>
      <c r="U630" s="4">
        <f t="shared" si="122"/>
        <v>-3.8326105966061431E-2</v>
      </c>
      <c r="V630" s="4">
        <f t="shared" si="122"/>
        <v>-3.6509070262351694E-2</v>
      </c>
      <c r="W630" s="4">
        <f t="shared" si="122"/>
        <v>-3.441664221095582E-2</v>
      </c>
      <c r="X630" s="4">
        <f t="shared" si="122"/>
        <v>-3.2230430511991016E-2</v>
      </c>
      <c r="Y630" s="4">
        <f t="shared" si="122"/>
        <v>-3.0160411799639426E-2</v>
      </c>
      <c r="Z630" s="4">
        <f t="shared" si="122"/>
        <v>-2.8355199247524901E-2</v>
      </c>
      <c r="AA630" s="4">
        <f t="shared" si="122"/>
        <v>-2.6919746332104179E-2</v>
      </c>
      <c r="AB630" s="4">
        <f t="shared" si="122"/>
        <v>-2.594711608078595E-2</v>
      </c>
      <c r="AC630" s="4">
        <f t="shared" si="122"/>
        <v>-2.5406918711830873E-2</v>
      </c>
      <c r="AD630" s="4">
        <f t="shared" si="122"/>
        <v>-2.5315302832237496E-2</v>
      </c>
      <c r="AE630" s="4">
        <f t="shared" si="122"/>
        <v>-2.5633006855652493E-2</v>
      </c>
      <c r="AF630" s="4">
        <f t="shared" si="122"/>
        <v>-2.6286418176227087E-2</v>
      </c>
      <c r="AG630" s="4">
        <f t="shared" si="122"/>
        <v>-2.7181641071455553E-2</v>
      </c>
      <c r="AH630" s="4">
        <f t="shared" si="122"/>
        <v>-2.8213395305793611E-2</v>
      </c>
      <c r="AI630" s="4">
        <f t="shared" si="122"/>
        <v>-2.9275587328838594E-2</v>
      </c>
      <c r="AJ630" s="4">
        <f t="shared" si="122"/>
        <v>-3.0281111897194554E-2</v>
      </c>
      <c r="AK630" s="4">
        <f t="shared" si="122"/>
        <v>-3.1162285825463095E-2</v>
      </c>
      <c r="AL630" s="4">
        <f t="shared" si="122"/>
        <v>-3.186749098487697E-2</v>
      </c>
    </row>
    <row r="631" spans="1:38" x14ac:dyDescent="0.3">
      <c r="B631" t="s">
        <v>49</v>
      </c>
      <c r="C631" s="4">
        <f>(C607-C620)/C$612</f>
        <v>0</v>
      </c>
      <c r="D631" s="4">
        <f t="shared" ref="D631:AL631" si="123">(D607-D620)/D$612</f>
        <v>0</v>
      </c>
      <c r="E631" s="4">
        <f t="shared" si="123"/>
        <v>0</v>
      </c>
      <c r="F631" s="4">
        <f t="shared" si="123"/>
        <v>0</v>
      </c>
      <c r="G631" s="4">
        <f t="shared" si="123"/>
        <v>0</v>
      </c>
      <c r="H631" s="4">
        <f t="shared" si="123"/>
        <v>0</v>
      </c>
      <c r="I631" s="4">
        <f t="shared" si="123"/>
        <v>8.7722035827333489E-5</v>
      </c>
      <c r="J631" s="4">
        <f t="shared" si="123"/>
        <v>1.6976365575380116E-5</v>
      </c>
      <c r="K631" s="4">
        <f t="shared" si="123"/>
        <v>-2.1614982817231274E-4</v>
      </c>
      <c r="L631" s="4">
        <f t="shared" si="123"/>
        <v>-6.2406730298295639E-4</v>
      </c>
      <c r="M631" s="4">
        <f t="shared" si="123"/>
        <v>-1.1967375703794822E-3</v>
      </c>
      <c r="N631" s="4">
        <f t="shared" si="123"/>
        <v>-1.8975664239072446E-3</v>
      </c>
      <c r="O631" s="4">
        <f t="shared" si="123"/>
        <v>-2.6397856130803208E-3</v>
      </c>
      <c r="P631" s="4">
        <f t="shared" si="123"/>
        <v>-3.3246913611563824E-3</v>
      </c>
      <c r="Q631" s="4">
        <f t="shared" si="123"/>
        <v>-3.8717957438730083E-3</v>
      </c>
      <c r="R631" s="4">
        <f t="shared" si="123"/>
        <v>-4.2410902689452986E-3</v>
      </c>
      <c r="S631" s="4">
        <f t="shared" si="123"/>
        <v>-4.42565314288815E-3</v>
      </c>
      <c r="T631" s="4">
        <f t="shared" si="123"/>
        <v>-4.446574388801033E-3</v>
      </c>
      <c r="U631" s="4">
        <f t="shared" si="123"/>
        <v>-4.3417841776583841E-3</v>
      </c>
      <c r="V631" s="4">
        <f t="shared" si="123"/>
        <v>-4.1538446686194934E-3</v>
      </c>
      <c r="W631" s="4">
        <f t="shared" si="123"/>
        <v>-3.9240948384785534E-3</v>
      </c>
      <c r="X631" s="4">
        <f t="shared" si="123"/>
        <v>-3.6693279318363707E-3</v>
      </c>
      <c r="Y631" s="4">
        <f t="shared" si="123"/>
        <v>-3.4163260245016233E-3</v>
      </c>
      <c r="Z631" s="4">
        <f t="shared" si="123"/>
        <v>-3.1805239960636294E-3</v>
      </c>
      <c r="AA631" s="4">
        <f t="shared" si="123"/>
        <v>-2.9732253150149155E-3</v>
      </c>
      <c r="AB631" s="4">
        <f t="shared" si="123"/>
        <v>-2.8095699468502107E-3</v>
      </c>
      <c r="AC631" s="4">
        <f t="shared" si="123"/>
        <v>-2.6829678451253803E-3</v>
      </c>
      <c r="AD631" s="4">
        <f t="shared" si="123"/>
        <v>-2.6039911668638404E-3</v>
      </c>
      <c r="AE631" s="4">
        <f t="shared" si="123"/>
        <v>-2.5733071200898404E-3</v>
      </c>
      <c r="AF631" s="4">
        <f t="shared" si="123"/>
        <v>-2.5858237824934621E-3</v>
      </c>
      <c r="AG631" s="4">
        <f t="shared" si="123"/>
        <v>-2.6323977347799481E-3</v>
      </c>
      <c r="AH631" s="4">
        <f t="shared" si="123"/>
        <v>-2.7012268915170634E-3</v>
      </c>
      <c r="AI631" s="4">
        <f t="shared" si="123"/>
        <v>-2.7796086185567881E-3</v>
      </c>
      <c r="AJ631" s="4">
        <f t="shared" si="123"/>
        <v>-2.856698665058709E-3</v>
      </c>
      <c r="AK631" s="4">
        <f t="shared" si="123"/>
        <v>-2.9238451538832733E-3</v>
      </c>
      <c r="AL631" s="4">
        <f t="shared" si="123"/>
        <v>-2.9742837845572801E-3</v>
      </c>
    </row>
    <row r="633" spans="1:38" x14ac:dyDescent="0.3">
      <c r="A633" s="12" t="s">
        <v>68</v>
      </c>
      <c r="B633" s="3" t="str">
        <f>[1]Results!E205</f>
        <v>YG_toe_2</v>
      </c>
      <c r="C633" s="3">
        <f>[1]Results!F205</f>
        <v>142.04533290000001</v>
      </c>
      <c r="D633" s="3">
        <f>[1]Results!G205</f>
        <v>144.63732590000001</v>
      </c>
      <c r="E633" s="3">
        <f>[1]Results!H205</f>
        <v>146.84059629999999</v>
      </c>
      <c r="F633" s="3">
        <f>[1]Results!I205</f>
        <v>149.1046838</v>
      </c>
      <c r="G633" s="3">
        <f>[1]Results!J205</f>
        <v>151.5691272</v>
      </c>
      <c r="H633" s="3">
        <f>[1]Results!K205</f>
        <v>154.2748953</v>
      </c>
      <c r="I633" s="3">
        <f>[1]Results!L205</f>
        <v>158.3902372</v>
      </c>
      <c r="J633" s="3">
        <f>[1]Results!M205</f>
        <v>160.933153</v>
      </c>
      <c r="K633" s="3">
        <f>[1]Results!N205</f>
        <v>162.96178950000001</v>
      </c>
      <c r="L633" s="3">
        <f>[1]Results!O205</f>
        <v>164.6276384</v>
      </c>
      <c r="M633" s="3">
        <f>[1]Results!P205</f>
        <v>166.15058049999999</v>
      </c>
      <c r="N633" s="3">
        <f>[1]Results!Q205</f>
        <v>167.40760399999999</v>
      </c>
      <c r="O633" s="3">
        <f>[1]Results!R205</f>
        <v>168.637957</v>
      </c>
      <c r="P633" s="3">
        <f>[1]Results!S205</f>
        <v>169.98106290000001</v>
      </c>
      <c r="Q633" s="3">
        <f>[1]Results!T205</f>
        <v>171.52410180000001</v>
      </c>
      <c r="R633" s="3">
        <f>[1]Results!U205</f>
        <v>173.29023799999999</v>
      </c>
      <c r="S633" s="3">
        <f>[1]Results!V205</f>
        <v>175.28183749999999</v>
      </c>
      <c r="T633" s="3">
        <f>[1]Results!W205</f>
        <v>177.48470259999999</v>
      </c>
      <c r="U633" s="3">
        <f>[1]Results!X205</f>
        <v>179.8752739</v>
      </c>
      <c r="V633" s="3">
        <f>[1]Results!Y205</f>
        <v>182.4268343</v>
      </c>
      <c r="W633" s="3">
        <f>[1]Results!Z205</f>
        <v>185.0054653</v>
      </c>
      <c r="X633" s="3">
        <f>[1]Results!AA205</f>
        <v>187.76582869999999</v>
      </c>
      <c r="Y633" s="3">
        <f>[1]Results!AB205</f>
        <v>190.60846789999999</v>
      </c>
      <c r="Z633" s="3">
        <f>[1]Results!AC205</f>
        <v>193.49734749999999</v>
      </c>
      <c r="AA633" s="3">
        <f>[1]Results!AD205</f>
        <v>196.40679489999999</v>
      </c>
      <c r="AB633" s="3">
        <f>[1]Results!AE205</f>
        <v>198.9782841</v>
      </c>
      <c r="AC633" s="3">
        <f>[1]Results!AF205</f>
        <v>201.62291640000001</v>
      </c>
      <c r="AD633" s="3">
        <f>[1]Results!AG205</f>
        <v>204.18495669999999</v>
      </c>
      <c r="AE633" s="3">
        <f>[1]Results!AH205</f>
        <v>206.63786949999999</v>
      </c>
      <c r="AF633" s="3">
        <f>[1]Results!AI205</f>
        <v>208.99465900000001</v>
      </c>
      <c r="AG633" s="3">
        <f>[1]Results!AJ205</f>
        <v>211.28799459999999</v>
      </c>
      <c r="AH633" s="3">
        <f>[1]Results!AK205</f>
        <v>213.55635280000001</v>
      </c>
      <c r="AI633" s="3">
        <f>[1]Results!AL205</f>
        <v>215.834</v>
      </c>
      <c r="AJ633" s="3">
        <f>[1]Results!AM205</f>
        <v>218.1428051</v>
      </c>
      <c r="AK633" s="3">
        <f>[1]Results!AN205</f>
        <v>220.49430340000001</v>
      </c>
      <c r="AL633" s="3">
        <f>[1]Results!AO205</f>
        <v>222.89301399999999</v>
      </c>
    </row>
    <row r="634" spans="1:38" x14ac:dyDescent="0.3">
      <c r="A634" t="s">
        <v>27</v>
      </c>
      <c r="B634" s="3" t="str">
        <f>[1]Results!E206</f>
        <v>YG_toe_ccoa_2</v>
      </c>
      <c r="C634" s="3">
        <f>[1]Results!F206</f>
        <v>2.2573637390000001</v>
      </c>
      <c r="D634" s="3">
        <f>[1]Results!G206</f>
        <v>1.6353352569999999</v>
      </c>
      <c r="E634" s="3">
        <f>[1]Results!H206</f>
        <v>1.119558928</v>
      </c>
      <c r="F634" s="3">
        <f>[1]Results!I206</f>
        <v>0.70402733500000003</v>
      </c>
      <c r="G634" s="3">
        <f>[1]Results!J206</f>
        <v>0.37152696699999999</v>
      </c>
      <c r="H634" s="3">
        <f>[1]Results!K206</f>
        <v>0.10505353470000001</v>
      </c>
      <c r="I634" s="3">
        <f>[1]Results!L206</f>
        <v>-0.101620223</v>
      </c>
      <c r="J634" s="3">
        <f>[1]Results!M206</f>
        <v>-0.27469626850000001</v>
      </c>
      <c r="K634" s="3">
        <f>[1]Results!N206</f>
        <v>-0.41748059939999999</v>
      </c>
      <c r="L634" s="3">
        <f>[1]Results!O206</f>
        <v>-0.53616366100000001</v>
      </c>
      <c r="M634" s="3">
        <f>[1]Results!P206</f>
        <v>-0.64317329249999999</v>
      </c>
      <c r="N634" s="3">
        <f>[1]Results!Q206</f>
        <v>-0.72656207620000002</v>
      </c>
      <c r="O634" s="3">
        <f>[1]Results!R206</f>
        <v>-0.79781537359999999</v>
      </c>
      <c r="P634" s="3">
        <f>[1]Results!S206</f>
        <v>-0.85998122340000005</v>
      </c>
      <c r="Q634" s="3">
        <f>[1]Results!T206</f>
        <v>-0.91409224229999997</v>
      </c>
      <c r="R634" s="3">
        <f>[1]Results!U206</f>
        <v>-0.96105758139999997</v>
      </c>
      <c r="S634" s="3">
        <f>[1]Results!V206</f>
        <v>-1.0019287619999999</v>
      </c>
      <c r="T634" s="3">
        <f>[1]Results!W206</f>
        <v>-1.03786296</v>
      </c>
      <c r="U634" s="3">
        <f>[1]Results!X206</f>
        <v>-1.0700093740000001</v>
      </c>
      <c r="V634" s="3">
        <f>[1]Results!Y206</f>
        <v>-1.0993992880000001</v>
      </c>
      <c r="W634" s="3">
        <f>[1]Results!Z206</f>
        <v>-1.1217340490000001</v>
      </c>
      <c r="X634" s="3">
        <f>[1]Results!AA206</f>
        <v>-1.1490731540000001</v>
      </c>
      <c r="Y634" s="3">
        <f>[1]Results!AB206</f>
        <v>-1.1760247539999999</v>
      </c>
      <c r="Z634" s="3">
        <f>[1]Results!AC206</f>
        <v>-1.201965908</v>
      </c>
      <c r="AA634" s="3">
        <f>[1]Results!AD206</f>
        <v>-1.2273310449999999</v>
      </c>
      <c r="AB634" s="3">
        <f>[1]Results!AE206</f>
        <v>-1.237647757</v>
      </c>
      <c r="AC634" s="3">
        <f>[1]Results!AF206</f>
        <v>-1.2599761709999999</v>
      </c>
      <c r="AD634" s="3">
        <f>[1]Results!AG206</f>
        <v>-1.2849712120000001</v>
      </c>
      <c r="AE634" s="3">
        <f>[1]Results!AH206</f>
        <v>-1.310490207</v>
      </c>
      <c r="AF634" s="3">
        <f>[1]Results!AI206</f>
        <v>-1.336460786</v>
      </c>
      <c r="AG634" s="3">
        <f>[1]Results!AJ206</f>
        <v>-1.3629849590000001</v>
      </c>
      <c r="AH634" s="3">
        <f>[1]Results!AK206</f>
        <v>-1.3900283339999999</v>
      </c>
      <c r="AI634" s="3">
        <f>[1]Results!AL206</f>
        <v>-1.4174777409999999</v>
      </c>
      <c r="AJ634" s="3">
        <f>[1]Results!AM206</f>
        <v>-1.445235475</v>
      </c>
      <c r="AK634" s="3">
        <f>[1]Results!AN206</f>
        <v>-1.4732672630000001</v>
      </c>
      <c r="AL634" s="3">
        <f>[1]Results!AO206</f>
        <v>-1.50160399</v>
      </c>
    </row>
    <row r="635" spans="1:38" x14ac:dyDescent="0.3">
      <c r="B635" s="3" t="s">
        <v>48</v>
      </c>
      <c r="C635" s="3">
        <f>SUM(C636:C638)</f>
        <v>60.596774518000004</v>
      </c>
      <c r="D635" s="3">
        <f t="shared" ref="D635:AL635" si="124">SUM(D636:D638)</f>
        <v>61.7646136539</v>
      </c>
      <c r="E635" s="3">
        <f t="shared" si="124"/>
        <v>62.779107520699995</v>
      </c>
      <c r="F635" s="3">
        <f t="shared" si="124"/>
        <v>63.740551851399999</v>
      </c>
      <c r="G635" s="3">
        <f t="shared" si="124"/>
        <v>64.696627038499997</v>
      </c>
      <c r="H635" s="3">
        <f t="shared" si="124"/>
        <v>65.665005962599992</v>
      </c>
      <c r="I635" s="3">
        <f t="shared" si="124"/>
        <v>66.739023774200007</v>
      </c>
      <c r="J635" s="3">
        <f t="shared" si="124"/>
        <v>67.732544254499999</v>
      </c>
      <c r="K635" s="3">
        <f t="shared" si="124"/>
        <v>68.721047607699987</v>
      </c>
      <c r="L635" s="3">
        <f t="shared" si="124"/>
        <v>69.700606290999986</v>
      </c>
      <c r="M635" s="3">
        <f t="shared" si="124"/>
        <v>70.743252677000001</v>
      </c>
      <c r="N635" s="3">
        <f t="shared" si="124"/>
        <v>71.691759952599995</v>
      </c>
      <c r="O635" s="3">
        <f t="shared" si="124"/>
        <v>72.630724092299999</v>
      </c>
      <c r="P635" s="3">
        <f t="shared" si="124"/>
        <v>73.570143559300007</v>
      </c>
      <c r="Q635" s="3">
        <f t="shared" si="124"/>
        <v>74.513911630999999</v>
      </c>
      <c r="R635" s="3">
        <f t="shared" si="124"/>
        <v>75.462454751400003</v>
      </c>
      <c r="S635" s="3">
        <f t="shared" si="124"/>
        <v>76.414527170099987</v>
      </c>
      <c r="T635" s="3">
        <f t="shared" si="124"/>
        <v>77.368454442299992</v>
      </c>
      <c r="U635" s="3">
        <f t="shared" si="124"/>
        <v>78.3232136755</v>
      </c>
      <c r="V635" s="3">
        <f t="shared" si="124"/>
        <v>79.278991037599994</v>
      </c>
      <c r="W635" s="3">
        <f t="shared" si="124"/>
        <v>80.176171860599993</v>
      </c>
      <c r="X635" s="3">
        <f t="shared" si="124"/>
        <v>81.134436648100007</v>
      </c>
      <c r="Y635" s="3">
        <f t="shared" si="124"/>
        <v>82.099582085600005</v>
      </c>
      <c r="Z635" s="3">
        <f t="shared" si="124"/>
        <v>83.070897566900001</v>
      </c>
      <c r="AA635" s="3">
        <f t="shared" si="124"/>
        <v>84.050438596600003</v>
      </c>
      <c r="AB635" s="3">
        <f t="shared" si="124"/>
        <v>84.8587726648</v>
      </c>
      <c r="AC635" s="3">
        <f t="shared" si="124"/>
        <v>85.765688572999991</v>
      </c>
      <c r="AD635" s="3">
        <f t="shared" si="124"/>
        <v>86.676405059800004</v>
      </c>
      <c r="AE635" s="3">
        <f t="shared" si="124"/>
        <v>87.584330285600004</v>
      </c>
      <c r="AF635" s="3">
        <f t="shared" si="124"/>
        <v>88.49105160469999</v>
      </c>
      <c r="AG635" s="3">
        <f t="shared" si="124"/>
        <v>89.399869420000002</v>
      </c>
      <c r="AH635" s="3">
        <f t="shared" si="124"/>
        <v>90.313670762000001</v>
      </c>
      <c r="AI635" s="3">
        <f t="shared" si="124"/>
        <v>91.234063929600012</v>
      </c>
      <c r="AJ635" s="3">
        <f t="shared" si="124"/>
        <v>92.161186340200018</v>
      </c>
      <c r="AK635" s="3">
        <f t="shared" si="124"/>
        <v>93.094134662200005</v>
      </c>
      <c r="AL635" s="3">
        <f t="shared" si="124"/>
        <v>94.031600453300001</v>
      </c>
    </row>
    <row r="636" spans="1:38" x14ac:dyDescent="0.3">
      <c r="B636" s="3" t="str">
        <f>[1]Results!E209</f>
        <v>YG_toe_ccoi_2</v>
      </c>
      <c r="C636" s="3">
        <f>[1]Results!F209</f>
        <v>1.2014586460000001</v>
      </c>
      <c r="D636" s="3">
        <f>[1]Results!G209</f>
        <v>0.96353369389999999</v>
      </c>
      <c r="E636" s="3">
        <f>[1]Results!H209</f>
        <v>0.77319698469999998</v>
      </c>
      <c r="F636" s="3">
        <f>[1]Results!I209</f>
        <v>0.62094703340000001</v>
      </c>
      <c r="G636" s="3">
        <f>[1]Results!J209</f>
        <v>0.49917610950000002</v>
      </c>
      <c r="H636" s="3">
        <f>[1]Results!K209</f>
        <v>0.40179277260000001</v>
      </c>
      <c r="I636" s="3">
        <f>[1]Results!L209</f>
        <v>0.3239347072</v>
      </c>
      <c r="J636" s="3">
        <f>[1]Results!M209</f>
        <v>0.26167395850000003</v>
      </c>
      <c r="K636" s="3">
        <f>[1]Results!N209</f>
        <v>0.21189630370000001</v>
      </c>
      <c r="L636" s="3">
        <f>[1]Results!O209</f>
        <v>0.17210393099999999</v>
      </c>
      <c r="M636" s="3">
        <f>[1]Results!P209</f>
        <v>0.14030680500000001</v>
      </c>
      <c r="N636" s="3">
        <f>[1]Results!Q209</f>
        <v>0.1148899226</v>
      </c>
      <c r="O636" s="3">
        <f>[1]Results!R209</f>
        <v>9.4582189299999994E-2</v>
      </c>
      <c r="P636" s="3">
        <f>[1]Results!S209</f>
        <v>7.8364732300000003E-2</v>
      </c>
      <c r="Q636" s="3">
        <f>[1]Results!T209</f>
        <v>6.5420766000000005E-2</v>
      </c>
      <c r="R636" s="3">
        <f>[1]Results!U209</f>
        <v>5.50960344E-2</v>
      </c>
      <c r="S636" s="3">
        <f>[1]Results!V209</f>
        <v>4.6866598099999997E-2</v>
      </c>
      <c r="T636" s="3">
        <f>[1]Results!W209</f>
        <v>4.0313002299999998E-2</v>
      </c>
      <c r="U636" s="3">
        <f>[1]Results!X209</f>
        <v>3.5099631499999999E-2</v>
      </c>
      <c r="V636" s="3">
        <f>[1]Results!Y209</f>
        <v>3.0958137600000001E-2</v>
      </c>
      <c r="W636" s="3">
        <f>[1]Results!Z209</f>
        <v>2.7666665600000001E-2</v>
      </c>
      <c r="X636" s="3">
        <f>[1]Results!AA209</f>
        <v>2.5066373100000001E-2</v>
      </c>
      <c r="Y636" s="3">
        <f>[1]Results!AB209</f>
        <v>2.3016358600000002E-2</v>
      </c>
      <c r="Z636" s="3">
        <f>[1]Results!AC209</f>
        <v>2.14056049E-2</v>
      </c>
      <c r="AA636" s="3">
        <f>[1]Results!AD209</f>
        <v>2.0146424600000001E-2</v>
      </c>
      <c r="AB636" s="3">
        <f>[1]Results!AE209</f>
        <v>1.9146420800000001E-2</v>
      </c>
      <c r="AC636" s="3">
        <f>[1]Results!AF209</f>
        <v>1.8377925E-2</v>
      </c>
      <c r="AD636" s="3">
        <f>[1]Results!AG209</f>
        <v>1.7790049799999999E-2</v>
      </c>
      <c r="AE636" s="3">
        <f>[1]Results!AH209</f>
        <v>1.73440266E-2</v>
      </c>
      <c r="AF636" s="3">
        <f>[1]Results!AI209</f>
        <v>1.7011111700000001E-2</v>
      </c>
      <c r="AG636" s="3">
        <f>[1]Results!AJ209</f>
        <v>1.6769017000000001E-2</v>
      </c>
      <c r="AH636" s="3">
        <f>[1]Results!AK209</f>
        <v>1.6600047E-2</v>
      </c>
      <c r="AI636" s="3">
        <f>[1]Results!AL209</f>
        <v>1.6489903600000001E-2</v>
      </c>
      <c r="AJ636" s="3">
        <f>[1]Results!AM209</f>
        <v>1.64268812E-2</v>
      </c>
      <c r="AK636" s="3">
        <f>[1]Results!AN209</f>
        <v>1.6401360199999999E-2</v>
      </c>
      <c r="AL636" s="3">
        <f>[1]Results!AO209</f>
        <v>1.64054813E-2</v>
      </c>
    </row>
    <row r="637" spans="1:38" x14ac:dyDescent="0.3">
      <c r="B637" s="3" t="str">
        <f>[1]Results!E212</f>
        <v>YG_toe_cfut_2</v>
      </c>
      <c r="C637" s="3">
        <f>[1]Results!F212</f>
        <v>54.383138070000001</v>
      </c>
      <c r="D637" s="3">
        <f>[1]Results!G212</f>
        <v>55.89867323</v>
      </c>
      <c r="E637" s="3">
        <f>[1]Results!H212</f>
        <v>57.201141829999997</v>
      </c>
      <c r="F637" s="3">
        <f>[1]Results!I212</f>
        <v>58.393038320000002</v>
      </c>
      <c r="G637" s="3">
        <f>[1]Results!J212</f>
        <v>59.52874138</v>
      </c>
      <c r="H637" s="3">
        <f>[1]Results!K212</f>
        <v>60.633573949999999</v>
      </c>
      <c r="I637" s="3">
        <f>[1]Results!L212</f>
        <v>61.803635880000002</v>
      </c>
      <c r="J637" s="3">
        <f>[1]Results!M212</f>
        <v>62.866630399999998</v>
      </c>
      <c r="K637" s="3">
        <f>[1]Results!N212</f>
        <v>63.901704709999997</v>
      </c>
      <c r="L637" s="3">
        <f>[1]Results!O212</f>
        <v>64.911630459999998</v>
      </c>
      <c r="M637" s="3">
        <f>[1]Results!P212</f>
        <v>65.969310140000005</v>
      </c>
      <c r="N637" s="3">
        <f>[1]Results!Q212</f>
        <v>66.931036809999995</v>
      </c>
      <c r="O637" s="3">
        <f>[1]Results!R212</f>
        <v>67.878422569999998</v>
      </c>
      <c r="P637" s="3">
        <f>[1]Results!S212</f>
        <v>68.821657729999998</v>
      </c>
      <c r="Q637" s="3">
        <f>[1]Results!T212</f>
        <v>69.765120809999999</v>
      </c>
      <c r="R637" s="3">
        <f>[1]Results!U212</f>
        <v>70.709936990000003</v>
      </c>
      <c r="S637" s="3">
        <f>[1]Results!V212</f>
        <v>71.655686779999996</v>
      </c>
      <c r="T637" s="3">
        <f>[1]Results!W212</f>
        <v>72.601479179999998</v>
      </c>
      <c r="U637" s="3">
        <f>[1]Results!X212</f>
        <v>73.546866030000004</v>
      </c>
      <c r="V637" s="3">
        <f>[1]Results!Y212</f>
        <v>74.492319100000003</v>
      </c>
      <c r="W637" s="3">
        <f>[1]Results!Z212</f>
        <v>75.381597139999997</v>
      </c>
      <c r="X637" s="3">
        <f>[1]Results!AA212</f>
        <v>76.327738670000002</v>
      </c>
      <c r="Y637" s="3">
        <f>[1]Results!AB212</f>
        <v>77.279436869999998</v>
      </c>
      <c r="Z637" s="3">
        <f>[1]Results!AC212</f>
        <v>78.236113950000004</v>
      </c>
      <c r="AA637" s="3">
        <f>[1]Results!AD212</f>
        <v>79.199632379999997</v>
      </c>
      <c r="AB637" s="3">
        <f>[1]Results!AE212</f>
        <v>80.000460070000003</v>
      </c>
      <c r="AC637" s="3">
        <f>[1]Results!AF212</f>
        <v>80.893043809999995</v>
      </c>
      <c r="AD637" s="3">
        <f>[1]Results!AG212</f>
        <v>81.788442610000004</v>
      </c>
      <c r="AE637" s="3">
        <f>[1]Results!AH212</f>
        <v>82.680945539999996</v>
      </c>
      <c r="AF637" s="3">
        <f>[1]Results!AI212</f>
        <v>83.572076499999994</v>
      </c>
      <c r="AG637" s="3">
        <f>[1]Results!AJ212</f>
        <v>84.464838830000005</v>
      </c>
      <c r="AH637" s="3">
        <f>[1]Results!AK212</f>
        <v>85.361834889999997</v>
      </c>
      <c r="AI637" s="3">
        <f>[1]Results!AL212</f>
        <v>86.264524100000003</v>
      </c>
      <c r="AJ637" s="3">
        <f>[1]Results!AM212</f>
        <v>87.173063440000007</v>
      </c>
      <c r="AK637" s="3">
        <f>[1]Results!AN212</f>
        <v>88.086691610000003</v>
      </c>
      <c r="AL637" s="3">
        <f>[1]Results!AO212</f>
        <v>89.004282540000005</v>
      </c>
    </row>
    <row r="638" spans="1:38" x14ac:dyDescent="0.3">
      <c r="B638" s="3" t="str">
        <f>[1]Results!E215</f>
        <v>YG_toe_cfuh_2</v>
      </c>
      <c r="C638" s="3">
        <f>[1]Results!F215</f>
        <v>5.0121778020000001</v>
      </c>
      <c r="D638" s="3">
        <f>[1]Results!G215</f>
        <v>4.90240673</v>
      </c>
      <c r="E638" s="3">
        <f>[1]Results!H215</f>
        <v>4.8047687059999999</v>
      </c>
      <c r="F638" s="3">
        <f>[1]Results!I215</f>
        <v>4.7265664980000004</v>
      </c>
      <c r="G638" s="3">
        <f>[1]Results!J215</f>
        <v>4.6687095489999999</v>
      </c>
      <c r="H638" s="3">
        <f>[1]Results!K215</f>
        <v>4.6296392400000004</v>
      </c>
      <c r="I638" s="3">
        <f>[1]Results!L215</f>
        <v>4.6114531870000004</v>
      </c>
      <c r="J638" s="3">
        <f>[1]Results!M215</f>
        <v>4.6042398960000002</v>
      </c>
      <c r="K638" s="3">
        <f>[1]Results!N215</f>
        <v>4.6074465939999998</v>
      </c>
      <c r="L638" s="3">
        <f>[1]Results!O215</f>
        <v>4.6168718999999996</v>
      </c>
      <c r="M638" s="3">
        <f>[1]Results!P215</f>
        <v>4.6336357320000001</v>
      </c>
      <c r="N638" s="3">
        <f>[1]Results!Q215</f>
        <v>4.6458332200000001</v>
      </c>
      <c r="O638" s="3">
        <f>[1]Results!R215</f>
        <v>4.6577193330000002</v>
      </c>
      <c r="P638" s="3">
        <f>[1]Results!S215</f>
        <v>4.670121097</v>
      </c>
      <c r="Q638" s="3">
        <f>[1]Results!T215</f>
        <v>4.6833700550000001</v>
      </c>
      <c r="R638" s="3">
        <f>[1]Results!U215</f>
        <v>4.697421727</v>
      </c>
      <c r="S638" s="3">
        <f>[1]Results!V215</f>
        <v>4.7119737920000002</v>
      </c>
      <c r="T638" s="3">
        <f>[1]Results!W215</f>
        <v>4.7266622600000003</v>
      </c>
      <c r="U638" s="3">
        <f>[1]Results!X215</f>
        <v>4.741248014</v>
      </c>
      <c r="V638" s="3">
        <f>[1]Results!Y215</f>
        <v>4.7557137999999997</v>
      </c>
      <c r="W638" s="3">
        <f>[1]Results!Z215</f>
        <v>4.766908055</v>
      </c>
      <c r="X638" s="3">
        <f>[1]Results!AA215</f>
        <v>4.7816316050000003</v>
      </c>
      <c r="Y638" s="3">
        <f>[1]Results!AB215</f>
        <v>4.7971288569999997</v>
      </c>
      <c r="Z638" s="3">
        <f>[1]Results!AC215</f>
        <v>4.8133780120000003</v>
      </c>
      <c r="AA638" s="3">
        <f>[1]Results!AD215</f>
        <v>4.8306597919999996</v>
      </c>
      <c r="AB638" s="3">
        <f>[1]Results!AE215</f>
        <v>4.8391661739999998</v>
      </c>
      <c r="AC638" s="3">
        <f>[1]Results!AF215</f>
        <v>4.854266838</v>
      </c>
      <c r="AD638" s="3">
        <f>[1]Results!AG215</f>
        <v>4.8701724000000004</v>
      </c>
      <c r="AE638" s="3">
        <f>[1]Results!AH215</f>
        <v>4.8860407190000004</v>
      </c>
      <c r="AF638" s="3">
        <f>[1]Results!AI215</f>
        <v>4.9019639929999999</v>
      </c>
      <c r="AG638" s="3">
        <f>[1]Results!AJ215</f>
        <v>4.9182615729999997</v>
      </c>
      <c r="AH638" s="3">
        <f>[1]Results!AK215</f>
        <v>4.9352358250000004</v>
      </c>
      <c r="AI638" s="3">
        <f>[1]Results!AL215</f>
        <v>4.9530499260000003</v>
      </c>
      <c r="AJ638" s="3">
        <f>[1]Results!AM215</f>
        <v>4.9716960190000004</v>
      </c>
      <c r="AK638" s="3">
        <f>[1]Results!AN215</f>
        <v>4.9910416919999996</v>
      </c>
      <c r="AL638" s="3">
        <f>[1]Results!AO215</f>
        <v>5.0109124319999996</v>
      </c>
    </row>
    <row r="639" spans="1:38" x14ac:dyDescent="0.3">
      <c r="B639" s="3" t="str">
        <f>[1]Results!E217</f>
        <v>YG_toe_cgas_2</v>
      </c>
      <c r="C639" s="3">
        <f>[1]Results!F217</f>
        <v>2.429186219</v>
      </c>
      <c r="D639" s="3">
        <f>[1]Results!G217</f>
        <v>4.2908623480000001</v>
      </c>
      <c r="E639" s="3">
        <f>[1]Results!H217</f>
        <v>5.6942119389999997</v>
      </c>
      <c r="F639" s="3">
        <f>[1]Results!I217</f>
        <v>6.8442874849999997</v>
      </c>
      <c r="G639" s="3">
        <f>[1]Results!J217</f>
        <v>7.806131401</v>
      </c>
      <c r="H639" s="3">
        <f>[1]Results!K217</f>
        <v>8.6195106500000005</v>
      </c>
      <c r="I639" s="3">
        <f>[1]Results!L217</f>
        <v>9.5931380179999994</v>
      </c>
      <c r="J639" s="3">
        <f>[1]Results!M217</f>
        <v>10.172303680000001</v>
      </c>
      <c r="K639" s="3">
        <f>[1]Results!N217</f>
        <v>10.658124150000001</v>
      </c>
      <c r="L639" s="3">
        <f>[1]Results!O217</f>
        <v>11.0643496</v>
      </c>
      <c r="M639" s="3">
        <f>[1]Results!P217</f>
        <v>11.402017799999999</v>
      </c>
      <c r="N639" s="3">
        <f>[1]Results!Q217</f>
        <v>11.68356344</v>
      </c>
      <c r="O639" s="3">
        <f>[1]Results!R217</f>
        <v>11.92130249</v>
      </c>
      <c r="P639" s="3">
        <f>[1]Results!S217</f>
        <v>12.130165549999999</v>
      </c>
      <c r="Q639" s="3">
        <f>[1]Results!T217</f>
        <v>12.32095093</v>
      </c>
      <c r="R639" s="3">
        <f>[1]Results!U217</f>
        <v>12.499222830000001</v>
      </c>
      <c r="S639" s="3">
        <f>[1]Results!V217</f>
        <v>12.668220809999999</v>
      </c>
      <c r="T639" s="3">
        <f>[1]Results!W217</f>
        <v>12.82977034</v>
      </c>
      <c r="U639" s="3">
        <f>[1]Results!X217</f>
        <v>12.98522631</v>
      </c>
      <c r="V639" s="3">
        <f>[1]Results!Y217</f>
        <v>13.136042</v>
      </c>
      <c r="W639" s="3">
        <f>[1]Results!Z217</f>
        <v>13.2810293</v>
      </c>
      <c r="X639" s="3">
        <f>[1]Results!AA217</f>
        <v>13.42313575</v>
      </c>
      <c r="Y639" s="3">
        <f>[1]Results!AB217</f>
        <v>13.565518559999999</v>
      </c>
      <c r="Z639" s="3">
        <f>[1]Results!AC217</f>
        <v>13.70894655</v>
      </c>
      <c r="AA639" s="3">
        <f>[1]Results!AD217</f>
        <v>13.85383955</v>
      </c>
      <c r="AB639" s="3">
        <f>[1]Results!AE217</f>
        <v>13.98993761</v>
      </c>
      <c r="AC639" s="3">
        <f>[1]Results!AF217</f>
        <v>14.12116591</v>
      </c>
      <c r="AD639" s="3">
        <f>[1]Results!AG217</f>
        <v>14.24741491</v>
      </c>
      <c r="AE639" s="3">
        <f>[1]Results!AH217</f>
        <v>14.369276449999999</v>
      </c>
      <c r="AF639" s="3">
        <f>[1]Results!AI217</f>
        <v>14.48846299</v>
      </c>
      <c r="AG639" s="3">
        <f>[1]Results!AJ217</f>
        <v>14.607202210000001</v>
      </c>
      <c r="AH639" s="3">
        <f>[1]Results!AK217</f>
        <v>14.72760336</v>
      </c>
      <c r="AI639" s="3">
        <f>[1]Results!AL217</f>
        <v>14.851132120000001</v>
      </c>
      <c r="AJ639" s="3">
        <f>[1]Results!AM217</f>
        <v>14.97828314</v>
      </c>
      <c r="AK639" s="3">
        <f>[1]Results!AN217</f>
        <v>15.10891528</v>
      </c>
      <c r="AL639" s="3">
        <f>[1]Results!AO217</f>
        <v>15.242649460000001</v>
      </c>
    </row>
    <row r="640" spans="1:38" x14ac:dyDescent="0.3">
      <c r="B640" s="3" t="str">
        <f>[1]Results!E223</f>
        <v>YG_toe_cele_2</v>
      </c>
      <c r="C640" s="3">
        <f>[1]Results!F223</f>
        <v>49.409024510000002</v>
      </c>
      <c r="D640" s="3">
        <f>[1]Results!G223</f>
        <v>49.784726149999997</v>
      </c>
      <c r="E640" s="3">
        <f>[1]Results!H223</f>
        <v>50.202872220000003</v>
      </c>
      <c r="F640" s="3">
        <f>[1]Results!I223</f>
        <v>50.79620748</v>
      </c>
      <c r="G640" s="3">
        <f>[1]Results!J223</f>
        <v>51.609428489999999</v>
      </c>
      <c r="H640" s="3">
        <f>[1]Results!K223</f>
        <v>52.650288869999997</v>
      </c>
      <c r="I640" s="3">
        <f>[1]Results!L223</f>
        <v>54.240600069999999</v>
      </c>
      <c r="J640" s="3">
        <f>[1]Results!M223</f>
        <v>55.11066357</v>
      </c>
      <c r="K640" s="3">
        <f>[1]Results!N223</f>
        <v>55.594967830000002</v>
      </c>
      <c r="L640" s="3">
        <f>[1]Results!O223</f>
        <v>55.799828570000003</v>
      </c>
      <c r="M640" s="3">
        <f>[1]Results!P223</f>
        <v>55.842015629999999</v>
      </c>
      <c r="N640" s="3">
        <f>[1]Results!Q223</f>
        <v>55.774247199999998</v>
      </c>
      <c r="O640" s="3">
        <f>[1]Results!R223</f>
        <v>55.719205629999998</v>
      </c>
      <c r="P640" s="3">
        <f>[1]Results!S223</f>
        <v>55.7767123</v>
      </c>
      <c r="Q640" s="3">
        <f>[1]Results!T223</f>
        <v>56.0106058</v>
      </c>
      <c r="R640" s="3">
        <f>[1]Results!U223</f>
        <v>56.438596259999997</v>
      </c>
      <c r="S640" s="3">
        <f>[1]Results!V223</f>
        <v>57.063990969999999</v>
      </c>
      <c r="T640" s="3">
        <f>[1]Results!W223</f>
        <v>57.87689898</v>
      </c>
      <c r="U640" s="3">
        <f>[1]Results!X223</f>
        <v>58.85834285</v>
      </c>
      <c r="V640" s="3">
        <f>[1]Results!Y223</f>
        <v>59.984441150000002</v>
      </c>
      <c r="W640" s="3">
        <f>[1]Results!Z223</f>
        <v>61.20148399</v>
      </c>
      <c r="X640" s="3">
        <f>[1]Results!AA223</f>
        <v>62.520120900000002</v>
      </c>
      <c r="Y640" s="3">
        <f>[1]Results!AB223</f>
        <v>63.901329689999997</v>
      </c>
      <c r="Z640" s="3">
        <f>[1]Results!AC223</f>
        <v>65.313126280000006</v>
      </c>
      <c r="AA640" s="3">
        <f>[1]Results!AD223</f>
        <v>66.729867470000002</v>
      </c>
      <c r="AB640" s="3">
        <f>[1]Results!AE223</f>
        <v>68.033565609999997</v>
      </c>
      <c r="AC640" s="3">
        <f>[1]Results!AF223</f>
        <v>69.307396859999997</v>
      </c>
      <c r="AD640" s="3">
        <f>[1]Results!AG223</f>
        <v>70.504666220000004</v>
      </c>
      <c r="AE640" s="3">
        <f>[1]Results!AH223</f>
        <v>71.608581720000004</v>
      </c>
      <c r="AF640" s="3">
        <f>[1]Results!AI223</f>
        <v>72.627772219999997</v>
      </c>
      <c r="AG640" s="3">
        <f>[1]Results!AJ223</f>
        <v>73.585713420000005</v>
      </c>
      <c r="AH640" s="3">
        <f>[1]Results!AK223</f>
        <v>74.511522330000005</v>
      </c>
      <c r="AI640" s="3">
        <f>[1]Results!AL223</f>
        <v>75.432641849999996</v>
      </c>
      <c r="AJ640" s="3">
        <f>[1]Results!AM223</f>
        <v>76.368347580000005</v>
      </c>
      <c r="AK640" s="3">
        <f>[1]Results!AN223</f>
        <v>77.330598480000006</v>
      </c>
      <c r="AL640" s="3">
        <f>[1]Results!AO223</f>
        <v>78.325764030000002</v>
      </c>
    </row>
    <row r="641" spans="1:38" x14ac:dyDescent="0.3">
      <c r="B641" s="3" t="s">
        <v>49</v>
      </c>
      <c r="C641" s="3">
        <f>SUM(C642:C644)</f>
        <v>27.352983955999999</v>
      </c>
      <c r="D641" s="3">
        <f t="shared" ref="D641:AL641" si="125">SUM(D642:D644)</f>
        <v>27.161788512999998</v>
      </c>
      <c r="E641" s="3">
        <f t="shared" si="125"/>
        <v>27.044845672999998</v>
      </c>
      <c r="F641" s="3">
        <f t="shared" si="125"/>
        <v>27.019609682000002</v>
      </c>
      <c r="G641" s="3">
        <f t="shared" si="125"/>
        <v>27.085413332000002</v>
      </c>
      <c r="H641" s="3">
        <f t="shared" si="125"/>
        <v>27.235036317999999</v>
      </c>
      <c r="I641" s="3">
        <f t="shared" si="125"/>
        <v>27.919095540000001</v>
      </c>
      <c r="J641" s="3">
        <f t="shared" si="125"/>
        <v>28.192337767000001</v>
      </c>
      <c r="K641" s="3">
        <f t="shared" si="125"/>
        <v>28.405130467999999</v>
      </c>
      <c r="L641" s="3">
        <f t="shared" si="125"/>
        <v>28.59901756</v>
      </c>
      <c r="M641" s="3">
        <f t="shared" si="125"/>
        <v>28.80646771</v>
      </c>
      <c r="N641" s="3">
        <f t="shared" si="125"/>
        <v>28.984595514999999</v>
      </c>
      <c r="O641" s="3">
        <f t="shared" si="125"/>
        <v>29.164540178999999</v>
      </c>
      <c r="P641" s="3">
        <f t="shared" si="125"/>
        <v>29.364022728999998</v>
      </c>
      <c r="Q641" s="3">
        <f t="shared" si="125"/>
        <v>29.592725719000001</v>
      </c>
      <c r="R641" s="3">
        <f t="shared" si="125"/>
        <v>29.851021768000003</v>
      </c>
      <c r="S641" s="3">
        <f t="shared" si="125"/>
        <v>30.137027312000001</v>
      </c>
      <c r="T641" s="3">
        <f t="shared" si="125"/>
        <v>30.447441782999999</v>
      </c>
      <c r="U641" s="3">
        <f t="shared" si="125"/>
        <v>30.778500465</v>
      </c>
      <c r="V641" s="3">
        <f t="shared" si="125"/>
        <v>31.126759413999999</v>
      </c>
      <c r="W641" s="3">
        <f t="shared" si="125"/>
        <v>31.468514234000001</v>
      </c>
      <c r="X641" s="3">
        <f t="shared" si="125"/>
        <v>31.837208525999998</v>
      </c>
      <c r="Y641" s="3">
        <f t="shared" si="125"/>
        <v>32.218062286000006</v>
      </c>
      <c r="Z641" s="3">
        <f t="shared" si="125"/>
        <v>32.606343044999996</v>
      </c>
      <c r="AA641" s="3">
        <f t="shared" si="125"/>
        <v>32.999980319999999</v>
      </c>
      <c r="AB641" s="3">
        <f t="shared" si="125"/>
        <v>33.333655968000002</v>
      </c>
      <c r="AC641" s="3">
        <f t="shared" si="125"/>
        <v>33.688641234000002</v>
      </c>
      <c r="AD641" s="3">
        <f t="shared" si="125"/>
        <v>34.041441716999998</v>
      </c>
      <c r="AE641" s="3">
        <f t="shared" si="125"/>
        <v>34.386171241</v>
      </c>
      <c r="AF641" s="3">
        <f t="shared" si="125"/>
        <v>34.723832989999998</v>
      </c>
      <c r="AG641" s="3">
        <f t="shared" si="125"/>
        <v>35.058194524000001</v>
      </c>
      <c r="AH641" s="3">
        <f t="shared" si="125"/>
        <v>35.393584648000001</v>
      </c>
      <c r="AI641" s="3">
        <f t="shared" si="125"/>
        <v>35.733639824999997</v>
      </c>
      <c r="AJ641" s="3">
        <f t="shared" si="125"/>
        <v>36.080223558</v>
      </c>
      <c r="AK641" s="3">
        <f t="shared" si="125"/>
        <v>36.433922271</v>
      </c>
      <c r="AL641" s="3">
        <f t="shared" si="125"/>
        <v>36.794604007000004</v>
      </c>
    </row>
    <row r="642" spans="1:38" x14ac:dyDescent="0.3">
      <c r="B642" s="3" t="str">
        <f>[1]Results!E233</f>
        <v>YG_toe_chea_2</v>
      </c>
      <c r="C642" s="3">
        <f>[1]Results!F233</f>
        <v>3.574461646</v>
      </c>
      <c r="D642" s="3">
        <f>[1]Results!G233</f>
        <v>3.5988699629999998</v>
      </c>
      <c r="E642" s="3">
        <f>[1]Results!H233</f>
        <v>3.6269721829999999</v>
      </c>
      <c r="F642" s="3">
        <f>[1]Results!I233</f>
        <v>3.6641256520000001</v>
      </c>
      <c r="G642" s="3">
        <f>[1]Results!J233</f>
        <v>3.7107644720000001</v>
      </c>
      <c r="H642" s="3">
        <f>[1]Results!K233</f>
        <v>3.7663211080000001</v>
      </c>
      <c r="I642" s="3">
        <f>[1]Results!L233</f>
        <v>3.8302428599999998</v>
      </c>
      <c r="J642" s="3">
        <f>[1]Results!M233</f>
        <v>3.8826214270000001</v>
      </c>
      <c r="K642" s="3">
        <f>[1]Results!N233</f>
        <v>3.9271126679999999</v>
      </c>
      <c r="L642" s="3">
        <f>[1]Results!O233</f>
        <v>3.9652179099999998</v>
      </c>
      <c r="M642" s="3">
        <f>[1]Results!P233</f>
        <v>4.0007067300000001</v>
      </c>
      <c r="N642" s="3">
        <f>[1]Results!Q233</f>
        <v>4.0333019349999999</v>
      </c>
      <c r="O642" s="3">
        <f>[1]Results!R233</f>
        <v>4.0654383090000001</v>
      </c>
      <c r="P642" s="3">
        <f>[1]Results!S233</f>
        <v>4.1011014389999998</v>
      </c>
      <c r="Q642" s="3">
        <f>[1]Results!T233</f>
        <v>4.1425606789999998</v>
      </c>
      <c r="R642" s="3">
        <f>[1]Results!U233</f>
        <v>4.189219628</v>
      </c>
      <c r="S642" s="3">
        <f>[1]Results!V233</f>
        <v>4.2404118019999997</v>
      </c>
      <c r="T642" s="3">
        <f>[1]Results!W233</f>
        <v>4.2953135930000004</v>
      </c>
      <c r="U642" s="3">
        <f>[1]Results!X233</f>
        <v>4.3530861649999997</v>
      </c>
      <c r="V642" s="3">
        <f>[1]Results!Y233</f>
        <v>4.4130186040000003</v>
      </c>
      <c r="W642" s="3">
        <f>[1]Results!Z233</f>
        <v>4.4726728439999999</v>
      </c>
      <c r="X642" s="3">
        <f>[1]Results!AA233</f>
        <v>4.5335153559999997</v>
      </c>
      <c r="Y642" s="3">
        <f>[1]Results!AB233</f>
        <v>4.5959028059999998</v>
      </c>
      <c r="Z642" s="3">
        <f>[1]Results!AC233</f>
        <v>4.6591673650000001</v>
      </c>
      <c r="AA642" s="3">
        <f>[1]Results!AD233</f>
        <v>4.7229039799999999</v>
      </c>
      <c r="AB642" s="3">
        <f>[1]Results!AE233</f>
        <v>4.780789478</v>
      </c>
      <c r="AC642" s="3">
        <f>[1]Results!AF233</f>
        <v>4.8365040439999998</v>
      </c>
      <c r="AD642" s="3">
        <f>[1]Results!AG233</f>
        <v>4.8909370369999996</v>
      </c>
      <c r="AE642" s="3">
        <f>[1]Results!AH233</f>
        <v>4.943636251</v>
      </c>
      <c r="AF642" s="3">
        <f>[1]Results!AI233</f>
        <v>4.9948556699999997</v>
      </c>
      <c r="AG642" s="3">
        <f>[1]Results!AJ233</f>
        <v>5.0452642040000004</v>
      </c>
      <c r="AH642" s="3">
        <f>[1]Results!AK233</f>
        <v>5.0956596679999997</v>
      </c>
      <c r="AI642" s="3">
        <f>[1]Results!AL233</f>
        <v>5.1467562950000003</v>
      </c>
      <c r="AJ642" s="3">
        <f>[1]Results!AM233</f>
        <v>5.1988349080000003</v>
      </c>
      <c r="AK642" s="3">
        <f>[1]Results!AN233</f>
        <v>5.2519360910000001</v>
      </c>
      <c r="AL642" s="3">
        <f>[1]Results!AO233</f>
        <v>5.3059681970000003</v>
      </c>
    </row>
    <row r="643" spans="1:38" x14ac:dyDescent="0.3">
      <c r="B643" s="3" t="str">
        <f>[1]Results!E235</f>
        <v>YG_toe_cbio_2</v>
      </c>
      <c r="C643" s="3">
        <f>[1]Results!F235</f>
        <v>11.1594996</v>
      </c>
      <c r="D643" s="3">
        <f>[1]Results!G235</f>
        <v>11.196954379999999</v>
      </c>
      <c r="E643" s="3">
        <f>[1]Results!H235</f>
        <v>11.219778829999999</v>
      </c>
      <c r="F643" s="3">
        <f>[1]Results!I235</f>
        <v>11.25245045</v>
      </c>
      <c r="G643" s="3">
        <f>[1]Results!J235</f>
        <v>11.30208365</v>
      </c>
      <c r="H643" s="3">
        <f>[1]Results!K235</f>
        <v>11.369507580000001</v>
      </c>
      <c r="I643" s="3">
        <f>[1]Results!L235</f>
        <v>11.77439328</v>
      </c>
      <c r="J643" s="3">
        <f>[1]Results!M235</f>
        <v>11.881512300000001</v>
      </c>
      <c r="K643" s="3">
        <f>[1]Results!N235</f>
        <v>11.937189200000001</v>
      </c>
      <c r="L643" s="3">
        <f>[1]Results!O235</f>
        <v>11.975597860000001</v>
      </c>
      <c r="M643" s="3">
        <f>[1]Results!P235</f>
        <v>12.01238036</v>
      </c>
      <c r="N643" s="3">
        <f>[1]Results!Q235</f>
        <v>12.036632490000001</v>
      </c>
      <c r="O643" s="3">
        <f>[1]Results!R235</f>
        <v>12.05786707</v>
      </c>
      <c r="P643" s="3">
        <f>[1]Results!S235</f>
        <v>12.083791829999999</v>
      </c>
      <c r="Q643" s="3">
        <f>[1]Results!T235</f>
        <v>12.11895715</v>
      </c>
      <c r="R643" s="3">
        <f>[1]Results!U235</f>
        <v>12.164191750000001</v>
      </c>
      <c r="S643" s="3">
        <f>[1]Results!V235</f>
        <v>12.2193845</v>
      </c>
      <c r="T643" s="3">
        <f>[1]Results!W235</f>
        <v>12.28384024</v>
      </c>
      <c r="U643" s="3">
        <f>[1]Results!X235</f>
        <v>12.35652125</v>
      </c>
      <c r="V643" s="3">
        <f>[1]Results!Y235</f>
        <v>12.436277479999999</v>
      </c>
      <c r="W643" s="3">
        <f>[1]Results!Z235</f>
        <v>12.515765480000001</v>
      </c>
      <c r="X643" s="3">
        <f>[1]Results!AA235</f>
        <v>12.60351468</v>
      </c>
      <c r="Y643" s="3">
        <f>[1]Results!AB235</f>
        <v>12.69609307</v>
      </c>
      <c r="Z643" s="3">
        <f>[1]Results!AC235</f>
        <v>12.79132366</v>
      </c>
      <c r="AA643" s="3">
        <f>[1]Results!AD235</f>
        <v>12.887947710000001</v>
      </c>
      <c r="AB643" s="3">
        <f>[1]Results!AE235</f>
        <v>12.966125890000001</v>
      </c>
      <c r="AC643" s="3">
        <f>[1]Results!AF235</f>
        <v>13.046909879999999</v>
      </c>
      <c r="AD643" s="3">
        <f>[1]Results!AG235</f>
        <v>13.12608562</v>
      </c>
      <c r="AE643" s="3">
        <f>[1]Results!AH235</f>
        <v>13.20177105</v>
      </c>
      <c r="AF643" s="3">
        <f>[1]Results!AI235</f>
        <v>13.274291249999999</v>
      </c>
      <c r="AG643" s="3">
        <f>[1]Results!AJ235</f>
        <v>13.344937</v>
      </c>
      <c r="AH643" s="3">
        <f>[1]Results!AK235</f>
        <v>13.41524764</v>
      </c>
      <c r="AI643" s="3">
        <f>[1]Results!AL235</f>
        <v>13.48660183</v>
      </c>
      <c r="AJ643" s="3">
        <f>[1]Results!AM235</f>
        <v>13.55981094</v>
      </c>
      <c r="AK643" s="3">
        <f>[1]Results!AN235</f>
        <v>13.635270370000001</v>
      </c>
      <c r="AL643" s="3">
        <f>[1]Results!AO235</f>
        <v>13.713119969999999</v>
      </c>
    </row>
    <row r="644" spans="1:38" x14ac:dyDescent="0.3">
      <c r="B644" s="3" t="str">
        <f>[1]Results!E238</f>
        <v>YG_toe_cote_2</v>
      </c>
      <c r="C644" s="3">
        <f>[1]Results!F238</f>
        <v>12.619022709999999</v>
      </c>
      <c r="D644" s="3">
        <f>[1]Results!G238</f>
        <v>12.36596417</v>
      </c>
      <c r="E644" s="3">
        <f>[1]Results!H238</f>
        <v>12.198094660000001</v>
      </c>
      <c r="F644" s="3">
        <f>[1]Results!I238</f>
        <v>12.10303358</v>
      </c>
      <c r="G644" s="3">
        <f>[1]Results!J238</f>
        <v>12.07256521</v>
      </c>
      <c r="H644" s="3">
        <f>[1]Results!K238</f>
        <v>12.09920763</v>
      </c>
      <c r="I644" s="3">
        <f>[1]Results!L238</f>
        <v>12.3144594</v>
      </c>
      <c r="J644" s="3">
        <f>[1]Results!M238</f>
        <v>12.428204040000001</v>
      </c>
      <c r="K644" s="3">
        <f>[1]Results!N238</f>
        <v>12.540828599999999</v>
      </c>
      <c r="L644" s="3">
        <f>[1]Results!O238</f>
        <v>12.65820179</v>
      </c>
      <c r="M644" s="3">
        <f>[1]Results!P238</f>
        <v>12.793380620000001</v>
      </c>
      <c r="N644" s="3">
        <f>[1]Results!Q238</f>
        <v>12.914661089999999</v>
      </c>
      <c r="O644" s="3">
        <f>[1]Results!R238</f>
        <v>13.0412348</v>
      </c>
      <c r="P644" s="3">
        <f>[1]Results!S238</f>
        <v>13.17912946</v>
      </c>
      <c r="Q644" s="3">
        <f>[1]Results!T238</f>
        <v>13.33120789</v>
      </c>
      <c r="R644" s="3">
        <f>[1]Results!U238</f>
        <v>13.49761039</v>
      </c>
      <c r="S644" s="3">
        <f>[1]Results!V238</f>
        <v>13.67723101</v>
      </c>
      <c r="T644" s="3">
        <f>[1]Results!W238</f>
        <v>13.868287949999999</v>
      </c>
      <c r="U644" s="3">
        <f>[1]Results!X238</f>
        <v>14.06889305</v>
      </c>
      <c r="V644" s="3">
        <f>[1]Results!Y238</f>
        <v>14.27746333</v>
      </c>
      <c r="W644" s="3">
        <f>[1]Results!Z238</f>
        <v>14.48007591</v>
      </c>
      <c r="X644" s="3">
        <f>[1]Results!AA238</f>
        <v>14.700178490000001</v>
      </c>
      <c r="Y644" s="3">
        <f>[1]Results!AB238</f>
        <v>14.926066410000001</v>
      </c>
      <c r="Z644" s="3">
        <f>[1]Results!AC238</f>
        <v>15.155852019999999</v>
      </c>
      <c r="AA644" s="3">
        <f>[1]Results!AD238</f>
        <v>15.38912863</v>
      </c>
      <c r="AB644" s="3">
        <f>[1]Results!AE238</f>
        <v>15.586740600000001</v>
      </c>
      <c r="AC644" s="3">
        <f>[1]Results!AF238</f>
        <v>15.805227309999999</v>
      </c>
      <c r="AD644" s="3">
        <f>[1]Results!AG238</f>
        <v>16.02441906</v>
      </c>
      <c r="AE644" s="3">
        <f>[1]Results!AH238</f>
        <v>16.240763940000001</v>
      </c>
      <c r="AF644" s="3">
        <f>[1]Results!AI238</f>
        <v>16.454686070000001</v>
      </c>
      <c r="AG644" s="3">
        <f>[1]Results!AJ238</f>
        <v>16.667993320000001</v>
      </c>
      <c r="AH644" s="3">
        <f>[1]Results!AK238</f>
        <v>16.882677340000001</v>
      </c>
      <c r="AI644" s="3">
        <f>[1]Results!AL238</f>
        <v>17.1002817</v>
      </c>
      <c r="AJ644" s="3">
        <f>[1]Results!AM238</f>
        <v>17.32157771</v>
      </c>
      <c r="AK644" s="3">
        <f>[1]Results!AN238</f>
        <v>17.546715809999998</v>
      </c>
      <c r="AL644" s="3">
        <f>[1]Results!AO238</f>
        <v>17.775515840000001</v>
      </c>
    </row>
    <row r="645" spans="1:38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x14ac:dyDescent="0.3">
      <c r="A646" s="12" t="s">
        <v>68</v>
      </c>
      <c r="B646" s="3" t="str">
        <f>[1]Results!E241</f>
        <v>YG_toe_0</v>
      </c>
      <c r="C646" s="3">
        <f>[1]Results!F241</f>
        <v>142.04533290000001</v>
      </c>
      <c r="D646" s="3">
        <f>[1]Results!G241</f>
        <v>144.63732590000001</v>
      </c>
      <c r="E646" s="3">
        <f>[1]Results!H241</f>
        <v>146.84059629999999</v>
      </c>
      <c r="F646" s="3">
        <f>[1]Results!I241</f>
        <v>149.1046838</v>
      </c>
      <c r="G646" s="3">
        <f>[1]Results!J241</f>
        <v>151.5691272</v>
      </c>
      <c r="H646" s="3">
        <f>[1]Results!K241</f>
        <v>154.2748953</v>
      </c>
      <c r="I646" s="3">
        <f>[1]Results!L241</f>
        <v>157.106056</v>
      </c>
      <c r="J646" s="3">
        <f>[1]Results!M241</f>
        <v>160.09380279999999</v>
      </c>
      <c r="K646" s="3">
        <f>[1]Results!N241</f>
        <v>163.17448390000001</v>
      </c>
      <c r="L646" s="3">
        <f>[1]Results!O241</f>
        <v>166.2756296</v>
      </c>
      <c r="M646" s="3">
        <f>[1]Results!P241</f>
        <v>169.47211060000001</v>
      </c>
      <c r="N646" s="3">
        <f>[1]Results!Q241</f>
        <v>172.48165599999999</v>
      </c>
      <c r="O646" s="3">
        <f>[1]Results!R241</f>
        <v>175.37572230000001</v>
      </c>
      <c r="P646" s="3">
        <f>[1]Results!S241</f>
        <v>178.13944760000001</v>
      </c>
      <c r="Q646" s="3">
        <f>[1]Results!T241</f>
        <v>180.7461174</v>
      </c>
      <c r="R646" s="3">
        <f>[1]Results!U241</f>
        <v>183.17648489999999</v>
      </c>
      <c r="S646" s="3">
        <f>[1]Results!V241</f>
        <v>185.43548379999999</v>
      </c>
      <c r="T646" s="3">
        <f>[1]Results!W241</f>
        <v>187.55317070000001</v>
      </c>
      <c r="U646" s="3">
        <f>[1]Results!X241</f>
        <v>189.57946039999999</v>
      </c>
      <c r="V646" s="3">
        <f>[1]Results!Y241</f>
        <v>191.57406030000001</v>
      </c>
      <c r="W646" s="3">
        <f>[1]Results!Z241</f>
        <v>193.48426900000001</v>
      </c>
      <c r="X646" s="3">
        <f>[1]Results!AA241</f>
        <v>195.53413190000001</v>
      </c>
      <c r="Y646" s="3">
        <f>[1]Results!AB241</f>
        <v>197.684068</v>
      </c>
      <c r="Z646" s="3">
        <f>[1]Results!AC241</f>
        <v>199.945977</v>
      </c>
      <c r="AA646" s="3">
        <f>[1]Results!AD241</f>
        <v>202.33087209999999</v>
      </c>
      <c r="AB646" s="3">
        <f>[1]Results!AE241</f>
        <v>204.5002772</v>
      </c>
      <c r="AC646" s="3">
        <f>[1]Results!AF241</f>
        <v>206.88291599999999</v>
      </c>
      <c r="AD646" s="3">
        <f>[1]Results!AG241</f>
        <v>209.32432109999999</v>
      </c>
      <c r="AE646" s="3">
        <f>[1]Results!AH241</f>
        <v>211.78710799999999</v>
      </c>
      <c r="AF646" s="3">
        <f>[1]Results!AI241</f>
        <v>214.26257680000001</v>
      </c>
      <c r="AG646" s="3">
        <f>[1]Results!AJ241</f>
        <v>216.75394679999999</v>
      </c>
      <c r="AH646" s="3">
        <f>[1]Results!AK241</f>
        <v>219.2651572</v>
      </c>
      <c r="AI646" s="3">
        <f>[1]Results!AL241</f>
        <v>221.79436530000001</v>
      </c>
      <c r="AJ646" s="3">
        <f>[1]Results!AM241</f>
        <v>224.33249269999999</v>
      </c>
      <c r="AK646" s="3">
        <f>[1]Results!AN241</f>
        <v>226.86604990000001</v>
      </c>
      <c r="AL646" s="3">
        <f>[1]Results!AO241</f>
        <v>229.3798295</v>
      </c>
    </row>
    <row r="647" spans="1:38" x14ac:dyDescent="0.3">
      <c r="A647" t="s">
        <v>26</v>
      </c>
      <c r="B647" s="3" t="str">
        <f>[1]Results!E242</f>
        <v>YG_toe_ccoa_0</v>
      </c>
      <c r="C647" s="3">
        <f>[1]Results!F242</f>
        <v>2.2573637390000001</v>
      </c>
      <c r="D647" s="3">
        <f>[1]Results!G242</f>
        <v>1.6353352569999999</v>
      </c>
      <c r="E647" s="3">
        <f>[1]Results!H242</f>
        <v>1.119558928</v>
      </c>
      <c r="F647" s="3">
        <f>[1]Results!I242</f>
        <v>0.70402733500000003</v>
      </c>
      <c r="G647" s="3">
        <f>[1]Results!J242</f>
        <v>0.37152696699999999</v>
      </c>
      <c r="H647" s="3">
        <f>[1]Results!K242</f>
        <v>0.10505353470000001</v>
      </c>
      <c r="I647" s="3">
        <f>[1]Results!L242</f>
        <v>-0.1047719654</v>
      </c>
      <c r="J647" s="3">
        <f>[1]Results!M242</f>
        <v>-0.27499741</v>
      </c>
      <c r="K647" s="3">
        <f>[1]Results!N242</f>
        <v>-0.41441687960000001</v>
      </c>
      <c r="L647" s="3">
        <f>[1]Results!O242</f>
        <v>-0.52937257319999997</v>
      </c>
      <c r="M647" s="3">
        <f>[1]Results!P242</f>
        <v>-0.63203548499999995</v>
      </c>
      <c r="N647" s="3">
        <f>[1]Results!Q242</f>
        <v>-0.71074904530000005</v>
      </c>
      <c r="O647" s="3">
        <f>[1]Results!R242</f>
        <v>-0.77718766750000001</v>
      </c>
      <c r="P647" s="3">
        <f>[1]Results!S242</f>
        <v>-0.83489059099999996</v>
      </c>
      <c r="Q647" s="3">
        <f>[1]Results!T242</f>
        <v>-0.88548150579999996</v>
      </c>
      <c r="R647" s="3">
        <f>[1]Results!U242</f>
        <v>-0.93033891150000003</v>
      </c>
      <c r="S647" s="3">
        <f>[1]Results!V242</f>
        <v>-0.97074237910000005</v>
      </c>
      <c r="T647" s="3">
        <f>[1]Results!W242</f>
        <v>-1.0077883510000001</v>
      </c>
      <c r="U647" s="3">
        <f>[1]Results!X242</f>
        <v>-1.042331777</v>
      </c>
      <c r="V647" s="3">
        <f>[1]Results!Y242</f>
        <v>-1.074988254</v>
      </c>
      <c r="W647" s="3">
        <f>[1]Results!Z242</f>
        <v>-1.1011236980000001</v>
      </c>
      <c r="X647" s="3">
        <f>[1]Results!AA242</f>
        <v>-1.132252083</v>
      </c>
      <c r="Y647" s="3">
        <f>[1]Results!AB242</f>
        <v>-1.1628625130000001</v>
      </c>
      <c r="Z647" s="3">
        <f>[1]Results!AC242</f>
        <v>-1.192198589</v>
      </c>
      <c r="AA647" s="3">
        <f>[1]Results!AD242</f>
        <v>-1.220625184</v>
      </c>
      <c r="AB647" s="3">
        <f>[1]Results!AE242</f>
        <v>-1.233802777</v>
      </c>
      <c r="AC647" s="3">
        <f>[1]Results!AF242</f>
        <v>-1.25851293</v>
      </c>
      <c r="AD647" s="3">
        <f>[1]Results!AG242</f>
        <v>-1.285543581</v>
      </c>
      <c r="AE647" s="3">
        <f>[1]Results!AH242</f>
        <v>-1.312805886</v>
      </c>
      <c r="AF647" s="3">
        <f>[1]Results!AI242</f>
        <v>-1.340288776</v>
      </c>
      <c r="AG647" s="3">
        <f>[1]Results!AJ242</f>
        <v>-1.3681817700000001</v>
      </c>
      <c r="AH647" s="3">
        <f>[1]Results!AK242</f>
        <v>-1.396560185</v>
      </c>
      <c r="AI647" s="3">
        <f>[1]Results!AL242</f>
        <v>-1.425428124</v>
      </c>
      <c r="AJ647" s="3">
        <f>[1]Results!AM242</f>
        <v>-1.454793411</v>
      </c>
      <c r="AK647" s="3">
        <f>[1]Results!AN242</f>
        <v>-1.484703391</v>
      </c>
      <c r="AL647" s="3">
        <f>[1]Results!AO242</f>
        <v>-1.515239352</v>
      </c>
    </row>
    <row r="648" spans="1:38" x14ac:dyDescent="0.3">
      <c r="B648" s="3" t="s">
        <v>48</v>
      </c>
      <c r="C648" s="3">
        <f>SUM(C649:C651)</f>
        <v>60.596774518000004</v>
      </c>
      <c r="D648" s="3">
        <f t="shared" ref="D648:AL648" si="126">SUM(D649:D651)</f>
        <v>61.7646136539</v>
      </c>
      <c r="E648" s="3">
        <f t="shared" si="126"/>
        <v>62.779107520699995</v>
      </c>
      <c r="F648" s="3">
        <f t="shared" si="126"/>
        <v>63.740551851399999</v>
      </c>
      <c r="G648" s="3">
        <f t="shared" si="126"/>
        <v>64.696627038499997</v>
      </c>
      <c r="H648" s="3">
        <f t="shared" si="126"/>
        <v>65.665005962599992</v>
      </c>
      <c r="I648" s="3">
        <f t="shared" si="126"/>
        <v>66.596687859300005</v>
      </c>
      <c r="J648" s="3">
        <f t="shared" si="126"/>
        <v>67.539194997899997</v>
      </c>
      <c r="K648" s="3">
        <f t="shared" si="126"/>
        <v>68.486377497600003</v>
      </c>
      <c r="L648" s="3">
        <f t="shared" si="126"/>
        <v>69.431826317100004</v>
      </c>
      <c r="M648" s="3">
        <f t="shared" si="126"/>
        <v>70.452305880599994</v>
      </c>
      <c r="N648" s="3">
        <f t="shared" si="126"/>
        <v>71.391752718000006</v>
      </c>
      <c r="O648" s="3">
        <f t="shared" si="126"/>
        <v>72.329408888700002</v>
      </c>
      <c r="P648" s="3">
        <f t="shared" si="126"/>
        <v>73.267235237500003</v>
      </c>
      <c r="Q648" s="3">
        <f t="shared" si="126"/>
        <v>74.201655433900001</v>
      </c>
      <c r="R648" s="3">
        <f t="shared" si="126"/>
        <v>75.128579443500001</v>
      </c>
      <c r="S648" s="3">
        <f t="shared" si="126"/>
        <v>76.045222770899997</v>
      </c>
      <c r="T648" s="3">
        <f t="shared" si="126"/>
        <v>76.950811947100007</v>
      </c>
      <c r="U648" s="3">
        <f t="shared" si="126"/>
        <v>77.846502903799987</v>
      </c>
      <c r="V648" s="3">
        <f t="shared" si="126"/>
        <v>78.734724012300006</v>
      </c>
      <c r="W648" s="3">
        <f t="shared" si="126"/>
        <v>79.558037450500009</v>
      </c>
      <c r="X648" s="3">
        <f t="shared" si="126"/>
        <v>80.435146859400007</v>
      </c>
      <c r="Y648" s="3">
        <f t="shared" si="126"/>
        <v>81.312496398600004</v>
      </c>
      <c r="Z648" s="3">
        <f t="shared" si="126"/>
        <v>82.189228688999989</v>
      </c>
      <c r="AA648" s="3">
        <f t="shared" si="126"/>
        <v>83.067361156399997</v>
      </c>
      <c r="AB648" s="3">
        <f t="shared" si="126"/>
        <v>83.769197231600003</v>
      </c>
      <c r="AC648" s="3">
        <f t="shared" si="126"/>
        <v>84.563285497300001</v>
      </c>
      <c r="AD648" s="3">
        <f t="shared" si="126"/>
        <v>85.356260317600004</v>
      </c>
      <c r="AE648" s="3">
        <f t="shared" si="126"/>
        <v>86.142172308200003</v>
      </c>
      <c r="AF648" s="3">
        <f t="shared" si="126"/>
        <v>86.922823374499998</v>
      </c>
      <c r="AG648" s="3">
        <f t="shared" si="126"/>
        <v>87.701391835999999</v>
      </c>
      <c r="AH648" s="3">
        <f t="shared" si="126"/>
        <v>88.480414648999997</v>
      </c>
      <c r="AI648" s="3">
        <f t="shared" si="126"/>
        <v>89.261064118200011</v>
      </c>
      <c r="AJ648" s="3">
        <f t="shared" si="126"/>
        <v>90.043148929099999</v>
      </c>
      <c r="AK648" s="3">
        <f t="shared" si="126"/>
        <v>90.825595282700007</v>
      </c>
      <c r="AL648" s="3">
        <f t="shared" si="126"/>
        <v>91.607074734699992</v>
      </c>
    </row>
    <row r="649" spans="1:38" x14ac:dyDescent="0.3">
      <c r="B649" s="3" t="str">
        <f>[1]Results!E245</f>
        <v>YG_toe_ccoi_0</v>
      </c>
      <c r="C649" s="3">
        <f>[1]Results!F245</f>
        <v>1.2014586460000001</v>
      </c>
      <c r="D649" s="3">
        <f>[1]Results!G245</f>
        <v>0.96353369389999999</v>
      </c>
      <c r="E649" s="3">
        <f>[1]Results!H245</f>
        <v>0.77319698469999998</v>
      </c>
      <c r="F649" s="3">
        <f>[1]Results!I245</f>
        <v>0.62094703340000001</v>
      </c>
      <c r="G649" s="3">
        <f>[1]Results!J245</f>
        <v>0.49917610950000002</v>
      </c>
      <c r="H649" s="3">
        <f>[1]Results!K245</f>
        <v>0.40179277260000001</v>
      </c>
      <c r="I649" s="3">
        <f>[1]Results!L245</f>
        <v>0.32391421529999997</v>
      </c>
      <c r="J649" s="3">
        <f>[1]Results!M245</f>
        <v>0.26164339990000002</v>
      </c>
      <c r="K649" s="3">
        <f>[1]Results!N245</f>
        <v>0.21185853060000001</v>
      </c>
      <c r="L649" s="3">
        <f>[1]Results!O245</f>
        <v>0.17206092310000001</v>
      </c>
      <c r="M649" s="3">
        <f>[1]Results!P245</f>
        <v>0.14026141659999999</v>
      </c>
      <c r="N649" s="3">
        <f>[1]Results!Q245</f>
        <v>0.114845082</v>
      </c>
      <c r="O649" s="3">
        <f>[1]Results!R245</f>
        <v>9.4539354699999995E-2</v>
      </c>
      <c r="P649" s="3">
        <f>[1]Results!S245</f>
        <v>7.8323233500000006E-2</v>
      </c>
      <c r="Q649" s="3">
        <f>[1]Results!T245</f>
        <v>6.5377959900000004E-2</v>
      </c>
      <c r="R649" s="3">
        <f>[1]Results!U245</f>
        <v>5.5048002499999998E-2</v>
      </c>
      <c r="S649" s="3">
        <f>[1]Results!V245</f>
        <v>4.68089519E-2</v>
      </c>
      <c r="T649" s="3">
        <f>[1]Results!W245</f>
        <v>4.0241597099999998E-2</v>
      </c>
      <c r="U649" s="3">
        <f>[1]Results!X245</f>
        <v>3.5011003800000003E-2</v>
      </c>
      <c r="V649" s="3">
        <f>[1]Results!Y245</f>
        <v>3.0849605299999999E-2</v>
      </c>
      <c r="W649" s="3">
        <f>[1]Results!Z245</f>
        <v>2.75363315E-2</v>
      </c>
      <c r="X649" s="3">
        <f>[1]Results!AA245</f>
        <v>2.4912382399999999E-2</v>
      </c>
      <c r="Y649" s="3">
        <f>[1]Results!AB245</f>
        <v>2.2837163600000002E-2</v>
      </c>
      <c r="Z649" s="3">
        <f>[1]Results!AC245</f>
        <v>2.1199763E-2</v>
      </c>
      <c r="AA649" s="3">
        <f>[1]Results!AD245</f>
        <v>1.9912551399999999E-2</v>
      </c>
      <c r="AB649" s="3">
        <f>[1]Results!AE245</f>
        <v>1.8883528600000001E-2</v>
      </c>
      <c r="AC649" s="3">
        <f>[1]Results!AF245</f>
        <v>1.8084769300000001E-2</v>
      </c>
      <c r="AD649" s="3">
        <f>[1]Results!AG245</f>
        <v>1.7465607599999999E-2</v>
      </c>
      <c r="AE649" s="3">
        <f>[1]Results!AH245</f>
        <v>1.69873712E-2</v>
      </c>
      <c r="AF649" s="3">
        <f>[1]Results!AI245</f>
        <v>1.6621294500000001E-2</v>
      </c>
      <c r="AG649" s="3">
        <f>[1]Results!AJ245</f>
        <v>1.6344976000000001E-2</v>
      </c>
      <c r="AH649" s="3">
        <f>[1]Results!AK245</f>
        <v>1.6140554000000001E-2</v>
      </c>
      <c r="AI649" s="3">
        <f>[1]Results!AL245</f>
        <v>1.59935532E-2</v>
      </c>
      <c r="AJ649" s="3">
        <f>[1]Results!AM245</f>
        <v>1.5892124099999998E-2</v>
      </c>
      <c r="AK649" s="3">
        <f>[1]Results!AN245</f>
        <v>1.5826556700000001E-2</v>
      </c>
      <c r="AL649" s="3">
        <f>[1]Results!AO245</f>
        <v>1.5788962699999999E-2</v>
      </c>
    </row>
    <row r="650" spans="1:38" x14ac:dyDescent="0.3">
      <c r="B650" s="3" t="str">
        <f>[1]Results!E248</f>
        <v>YG_toe_cfut_0</v>
      </c>
      <c r="C650" s="3">
        <f>[1]Results!F248</f>
        <v>54.383138070000001</v>
      </c>
      <c r="D650" s="3">
        <f>[1]Results!G248</f>
        <v>55.89867323</v>
      </c>
      <c r="E650" s="3">
        <f>[1]Results!H248</f>
        <v>57.201141829999997</v>
      </c>
      <c r="F650" s="3">
        <f>[1]Results!I248</f>
        <v>58.393038320000002</v>
      </c>
      <c r="G650" s="3">
        <f>[1]Results!J248</f>
        <v>59.52874138</v>
      </c>
      <c r="H650" s="3">
        <f>[1]Results!K248</f>
        <v>60.633573949999999</v>
      </c>
      <c r="I650" s="3">
        <f>[1]Results!L248</f>
        <v>61.669587749999998</v>
      </c>
      <c r="J650" s="3">
        <f>[1]Results!M248</f>
        <v>62.687976689999999</v>
      </c>
      <c r="K650" s="3">
        <f>[1]Results!N248</f>
        <v>63.688976400000001</v>
      </c>
      <c r="L650" s="3">
        <f>[1]Results!O248</f>
        <v>64.671512079999999</v>
      </c>
      <c r="M650" s="3">
        <f>[1]Results!P248</f>
        <v>65.711903300000003</v>
      </c>
      <c r="N650" s="3">
        <f>[1]Results!Q248</f>
        <v>66.665516580000002</v>
      </c>
      <c r="O650" s="3">
        <f>[1]Results!R248</f>
        <v>67.609127939999993</v>
      </c>
      <c r="P650" s="3">
        <f>[1]Results!S248</f>
        <v>68.546148310000007</v>
      </c>
      <c r="Q650" s="3">
        <f>[1]Results!T248</f>
        <v>69.474736059999998</v>
      </c>
      <c r="R650" s="3">
        <f>[1]Results!U248</f>
        <v>70.392372570000006</v>
      </c>
      <c r="S650" s="3">
        <f>[1]Results!V248</f>
        <v>71.297516939999994</v>
      </c>
      <c r="T650" s="3">
        <f>[1]Results!W248</f>
        <v>72.190228340000004</v>
      </c>
      <c r="U650" s="3">
        <f>[1]Results!X248</f>
        <v>73.072100669999998</v>
      </c>
      <c r="V650" s="3">
        <f>[1]Results!Y248</f>
        <v>73.945705329999996</v>
      </c>
      <c r="W650" s="3">
        <f>[1]Results!Z248</f>
        <v>74.756871750000002</v>
      </c>
      <c r="X650" s="3">
        <f>[1]Results!AA248</f>
        <v>75.617903260000006</v>
      </c>
      <c r="Y650" s="3">
        <f>[1]Results!AB248</f>
        <v>76.478184170000006</v>
      </c>
      <c r="Z650" s="3">
        <f>[1]Results!AC248</f>
        <v>77.337107149999994</v>
      </c>
      <c r="AA650" s="3">
        <f>[1]Results!AD248</f>
        <v>78.196555590000003</v>
      </c>
      <c r="AB650" s="3">
        <f>[1]Results!AE248</f>
        <v>78.888607039999997</v>
      </c>
      <c r="AC650" s="3">
        <f>[1]Results!AF248</f>
        <v>79.666544880000004</v>
      </c>
      <c r="AD650" s="3">
        <f>[1]Results!AG248</f>
        <v>80.442572080000005</v>
      </c>
      <c r="AE650" s="3">
        <f>[1]Results!AH248</f>
        <v>81.211441539999996</v>
      </c>
      <c r="AF650" s="3">
        <f>[1]Results!AI248</f>
        <v>81.974769809999998</v>
      </c>
      <c r="AG650" s="3">
        <f>[1]Results!AJ248</f>
        <v>82.735373510000002</v>
      </c>
      <c r="AH650" s="3">
        <f>[1]Results!AK248</f>
        <v>83.495486479999997</v>
      </c>
      <c r="AI650" s="3">
        <f>[1]Results!AL248</f>
        <v>84.256141760000006</v>
      </c>
      <c r="AJ650" s="3">
        <f>[1]Results!AM248</f>
        <v>85.017186699999996</v>
      </c>
      <c r="AK650" s="3">
        <f>[1]Results!AN248</f>
        <v>85.777709790000003</v>
      </c>
      <c r="AL650" s="3">
        <f>[1]Results!AO248</f>
        <v>86.536585259999995</v>
      </c>
    </row>
    <row r="651" spans="1:38" x14ac:dyDescent="0.3">
      <c r="B651" s="3" t="str">
        <f>[1]Results!E251</f>
        <v>YG_toe_cfuh_0</v>
      </c>
      <c r="C651" s="3">
        <f>[1]Results!F251</f>
        <v>5.0121778020000001</v>
      </c>
      <c r="D651" s="3">
        <f>[1]Results!G251</f>
        <v>4.90240673</v>
      </c>
      <c r="E651" s="3">
        <f>[1]Results!H251</f>
        <v>4.8047687059999999</v>
      </c>
      <c r="F651" s="3">
        <f>[1]Results!I251</f>
        <v>4.7265664980000004</v>
      </c>
      <c r="G651" s="3">
        <f>[1]Results!J251</f>
        <v>4.6687095489999999</v>
      </c>
      <c r="H651" s="3">
        <f>[1]Results!K251</f>
        <v>4.6296392400000004</v>
      </c>
      <c r="I651" s="3">
        <f>[1]Results!L251</f>
        <v>4.6031858940000001</v>
      </c>
      <c r="J651" s="3">
        <f>[1]Results!M251</f>
        <v>4.5895749080000003</v>
      </c>
      <c r="K651" s="3">
        <f>[1]Results!N251</f>
        <v>4.5855425670000001</v>
      </c>
      <c r="L651" s="3">
        <f>[1]Results!O251</f>
        <v>4.5882533140000001</v>
      </c>
      <c r="M651" s="3">
        <f>[1]Results!P251</f>
        <v>4.6001411640000001</v>
      </c>
      <c r="N651" s="3">
        <f>[1]Results!Q251</f>
        <v>4.6113910560000004</v>
      </c>
      <c r="O651" s="3">
        <f>[1]Results!R251</f>
        <v>4.625741594</v>
      </c>
      <c r="P651" s="3">
        <f>[1]Results!S251</f>
        <v>4.6427636940000001</v>
      </c>
      <c r="Q651" s="3">
        <f>[1]Results!T251</f>
        <v>4.6615414140000002</v>
      </c>
      <c r="R651" s="3">
        <f>[1]Results!U251</f>
        <v>4.6811588710000001</v>
      </c>
      <c r="S651" s="3">
        <f>[1]Results!V251</f>
        <v>4.7008968790000001</v>
      </c>
      <c r="T651" s="3">
        <f>[1]Results!W251</f>
        <v>4.7203420100000004</v>
      </c>
      <c r="U651" s="3">
        <f>[1]Results!X251</f>
        <v>4.7393912299999998</v>
      </c>
      <c r="V651" s="3">
        <f>[1]Results!Y251</f>
        <v>4.7581690769999998</v>
      </c>
      <c r="W651" s="3">
        <f>[1]Results!Z251</f>
        <v>4.773629369</v>
      </c>
      <c r="X651" s="3">
        <f>[1]Results!AA251</f>
        <v>4.7923312170000001</v>
      </c>
      <c r="Y651" s="3">
        <f>[1]Results!AB251</f>
        <v>4.8114750649999998</v>
      </c>
      <c r="Z651" s="3">
        <f>[1]Results!AC251</f>
        <v>4.8309217760000003</v>
      </c>
      <c r="AA651" s="3">
        <f>[1]Results!AD251</f>
        <v>4.8508930149999996</v>
      </c>
      <c r="AB651" s="3">
        <f>[1]Results!AE251</f>
        <v>4.8617066629999997</v>
      </c>
      <c r="AC651" s="3">
        <f>[1]Results!AF251</f>
        <v>4.8786558480000002</v>
      </c>
      <c r="AD651" s="3">
        <f>[1]Results!AG251</f>
        <v>4.8962226299999996</v>
      </c>
      <c r="AE651" s="3">
        <f>[1]Results!AH251</f>
        <v>4.9137433970000002</v>
      </c>
      <c r="AF651" s="3">
        <f>[1]Results!AI251</f>
        <v>4.9314322700000002</v>
      </c>
      <c r="AG651" s="3">
        <f>[1]Results!AJ251</f>
        <v>4.9496733500000003</v>
      </c>
      <c r="AH651" s="3">
        <f>[1]Results!AK251</f>
        <v>4.9687876150000001</v>
      </c>
      <c r="AI651" s="3">
        <f>[1]Results!AL251</f>
        <v>4.9889288049999996</v>
      </c>
      <c r="AJ651" s="3">
        <f>[1]Results!AM251</f>
        <v>5.0100701049999996</v>
      </c>
      <c r="AK651" s="3">
        <f>[1]Results!AN251</f>
        <v>5.0320589360000003</v>
      </c>
      <c r="AL651" s="3">
        <f>[1]Results!AO251</f>
        <v>5.0547005120000001</v>
      </c>
    </row>
    <row r="652" spans="1:38" x14ac:dyDescent="0.3">
      <c r="B652" s="3" t="str">
        <f>[1]Results!E253</f>
        <v>YG_toe_cgas_0</v>
      </c>
      <c r="C652" s="3">
        <f>[1]Results!F253</f>
        <v>2.429186219</v>
      </c>
      <c r="D652" s="3">
        <f>[1]Results!G253</f>
        <v>4.2908623480000001</v>
      </c>
      <c r="E652" s="3">
        <f>[1]Results!H253</f>
        <v>5.6942119389999997</v>
      </c>
      <c r="F652" s="3">
        <f>[1]Results!I253</f>
        <v>6.8442874849999997</v>
      </c>
      <c r="G652" s="3">
        <f>[1]Results!J253</f>
        <v>7.806131401</v>
      </c>
      <c r="H652" s="3">
        <f>[1]Results!K253</f>
        <v>8.6195106500000005</v>
      </c>
      <c r="I652" s="3">
        <f>[1]Results!L253</f>
        <v>9.3099940480000001</v>
      </c>
      <c r="J652" s="3">
        <f>[1]Results!M253</f>
        <v>9.8995177759999997</v>
      </c>
      <c r="K652" s="3">
        <f>[1]Results!N253</f>
        <v>10.40508985</v>
      </c>
      <c r="L652" s="3">
        <f>[1]Results!O253</f>
        <v>10.840733139999999</v>
      </c>
      <c r="M652" s="3">
        <f>[1]Results!P253</f>
        <v>11.22142573</v>
      </c>
      <c r="N652" s="3">
        <f>[1]Results!Q253</f>
        <v>11.557922810000001</v>
      </c>
      <c r="O652" s="3">
        <f>[1]Results!R253</f>
        <v>11.856011130000001</v>
      </c>
      <c r="P652" s="3">
        <f>[1]Results!S253</f>
        <v>12.122158170000001</v>
      </c>
      <c r="Q652" s="3">
        <f>[1]Results!T253</f>
        <v>12.360211230000001</v>
      </c>
      <c r="R652" s="3">
        <f>[1]Results!U253</f>
        <v>12.572888259999999</v>
      </c>
      <c r="S652" s="3">
        <f>[1]Results!V253</f>
        <v>12.76308633</v>
      </c>
      <c r="T652" s="3">
        <f>[1]Results!W253</f>
        <v>12.934407820000001</v>
      </c>
      <c r="U652" s="3">
        <f>[1]Results!X253</f>
        <v>13.091147830000001</v>
      </c>
      <c r="V652" s="3">
        <f>[1]Results!Y253</f>
        <v>13.23785575</v>
      </c>
      <c r="W652" s="3">
        <f>[1]Results!Z253</f>
        <v>13.37592062</v>
      </c>
      <c r="X652" s="3">
        <f>[1]Results!AA253</f>
        <v>13.5096256</v>
      </c>
      <c r="Y652" s="3">
        <f>[1]Results!AB253</f>
        <v>13.643559160000001</v>
      </c>
      <c r="Z652" s="3">
        <f>[1]Results!AC253</f>
        <v>13.77956696</v>
      </c>
      <c r="AA652" s="3">
        <f>[1]Results!AD253</f>
        <v>13.919067350000001</v>
      </c>
      <c r="AB652" s="3">
        <f>[1]Results!AE253</f>
        <v>14.052895619999999</v>
      </c>
      <c r="AC652" s="3">
        <f>[1]Results!AF253</f>
        <v>14.18558737</v>
      </c>
      <c r="AD652" s="3">
        <f>[1]Results!AG253</f>
        <v>14.31790616</v>
      </c>
      <c r="AE652" s="3">
        <f>[1]Results!AH253</f>
        <v>14.450668029999999</v>
      </c>
      <c r="AF652" s="3">
        <f>[1]Results!AI253</f>
        <v>14.58523986</v>
      </c>
      <c r="AG652" s="3">
        <f>[1]Results!AJ253</f>
        <v>14.72307037</v>
      </c>
      <c r="AH652" s="3">
        <f>[1]Results!AK253</f>
        <v>14.865187069999999</v>
      </c>
      <c r="AI652" s="3">
        <f>[1]Results!AL253</f>
        <v>15.01184726</v>
      </c>
      <c r="AJ652" s="3">
        <f>[1]Results!AM253</f>
        <v>15.162542569999999</v>
      </c>
      <c r="AK652" s="3">
        <f>[1]Results!AN253</f>
        <v>15.31631707</v>
      </c>
      <c r="AL652" s="3">
        <f>[1]Results!AO253</f>
        <v>15.472092079999999</v>
      </c>
    </row>
    <row r="653" spans="1:38" x14ac:dyDescent="0.3">
      <c r="B653" s="3" t="str">
        <f>[1]Results!E259</f>
        <v>YG_toe_cele_0</v>
      </c>
      <c r="C653" s="3">
        <f>[1]Results!F259</f>
        <v>49.409024510000002</v>
      </c>
      <c r="D653" s="3">
        <f>[1]Results!G259</f>
        <v>49.784726149999997</v>
      </c>
      <c r="E653" s="3">
        <f>[1]Results!H259</f>
        <v>50.202872220000003</v>
      </c>
      <c r="F653" s="3">
        <f>[1]Results!I259</f>
        <v>50.79620748</v>
      </c>
      <c r="G653" s="3">
        <f>[1]Results!J259</f>
        <v>51.609428489999999</v>
      </c>
      <c r="H653" s="3">
        <f>[1]Results!K259</f>
        <v>52.650288869999997</v>
      </c>
      <c r="I653" s="3">
        <f>[1]Results!L259</f>
        <v>53.867242050000002</v>
      </c>
      <c r="J653" s="3">
        <f>[1]Results!M259</f>
        <v>55.238780769999998</v>
      </c>
      <c r="K653" s="3">
        <f>[1]Results!N259</f>
        <v>56.713163100000003</v>
      </c>
      <c r="L653" s="3">
        <f>[1]Results!O259</f>
        <v>58.231085210000003</v>
      </c>
      <c r="M653" s="3">
        <f>[1]Results!P259</f>
        <v>59.771944040000001</v>
      </c>
      <c r="N653" s="3">
        <f>[1]Results!Q259</f>
        <v>61.241181060000002</v>
      </c>
      <c r="O653" s="3">
        <f>[1]Results!R259</f>
        <v>62.623246049999999</v>
      </c>
      <c r="P653" s="3">
        <f>[1]Results!S259</f>
        <v>63.898694280000001</v>
      </c>
      <c r="Q653" s="3">
        <f>[1]Results!T259</f>
        <v>65.046482800000007</v>
      </c>
      <c r="R653" s="3">
        <f>[1]Results!U259</f>
        <v>66.054610170000004</v>
      </c>
      <c r="S653" s="3">
        <f>[1]Results!V259</f>
        <v>66.930941110000006</v>
      </c>
      <c r="T653" s="3">
        <f>[1]Results!W259</f>
        <v>67.70245122</v>
      </c>
      <c r="U653" s="3">
        <f>[1]Results!X259</f>
        <v>68.410507780000003</v>
      </c>
      <c r="V653" s="3">
        <f>[1]Results!Y259</f>
        <v>69.103047919999995</v>
      </c>
      <c r="W653" s="3">
        <f>[1]Results!Z259</f>
        <v>69.794245309999994</v>
      </c>
      <c r="X653" s="3">
        <f>[1]Results!AA259</f>
        <v>70.558089039999999</v>
      </c>
      <c r="Y653" s="3">
        <f>[1]Results!AB259</f>
        <v>71.407843229999997</v>
      </c>
      <c r="Z653" s="3">
        <f>[1]Results!AC259</f>
        <v>72.35442467</v>
      </c>
      <c r="AA653" s="3">
        <f>[1]Results!AD259</f>
        <v>73.404796259999998</v>
      </c>
      <c r="AB653" s="3">
        <f>[1]Results!AE259</f>
        <v>74.455575339999996</v>
      </c>
      <c r="AC653" s="3">
        <f>[1]Results!AF259</f>
        <v>75.607499509999997</v>
      </c>
      <c r="AD653" s="3">
        <f>[1]Results!AG259</f>
        <v>76.811990050000006</v>
      </c>
      <c r="AE653" s="3">
        <f>[1]Results!AH259</f>
        <v>78.041031450000006</v>
      </c>
      <c r="AF653" s="3">
        <f>[1]Results!AI259</f>
        <v>79.283361420000006</v>
      </c>
      <c r="AG653" s="3">
        <f>[1]Results!AJ259</f>
        <v>80.536426489999997</v>
      </c>
      <c r="AH653" s="3">
        <f>[1]Results!AK259</f>
        <v>81.799396029999997</v>
      </c>
      <c r="AI653" s="3">
        <f>[1]Results!AL259</f>
        <v>83.068726499999997</v>
      </c>
      <c r="AJ653" s="3">
        <f>[1]Results!AM259</f>
        <v>84.336934510000006</v>
      </c>
      <c r="AK653" s="3">
        <f>[1]Results!AN259</f>
        <v>85.594234990000004</v>
      </c>
      <c r="AL653" s="3">
        <f>[1]Results!AO259</f>
        <v>86.830000060000003</v>
      </c>
    </row>
    <row r="654" spans="1:38" x14ac:dyDescent="0.3">
      <c r="B654" s="3" t="s">
        <v>49</v>
      </c>
      <c r="C654" s="3">
        <f>SUM(C655:C657)</f>
        <v>27.352983955999999</v>
      </c>
      <c r="D654" s="3">
        <f t="shared" ref="D654:AL654" si="127">SUM(D655:D657)</f>
        <v>27.161788512999998</v>
      </c>
      <c r="E654" s="3">
        <f t="shared" si="127"/>
        <v>27.044845672999998</v>
      </c>
      <c r="F654" s="3">
        <f t="shared" si="127"/>
        <v>27.019609682000002</v>
      </c>
      <c r="G654" s="3">
        <f t="shared" si="127"/>
        <v>27.085413332000002</v>
      </c>
      <c r="H654" s="3">
        <f t="shared" si="127"/>
        <v>27.235036317999999</v>
      </c>
      <c r="I654" s="3">
        <f t="shared" si="127"/>
        <v>27.436903975</v>
      </c>
      <c r="J654" s="3">
        <f t="shared" si="127"/>
        <v>27.69130663</v>
      </c>
      <c r="K654" s="3">
        <f t="shared" si="127"/>
        <v>27.984270314</v>
      </c>
      <c r="L654" s="3">
        <f t="shared" si="127"/>
        <v>28.301357459000002</v>
      </c>
      <c r="M654" s="3">
        <f t="shared" si="127"/>
        <v>28.658470395999998</v>
      </c>
      <c r="N654" s="3">
        <f t="shared" si="127"/>
        <v>29.001548466999999</v>
      </c>
      <c r="O654" s="3">
        <f t="shared" si="127"/>
        <v>29.344243919</v>
      </c>
      <c r="P654" s="3">
        <f t="shared" si="127"/>
        <v>29.686250510000001</v>
      </c>
      <c r="Q654" s="3">
        <f t="shared" si="127"/>
        <v>30.023249471</v>
      </c>
      <c r="R654" s="3">
        <f t="shared" si="127"/>
        <v>30.350745941</v>
      </c>
      <c r="S654" s="3">
        <f t="shared" si="127"/>
        <v>30.666975978</v>
      </c>
      <c r="T654" s="3">
        <f t="shared" si="127"/>
        <v>30.973288075999999</v>
      </c>
      <c r="U654" s="3">
        <f t="shared" si="127"/>
        <v>31.273633623000002</v>
      </c>
      <c r="V654" s="3">
        <f t="shared" si="127"/>
        <v>31.573420908999999</v>
      </c>
      <c r="W654" s="3">
        <f t="shared" si="127"/>
        <v>31.857189310000003</v>
      </c>
      <c r="X654" s="3">
        <f t="shared" si="127"/>
        <v>32.163522470000004</v>
      </c>
      <c r="Y654" s="3">
        <f t="shared" si="127"/>
        <v>32.483031694000005</v>
      </c>
      <c r="Z654" s="3">
        <f t="shared" si="127"/>
        <v>32.81495529</v>
      </c>
      <c r="AA654" s="3">
        <f t="shared" si="127"/>
        <v>33.160272548999998</v>
      </c>
      <c r="AB654" s="3">
        <f t="shared" si="127"/>
        <v>33.456411748999997</v>
      </c>
      <c r="AC654" s="3">
        <f t="shared" si="127"/>
        <v>33.785056541000003</v>
      </c>
      <c r="AD654" s="3">
        <f t="shared" si="127"/>
        <v>34.123708106999999</v>
      </c>
      <c r="AE654" s="3">
        <f t="shared" si="127"/>
        <v>34.466042053000002</v>
      </c>
      <c r="AF654" s="3">
        <f t="shared" si="127"/>
        <v>34.811440899000004</v>
      </c>
      <c r="AG654" s="3">
        <f t="shared" si="127"/>
        <v>35.161239854000002</v>
      </c>
      <c r="AH654" s="3">
        <f t="shared" si="127"/>
        <v>35.516719600999998</v>
      </c>
      <c r="AI654" s="3">
        <f t="shared" si="127"/>
        <v>35.878155554000003</v>
      </c>
      <c r="AJ654" s="3">
        <f t="shared" si="127"/>
        <v>36.244660105999998</v>
      </c>
      <c r="AK654" s="3">
        <f t="shared" si="127"/>
        <v>36.614605910999998</v>
      </c>
      <c r="AL654" s="3">
        <f t="shared" si="127"/>
        <v>36.985901994000002</v>
      </c>
    </row>
    <row r="655" spans="1:38" x14ac:dyDescent="0.3">
      <c r="B655" s="3" t="str">
        <f>[1]Results!E269</f>
        <v>YG_toe_chea_0</v>
      </c>
      <c r="C655" s="3">
        <f>[1]Results!F269</f>
        <v>3.574461646</v>
      </c>
      <c r="D655" s="3">
        <f>[1]Results!G269</f>
        <v>3.5988699629999998</v>
      </c>
      <c r="E655" s="3">
        <f>[1]Results!H269</f>
        <v>3.6269721829999999</v>
      </c>
      <c r="F655" s="3">
        <f>[1]Results!I269</f>
        <v>3.6641256520000001</v>
      </c>
      <c r="G655" s="3">
        <f>[1]Results!J269</f>
        <v>3.7107644720000001</v>
      </c>
      <c r="H655" s="3">
        <f>[1]Results!K269</f>
        <v>3.7663211080000001</v>
      </c>
      <c r="I655" s="3">
        <f>[1]Results!L269</f>
        <v>3.827426505</v>
      </c>
      <c r="J655" s="3">
        <f>[1]Results!M269</f>
        <v>3.8925418500000002</v>
      </c>
      <c r="K655" s="3">
        <f>[1]Results!N269</f>
        <v>3.9600024340000002</v>
      </c>
      <c r="L655" s="3">
        <f>[1]Results!O269</f>
        <v>4.0279556889999997</v>
      </c>
      <c r="M655" s="3">
        <f>[1]Results!P269</f>
        <v>4.0974522560000004</v>
      </c>
      <c r="N655" s="3">
        <f>[1]Results!Q269</f>
        <v>4.1655952169999999</v>
      </c>
      <c r="O655" s="3">
        <f>[1]Results!R269</f>
        <v>4.2311712290000001</v>
      </c>
      <c r="P655" s="3">
        <f>[1]Results!S269</f>
        <v>4.2945803099999997</v>
      </c>
      <c r="Q655" s="3">
        <f>[1]Results!T269</f>
        <v>4.3554601509999999</v>
      </c>
      <c r="R655" s="3">
        <f>[1]Results!U269</f>
        <v>4.4131787810000001</v>
      </c>
      <c r="S655" s="3">
        <f>[1]Results!V269</f>
        <v>4.4676899780000001</v>
      </c>
      <c r="T655" s="3">
        <f>[1]Results!W269</f>
        <v>4.5195461359999998</v>
      </c>
      <c r="U655" s="3">
        <f>[1]Results!X269</f>
        <v>4.5697758530000003</v>
      </c>
      <c r="V655" s="3">
        <f>[1]Results!Y269</f>
        <v>4.6196366290000004</v>
      </c>
      <c r="W655" s="3">
        <f>[1]Results!Z269</f>
        <v>4.6682785899999999</v>
      </c>
      <c r="X655" s="3">
        <f>[1]Results!AA269</f>
        <v>4.7179238000000003</v>
      </c>
      <c r="Y655" s="3">
        <f>[1]Results!AB269</f>
        <v>4.7698000939999998</v>
      </c>
      <c r="Z655" s="3">
        <f>[1]Results!AC269</f>
        <v>4.8238132800000004</v>
      </c>
      <c r="AA655" s="3">
        <f>[1]Results!AD269</f>
        <v>4.8799777190000002</v>
      </c>
      <c r="AB655" s="3">
        <f>[1]Results!AE269</f>
        <v>4.9321355789999997</v>
      </c>
      <c r="AC655" s="3">
        <f>[1]Results!AF269</f>
        <v>4.9841059809999999</v>
      </c>
      <c r="AD655" s="3">
        <f>[1]Results!AG269</f>
        <v>5.0369217270000002</v>
      </c>
      <c r="AE655" s="3">
        <f>[1]Results!AH269</f>
        <v>5.0899829729999997</v>
      </c>
      <c r="AF655" s="3">
        <f>[1]Results!AI269</f>
        <v>5.1432137789999999</v>
      </c>
      <c r="AG655" s="3">
        <f>[1]Results!AJ269</f>
        <v>5.1968605739999996</v>
      </c>
      <c r="AH655" s="3">
        <f>[1]Results!AK269</f>
        <v>5.2511746510000004</v>
      </c>
      <c r="AI655" s="3">
        <f>[1]Results!AL269</f>
        <v>5.3062164340000004</v>
      </c>
      <c r="AJ655" s="3">
        <f>[1]Results!AM269</f>
        <v>5.3618132159999998</v>
      </c>
      <c r="AK655" s="3">
        <f>[1]Results!AN269</f>
        <v>5.4176408309999999</v>
      </c>
      <c r="AL655" s="3">
        <f>[1]Results!AO269</f>
        <v>5.473170444</v>
      </c>
    </row>
    <row r="656" spans="1:38" x14ac:dyDescent="0.3">
      <c r="B656" s="3" t="str">
        <f>[1]Results!E271</f>
        <v>YG_toe_cbio_0</v>
      </c>
      <c r="C656" s="3">
        <f>[1]Results!F271</f>
        <v>11.1594996</v>
      </c>
      <c r="D656" s="3">
        <f>[1]Results!G271</f>
        <v>11.196954379999999</v>
      </c>
      <c r="E656" s="3">
        <f>[1]Results!H271</f>
        <v>11.219778829999999</v>
      </c>
      <c r="F656" s="3">
        <f>[1]Results!I271</f>
        <v>11.25245045</v>
      </c>
      <c r="G656" s="3">
        <f>[1]Results!J271</f>
        <v>11.30208365</v>
      </c>
      <c r="H656" s="3">
        <f>[1]Results!K271</f>
        <v>11.369507580000001</v>
      </c>
      <c r="I656" s="3">
        <f>[1]Results!L271</f>
        <v>11.446586610000001</v>
      </c>
      <c r="J656" s="3">
        <f>[1]Results!M271</f>
        <v>11.53323417</v>
      </c>
      <c r="K656" s="3">
        <f>[1]Results!N271</f>
        <v>11.62632844</v>
      </c>
      <c r="L656" s="3">
        <f>[1]Results!O271</f>
        <v>11.72227558</v>
      </c>
      <c r="M656" s="3">
        <f>[1]Results!P271</f>
        <v>11.8263172</v>
      </c>
      <c r="N656" s="3">
        <f>[1]Results!Q271</f>
        <v>11.9235501</v>
      </c>
      <c r="O656" s="3">
        <f>[1]Results!R271</f>
        <v>12.01609023</v>
      </c>
      <c r="P656" s="3">
        <f>[1]Results!S271</f>
        <v>12.104216109999999</v>
      </c>
      <c r="Q656" s="3">
        <f>[1]Results!T271</f>
        <v>12.186986279999999</v>
      </c>
      <c r="R656" s="3">
        <f>[1]Results!U271</f>
        <v>12.26349965</v>
      </c>
      <c r="S656" s="3">
        <f>[1]Results!V271</f>
        <v>12.33389326</v>
      </c>
      <c r="T656" s="3">
        <f>[1]Results!W271</f>
        <v>12.39938282</v>
      </c>
      <c r="U656" s="3">
        <f>[1]Results!X271</f>
        <v>12.46199262</v>
      </c>
      <c r="V656" s="3">
        <f>[1]Results!Y271</f>
        <v>12.524113160000001</v>
      </c>
      <c r="W656" s="3">
        <f>[1]Results!Z271</f>
        <v>12.581732000000001</v>
      </c>
      <c r="X656" s="3">
        <f>[1]Results!AA271</f>
        <v>12.64584868</v>
      </c>
      <c r="Y656" s="3">
        <f>[1]Results!AB271</f>
        <v>12.71531452</v>
      </c>
      <c r="Z656" s="3">
        <f>[1]Results!AC271</f>
        <v>12.789815949999999</v>
      </c>
      <c r="AA656" s="3">
        <f>[1]Results!AD271</f>
        <v>12.86954034</v>
      </c>
      <c r="AB656" s="3">
        <f>[1]Results!AE271</f>
        <v>12.93598864</v>
      </c>
      <c r="AC656" s="3">
        <f>[1]Results!AF271</f>
        <v>13.01043305</v>
      </c>
      <c r="AD656" s="3">
        <f>[1]Results!AG271</f>
        <v>13.08887081</v>
      </c>
      <c r="AE656" s="3">
        <f>[1]Results!AH271</f>
        <v>13.1691228</v>
      </c>
      <c r="AF656" s="3">
        <f>[1]Results!AI271</f>
        <v>13.25070989</v>
      </c>
      <c r="AG656" s="3">
        <f>[1]Results!AJ271</f>
        <v>13.333786529999999</v>
      </c>
      <c r="AH656" s="3">
        <f>[1]Results!AK271</f>
        <v>13.418527709999999</v>
      </c>
      <c r="AI656" s="3">
        <f>[1]Results!AL271</f>
        <v>13.5048481</v>
      </c>
      <c r="AJ656" s="3">
        <f>[1]Results!AM271</f>
        <v>13.59236338</v>
      </c>
      <c r="AK656" s="3">
        <f>[1]Results!AN271</f>
        <v>13.680520209999999</v>
      </c>
      <c r="AL656" s="3">
        <f>[1]Results!AO271</f>
        <v>13.768641969999999</v>
      </c>
    </row>
    <row r="657" spans="1:38" x14ac:dyDescent="0.3">
      <c r="B657" s="3" t="str">
        <f>[1]Results!E274</f>
        <v>YG_toe_cote_0</v>
      </c>
      <c r="C657" s="3">
        <f>[1]Results!F274</f>
        <v>12.619022709999999</v>
      </c>
      <c r="D657" s="3">
        <f>[1]Results!G274</f>
        <v>12.36596417</v>
      </c>
      <c r="E657" s="3">
        <f>[1]Results!H274</f>
        <v>12.198094660000001</v>
      </c>
      <c r="F657" s="3">
        <f>[1]Results!I274</f>
        <v>12.10303358</v>
      </c>
      <c r="G657" s="3">
        <f>[1]Results!J274</f>
        <v>12.07256521</v>
      </c>
      <c r="H657" s="3">
        <f>[1]Results!K274</f>
        <v>12.09920763</v>
      </c>
      <c r="I657" s="3">
        <f>[1]Results!L274</f>
        <v>12.162890859999999</v>
      </c>
      <c r="J657" s="3">
        <f>[1]Results!M274</f>
        <v>12.265530610000001</v>
      </c>
      <c r="K657" s="3">
        <f>[1]Results!N274</f>
        <v>12.39793944</v>
      </c>
      <c r="L657" s="3">
        <f>[1]Results!O274</f>
        <v>12.55112619</v>
      </c>
      <c r="M657" s="3">
        <f>[1]Results!P274</f>
        <v>12.73470094</v>
      </c>
      <c r="N657" s="3">
        <f>[1]Results!Q274</f>
        <v>12.912403149999999</v>
      </c>
      <c r="O657" s="3">
        <f>[1]Results!R274</f>
        <v>13.09698246</v>
      </c>
      <c r="P657" s="3">
        <f>[1]Results!S274</f>
        <v>13.287454090000001</v>
      </c>
      <c r="Q657" s="3">
        <f>[1]Results!T274</f>
        <v>13.48080304</v>
      </c>
      <c r="R657" s="3">
        <f>[1]Results!U274</f>
        <v>13.67406751</v>
      </c>
      <c r="S657" s="3">
        <f>[1]Results!V274</f>
        <v>13.865392740000001</v>
      </c>
      <c r="T657" s="3">
        <f>[1]Results!W274</f>
        <v>14.054359120000001</v>
      </c>
      <c r="U657" s="3">
        <f>[1]Results!X274</f>
        <v>14.241865150000001</v>
      </c>
      <c r="V657" s="3">
        <f>[1]Results!Y274</f>
        <v>14.42967112</v>
      </c>
      <c r="W657" s="3">
        <f>[1]Results!Z274</f>
        <v>14.60717872</v>
      </c>
      <c r="X657" s="3">
        <f>[1]Results!AA274</f>
        <v>14.79974999</v>
      </c>
      <c r="Y657" s="3">
        <f>[1]Results!AB274</f>
        <v>14.997917080000001</v>
      </c>
      <c r="Z657" s="3">
        <f>[1]Results!AC274</f>
        <v>15.20132606</v>
      </c>
      <c r="AA657" s="3">
        <f>[1]Results!AD274</f>
        <v>15.41075449</v>
      </c>
      <c r="AB657" s="3">
        <f>[1]Results!AE274</f>
        <v>15.588287530000001</v>
      </c>
      <c r="AC657" s="3">
        <f>[1]Results!AF274</f>
        <v>15.790517510000001</v>
      </c>
      <c r="AD657" s="3">
        <f>[1]Results!AG274</f>
        <v>15.99791557</v>
      </c>
      <c r="AE657" s="3">
        <f>[1]Results!AH274</f>
        <v>16.206936280000001</v>
      </c>
      <c r="AF657" s="3">
        <f>[1]Results!AI274</f>
        <v>16.417517230000001</v>
      </c>
      <c r="AG657" s="3">
        <f>[1]Results!AJ274</f>
        <v>16.630592750000002</v>
      </c>
      <c r="AH657" s="3">
        <f>[1]Results!AK274</f>
        <v>16.84701724</v>
      </c>
      <c r="AI657" s="3">
        <f>[1]Results!AL274</f>
        <v>17.067091019999999</v>
      </c>
      <c r="AJ657" s="3">
        <f>[1]Results!AM274</f>
        <v>17.290483510000001</v>
      </c>
      <c r="AK657" s="3">
        <f>[1]Results!AN274</f>
        <v>17.516444870000001</v>
      </c>
      <c r="AL657" s="3">
        <f>[1]Results!AO274</f>
        <v>17.744089580000001</v>
      </c>
    </row>
    <row r="658" spans="1:38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1:38" x14ac:dyDescent="0.3">
      <c r="A659" s="12" t="s">
        <v>68</v>
      </c>
      <c r="C659" s="2">
        <v>42005</v>
      </c>
      <c r="D659" s="2">
        <v>42370</v>
      </c>
      <c r="E659" s="2">
        <v>42736</v>
      </c>
      <c r="F659" s="2">
        <v>43101</v>
      </c>
      <c r="G659" s="2">
        <v>43466</v>
      </c>
      <c r="H659" s="2">
        <v>43831</v>
      </c>
      <c r="I659" s="2">
        <v>44197</v>
      </c>
      <c r="J659" s="2">
        <v>44562</v>
      </c>
      <c r="K659" s="2">
        <v>44927</v>
      </c>
      <c r="L659" s="2">
        <v>45292</v>
      </c>
      <c r="M659" s="2">
        <v>45658</v>
      </c>
      <c r="N659" s="2">
        <v>46023</v>
      </c>
      <c r="O659" s="2">
        <v>46388</v>
      </c>
      <c r="P659" s="2">
        <v>46753</v>
      </c>
      <c r="Q659" s="2">
        <v>47119</v>
      </c>
      <c r="R659" s="2">
        <v>47484</v>
      </c>
      <c r="S659" s="2">
        <v>47849</v>
      </c>
      <c r="T659" s="2">
        <v>48214</v>
      </c>
      <c r="U659" s="2">
        <v>48580</v>
      </c>
      <c r="V659" s="2">
        <v>48945</v>
      </c>
      <c r="W659" s="2">
        <v>49310</v>
      </c>
      <c r="X659" s="2">
        <v>49675</v>
      </c>
      <c r="Y659" s="2">
        <v>50041</v>
      </c>
      <c r="Z659" s="2">
        <v>50406</v>
      </c>
      <c r="AA659" s="2">
        <v>50771</v>
      </c>
      <c r="AB659" s="2">
        <v>51136</v>
      </c>
      <c r="AC659" s="2">
        <v>51502</v>
      </c>
      <c r="AD659" s="2">
        <v>51867</v>
      </c>
      <c r="AE659" s="2">
        <v>52232</v>
      </c>
      <c r="AF659" s="2">
        <v>52597</v>
      </c>
      <c r="AG659" s="2">
        <v>52963</v>
      </c>
      <c r="AH659" s="2">
        <v>53328</v>
      </c>
      <c r="AI659" s="2">
        <v>53693</v>
      </c>
      <c r="AJ659" s="2">
        <v>54058</v>
      </c>
      <c r="AK659" s="2">
        <v>54424</v>
      </c>
      <c r="AL659" s="2">
        <v>54789</v>
      </c>
    </row>
    <row r="660" spans="1:38" x14ac:dyDescent="0.3">
      <c r="A660" t="s">
        <v>69</v>
      </c>
      <c r="B660" t="s">
        <v>92</v>
      </c>
      <c r="C660" s="4">
        <f>C633/C646-1</f>
        <v>0</v>
      </c>
      <c r="D660" s="4">
        <f t="shared" ref="D660" si="128">D633/D646-1</f>
        <v>0</v>
      </c>
      <c r="E660" s="4">
        <f t="shared" ref="E660:AL660" si="129">E633/E646-1</f>
        <v>0</v>
      </c>
      <c r="F660" s="4">
        <f t="shared" si="129"/>
        <v>0</v>
      </c>
      <c r="G660" s="4">
        <f t="shared" si="129"/>
        <v>0</v>
      </c>
      <c r="H660" s="4">
        <f t="shared" si="129"/>
        <v>0</v>
      </c>
      <c r="I660" s="4">
        <f t="shared" si="129"/>
        <v>8.1739764379293867E-3</v>
      </c>
      <c r="J660" s="4">
        <f t="shared" si="129"/>
        <v>5.2428650286269196E-3</v>
      </c>
      <c r="K660" s="4">
        <f t="shared" si="129"/>
        <v>-1.303478306880046E-3</v>
      </c>
      <c r="L660" s="4">
        <f t="shared" si="129"/>
        <v>-9.9112010819895069E-3</v>
      </c>
      <c r="M660" s="4">
        <f t="shared" si="129"/>
        <v>-1.9599272636898535E-2</v>
      </c>
      <c r="N660" s="4">
        <f t="shared" si="129"/>
        <v>-2.9417922564472621E-2</v>
      </c>
      <c r="O660" s="4">
        <f t="shared" si="129"/>
        <v>-3.8419030933336873E-2</v>
      </c>
      <c r="P660" s="4">
        <f t="shared" si="129"/>
        <v>-4.57977433404817E-2</v>
      </c>
      <c r="Q660" s="4">
        <f t="shared" si="129"/>
        <v>-5.102192917146442E-2</v>
      </c>
      <c r="R660" s="4">
        <f t="shared" si="129"/>
        <v>-5.3971157408098103E-2</v>
      </c>
      <c r="S660" s="4">
        <f t="shared" si="129"/>
        <v>-5.4755681555268776E-2</v>
      </c>
      <c r="T660" s="4">
        <f t="shared" si="129"/>
        <v>-5.3683273188193659E-2</v>
      </c>
      <c r="U660" s="4">
        <f t="shared" si="129"/>
        <v>-5.11879635036665E-2</v>
      </c>
      <c r="V660" s="4">
        <f t="shared" si="129"/>
        <v>-4.7747727357637548E-2</v>
      </c>
      <c r="W660" s="4">
        <f t="shared" si="129"/>
        <v>-4.3821669553921305E-2</v>
      </c>
      <c r="X660" s="4">
        <f t="shared" si="129"/>
        <v>-3.9728630109309382E-2</v>
      </c>
      <c r="Y660" s="4">
        <f t="shared" si="129"/>
        <v>-3.5792465076143642E-2</v>
      </c>
      <c r="Z660" s="4">
        <f t="shared" si="129"/>
        <v>-3.2251859210950862E-2</v>
      </c>
      <c r="AA660" s="4">
        <f t="shared" si="129"/>
        <v>-2.9279156158987352E-2</v>
      </c>
      <c r="AB660" s="4">
        <f t="shared" si="129"/>
        <v>-2.7002374645191951E-2</v>
      </c>
      <c r="AC660" s="4">
        <f t="shared" si="129"/>
        <v>-2.5425007060515314E-2</v>
      </c>
      <c r="AD660" s="4">
        <f t="shared" si="129"/>
        <v>-2.4552160843004933E-2</v>
      </c>
      <c r="AE660" s="4">
        <f t="shared" si="129"/>
        <v>-2.4313276424738683E-2</v>
      </c>
      <c r="AF660" s="4">
        <f t="shared" si="129"/>
        <v>-2.4586271100982993E-2</v>
      </c>
      <c r="AG660" s="4">
        <f t="shared" si="129"/>
        <v>-2.52173133670478E-2</v>
      </c>
      <c r="AH660" s="4">
        <f t="shared" si="129"/>
        <v>-2.6036076469699965E-2</v>
      </c>
      <c r="AI660" s="4">
        <f t="shared" si="129"/>
        <v>-2.6873384686477486E-2</v>
      </c>
      <c r="AJ660" s="4">
        <f t="shared" si="129"/>
        <v>-2.7591578578309073E-2</v>
      </c>
      <c r="AK660" s="4">
        <f t="shared" si="129"/>
        <v>-2.8085941033524353E-2</v>
      </c>
      <c r="AL660" s="4">
        <f t="shared" si="129"/>
        <v>-2.8279799118082427E-2</v>
      </c>
    </row>
    <row r="661" spans="1:38" x14ac:dyDescent="0.3">
      <c r="B661" t="s">
        <v>50</v>
      </c>
      <c r="C661" s="4">
        <f>(C634-C647)/C$646</f>
        <v>0</v>
      </c>
      <c r="D661" s="4">
        <f>(D634-D647)/D$646</f>
        <v>0</v>
      </c>
      <c r="E661" s="4">
        <f t="shared" ref="E661:AL661" si="130">(E634-E647)/E$646</f>
        <v>0</v>
      </c>
      <c r="F661" s="4">
        <f t="shared" si="130"/>
        <v>0</v>
      </c>
      <c r="G661" s="4">
        <f t="shared" si="130"/>
        <v>0</v>
      </c>
      <c r="H661" s="4">
        <f t="shared" si="130"/>
        <v>0</v>
      </c>
      <c r="I661" s="4">
        <f t="shared" si="130"/>
        <v>2.0061240669169394E-5</v>
      </c>
      <c r="J661" s="4">
        <f t="shared" si="130"/>
        <v>1.8810315873138259E-6</v>
      </c>
      <c r="K661" s="4">
        <f t="shared" si="130"/>
        <v>-1.8775728451989761E-5</v>
      </c>
      <c r="L661" s="4">
        <f t="shared" si="130"/>
        <v>-4.0842352041228051E-5</v>
      </c>
      <c r="M661" s="4">
        <f t="shared" si="130"/>
        <v>-6.5720592376926714E-5</v>
      </c>
      <c r="N661" s="4">
        <f t="shared" si="130"/>
        <v>-9.167949373120566E-5</v>
      </c>
      <c r="O661" s="4">
        <f t="shared" si="130"/>
        <v>-1.1762007779340148E-4</v>
      </c>
      <c r="P661" s="4">
        <f t="shared" si="130"/>
        <v>-1.4084826655766551E-4</v>
      </c>
      <c r="Q661" s="4">
        <f t="shared" si="130"/>
        <v>-1.5829239881641856E-4</v>
      </c>
      <c r="R661" s="4">
        <f t="shared" si="130"/>
        <v>-1.6769985468806177E-4</v>
      </c>
      <c r="S661" s="4">
        <f t="shared" si="130"/>
        <v>-1.6817915460902672E-4</v>
      </c>
      <c r="T661" s="4">
        <f t="shared" si="130"/>
        <v>-1.6035244239142002E-4</v>
      </c>
      <c r="U661" s="4">
        <f t="shared" si="130"/>
        <v>-1.4599470291561215E-4</v>
      </c>
      <c r="V661" s="4">
        <f t="shared" si="130"/>
        <v>-1.2742348291711864E-4</v>
      </c>
      <c r="W661" s="4">
        <f t="shared" si="130"/>
        <v>-1.0652210180456567E-4</v>
      </c>
      <c r="X661" s="4">
        <f t="shared" si="130"/>
        <v>-8.602626475771863E-5</v>
      </c>
      <c r="Y661" s="4">
        <f t="shared" si="130"/>
        <v>-6.6582204287701387E-5</v>
      </c>
      <c r="Z661" s="4">
        <f t="shared" si="130"/>
        <v>-4.8849790061042602E-5</v>
      </c>
      <c r="AA661" s="4">
        <f t="shared" si="130"/>
        <v>-3.3143044016958621E-5</v>
      </c>
      <c r="AB661" s="4">
        <f t="shared" si="130"/>
        <v>-1.8801832704801819E-5</v>
      </c>
      <c r="AC661" s="4">
        <f t="shared" si="130"/>
        <v>-7.072797639801E-6</v>
      </c>
      <c r="AD661" s="4">
        <f t="shared" si="130"/>
        <v>2.7343645353397303E-6</v>
      </c>
      <c r="AE661" s="4">
        <f t="shared" si="130"/>
        <v>1.0933994150390262E-5</v>
      </c>
      <c r="AF661" s="4">
        <f t="shared" si="130"/>
        <v>1.7865882400794515E-5</v>
      </c>
      <c r="AG661" s="4">
        <f t="shared" si="130"/>
        <v>2.3975623404888438E-5</v>
      </c>
      <c r="AH661" s="4">
        <f t="shared" si="130"/>
        <v>2.9789735329640821E-5</v>
      </c>
      <c r="AI661" s="4">
        <f t="shared" si="130"/>
        <v>3.5845739314641015E-5</v>
      </c>
      <c r="AJ661" s="4">
        <f t="shared" si="130"/>
        <v>4.2606115079289134E-5</v>
      </c>
      <c r="AK661" s="4">
        <f t="shared" si="130"/>
        <v>5.040916437272501E-5</v>
      </c>
      <c r="AL661" s="4">
        <f t="shared" si="130"/>
        <v>5.9444468285298988E-5</v>
      </c>
    </row>
    <row r="662" spans="1:38" x14ac:dyDescent="0.3">
      <c r="B662" t="s">
        <v>48</v>
      </c>
      <c r="C662" s="4">
        <f>(C635-C648)/C$647</f>
        <v>0</v>
      </c>
      <c r="D662" s="4">
        <f>(D635-D648)/D$646</f>
        <v>0</v>
      </c>
      <c r="E662" s="4">
        <f t="shared" ref="E662:AL662" si="131">(E635-E648)/E$646</f>
        <v>0</v>
      </c>
      <c r="F662" s="4">
        <f t="shared" si="131"/>
        <v>0</v>
      </c>
      <c r="G662" s="4">
        <f t="shared" si="131"/>
        <v>0</v>
      </c>
      <c r="H662" s="4">
        <f t="shared" si="131"/>
        <v>0</v>
      </c>
      <c r="I662" s="4">
        <f t="shared" si="131"/>
        <v>9.0598617598803503E-4</v>
      </c>
      <c r="J662" s="4">
        <f t="shared" si="131"/>
        <v>1.207724803948509E-3</v>
      </c>
      <c r="K662" s="4">
        <f t="shared" si="131"/>
        <v>1.4381544497104042E-3</v>
      </c>
      <c r="L662" s="4">
        <f t="shared" si="131"/>
        <v>1.6164724472646436E-3</v>
      </c>
      <c r="M662" s="4">
        <f t="shared" si="131"/>
        <v>1.7167827518636402E-3</v>
      </c>
      <c r="N662" s="4">
        <f t="shared" si="131"/>
        <v>1.7393573412814883E-3</v>
      </c>
      <c r="O662" s="4">
        <f t="shared" si="131"/>
        <v>1.71811240260818E-3</v>
      </c>
      <c r="P662" s="4">
        <f t="shared" si="131"/>
        <v>1.7004000286346679E-3</v>
      </c>
      <c r="Q662" s="4">
        <f t="shared" si="131"/>
        <v>1.7275955997934935E-3</v>
      </c>
      <c r="R662" s="4">
        <f t="shared" si="131"/>
        <v>1.8226974280146884E-3</v>
      </c>
      <c r="S662" s="4">
        <f t="shared" si="131"/>
        <v>1.9915519491312699E-3</v>
      </c>
      <c r="T662" s="4">
        <f t="shared" si="131"/>
        <v>2.2267951730233523E-3</v>
      </c>
      <c r="U662" s="4">
        <f t="shared" si="131"/>
        <v>2.5145697255081595E-3</v>
      </c>
      <c r="V662" s="4">
        <f t="shared" si="131"/>
        <v>2.8410267258922187E-3</v>
      </c>
      <c r="W662" s="4">
        <f t="shared" si="131"/>
        <v>3.1947527997740408E-3</v>
      </c>
      <c r="X662" s="4">
        <f t="shared" si="131"/>
        <v>3.5763054864387071E-3</v>
      </c>
      <c r="Y662" s="4">
        <f t="shared" si="131"/>
        <v>3.9815332361533614E-3</v>
      </c>
      <c r="Z662" s="4">
        <f t="shared" si="131"/>
        <v>4.4095354711738543E-3</v>
      </c>
      <c r="AA662" s="4">
        <f t="shared" si="131"/>
        <v>4.8587614435533586E-3</v>
      </c>
      <c r="AB662" s="4">
        <f t="shared" si="131"/>
        <v>5.3279900062648752E-3</v>
      </c>
      <c r="AC662" s="4">
        <f t="shared" si="131"/>
        <v>5.8119979114176377E-3</v>
      </c>
      <c r="AD662" s="4">
        <f t="shared" si="131"/>
        <v>6.3066954440011329E-3</v>
      </c>
      <c r="AE662" s="4">
        <f t="shared" si="131"/>
        <v>6.8094700901246592E-3</v>
      </c>
      <c r="AF662" s="4">
        <f t="shared" si="131"/>
        <v>7.319188696511522E-3</v>
      </c>
      <c r="AG662" s="4">
        <f t="shared" si="131"/>
        <v>7.835970735827924E-3</v>
      </c>
      <c r="AH662" s="4">
        <f t="shared" si="131"/>
        <v>8.3609093957770168E-3</v>
      </c>
      <c r="AI662" s="4">
        <f t="shared" si="131"/>
        <v>8.89562640029792E-3</v>
      </c>
      <c r="AJ662" s="4">
        <f t="shared" si="131"/>
        <v>9.4415097233929105E-3</v>
      </c>
      <c r="AK662" s="4">
        <f t="shared" si="131"/>
        <v>9.9994661188835647E-3</v>
      </c>
      <c r="AL662" s="4">
        <f t="shared" si="131"/>
        <v>1.0569916822612378E-2</v>
      </c>
    </row>
    <row r="663" spans="1:38" x14ac:dyDescent="0.3">
      <c r="B663" t="s">
        <v>81</v>
      </c>
      <c r="C663" s="4">
        <f>(C639-C652)/C$646</f>
        <v>0</v>
      </c>
      <c r="D663" s="4">
        <f>(D639-D652)/D$646</f>
        <v>0</v>
      </c>
      <c r="E663" s="4">
        <f t="shared" ref="E663:AL663" si="132">(E639-E652)/E$646</f>
        <v>0</v>
      </c>
      <c r="F663" s="4">
        <f t="shared" si="132"/>
        <v>0</v>
      </c>
      <c r="G663" s="4">
        <f t="shared" si="132"/>
        <v>0</v>
      </c>
      <c r="H663" s="4">
        <f t="shared" si="132"/>
        <v>0</v>
      </c>
      <c r="I663" s="4">
        <f t="shared" si="132"/>
        <v>1.802247330300236E-3</v>
      </c>
      <c r="J663" s="4">
        <f t="shared" si="132"/>
        <v>1.7039129512138799E-3</v>
      </c>
      <c r="K663" s="4">
        <f t="shared" si="132"/>
        <v>1.5506977191058317E-3</v>
      </c>
      <c r="L663" s="4">
        <f t="shared" si="132"/>
        <v>1.3448540867831455E-3</v>
      </c>
      <c r="M663" s="4">
        <f t="shared" si="132"/>
        <v>1.0656152765232596E-3</v>
      </c>
      <c r="N663" s="4">
        <f t="shared" si="132"/>
        <v>7.2842894087241073E-4</v>
      </c>
      <c r="O663" s="4">
        <f t="shared" si="132"/>
        <v>3.7229417586267469E-4</v>
      </c>
      <c r="P663" s="4">
        <f t="shared" si="132"/>
        <v>4.4950066410774451E-5</v>
      </c>
      <c r="Q663" s="4">
        <f t="shared" si="132"/>
        <v>-2.1721241133559459E-4</v>
      </c>
      <c r="R663" s="4">
        <f t="shared" si="132"/>
        <v>-4.0215549523299303E-4</v>
      </c>
      <c r="S663" s="4">
        <f t="shared" si="132"/>
        <v>-5.1158234689493022E-4</v>
      </c>
      <c r="T663" s="4">
        <f t="shared" si="132"/>
        <v>-5.5790834998664695E-4</v>
      </c>
      <c r="U663" s="4">
        <f t="shared" si="132"/>
        <v>-5.5871833254780574E-4</v>
      </c>
      <c r="V663" s="4">
        <f t="shared" si="132"/>
        <v>-5.3145895556299283E-4</v>
      </c>
      <c r="W663" s="4">
        <f t="shared" si="132"/>
        <v>-4.9043428951839145E-4</v>
      </c>
      <c r="X663" s="4">
        <f t="shared" si="132"/>
        <v>-4.4232610010119431E-4</v>
      </c>
      <c r="Y663" s="4">
        <f t="shared" si="132"/>
        <v>-3.9477435278194171E-4</v>
      </c>
      <c r="Z663" s="4">
        <f t="shared" si="132"/>
        <v>-3.5319745393026878E-4</v>
      </c>
      <c r="AA663" s="4">
        <f t="shared" si="132"/>
        <v>-3.223818457509659E-4</v>
      </c>
      <c r="AB663" s="4">
        <f t="shared" si="132"/>
        <v>-3.0786271227606495E-4</v>
      </c>
      <c r="AC663" s="4">
        <f t="shared" si="132"/>
        <v>-3.1139091252948192E-4</v>
      </c>
      <c r="AD663" s="4">
        <f t="shared" si="132"/>
        <v>-3.3675613817624319E-4</v>
      </c>
      <c r="AE663" s="4">
        <f t="shared" si="132"/>
        <v>-3.843084726384763E-4</v>
      </c>
      <c r="AF663" s="4">
        <f t="shared" si="132"/>
        <v>-4.5167416282094927E-4</v>
      </c>
      <c r="AG663" s="4">
        <f t="shared" si="132"/>
        <v>-5.3456078521565259E-4</v>
      </c>
      <c r="AH663" s="4">
        <f t="shared" si="132"/>
        <v>-6.2747639322605271E-4</v>
      </c>
      <c r="AI663" s="4">
        <f t="shared" si="132"/>
        <v>-7.2461326861309068E-4</v>
      </c>
      <c r="AJ663" s="4">
        <f t="shared" si="132"/>
        <v>-8.2136755038160871E-4</v>
      </c>
      <c r="AK663" s="4">
        <f t="shared" si="132"/>
        <v>-9.1420373428029817E-4</v>
      </c>
      <c r="AL663" s="4">
        <f t="shared" si="132"/>
        <v>-1.0002737402854272E-3</v>
      </c>
    </row>
    <row r="664" spans="1:38" x14ac:dyDescent="0.3">
      <c r="B664" t="s">
        <v>11</v>
      </c>
      <c r="C664" s="4">
        <f>(C640-C653)/C$647</f>
        <v>0</v>
      </c>
      <c r="D664" s="4">
        <f>(D640-D653)/D$646</f>
        <v>0</v>
      </c>
      <c r="E664" s="4">
        <f t="shared" ref="E664:AL664" si="133">(E640-E653)/E$646</f>
        <v>0</v>
      </c>
      <c r="F664" s="4">
        <f t="shared" si="133"/>
        <v>0</v>
      </c>
      <c r="G664" s="4">
        <f t="shared" si="133"/>
        <v>0</v>
      </c>
      <c r="H664" s="4">
        <f t="shared" si="133"/>
        <v>0</v>
      </c>
      <c r="I664" s="4">
        <f t="shared" si="133"/>
        <v>2.3764712163609897E-3</v>
      </c>
      <c r="J664" s="4">
        <f t="shared" si="133"/>
        <v>-8.0026333161722105E-4</v>
      </c>
      <c r="K664" s="4">
        <f t="shared" si="133"/>
        <v>-6.8527581229261116E-3</v>
      </c>
      <c r="L664" s="4">
        <f t="shared" si="133"/>
        <v>-1.4621845942479599E-2</v>
      </c>
      <c r="M664" s="4">
        <f t="shared" si="133"/>
        <v>-2.3189233886841097E-2</v>
      </c>
      <c r="N664" s="4">
        <f t="shared" si="133"/>
        <v>-3.1695740792284627E-2</v>
      </c>
      <c r="O664" s="4">
        <f t="shared" si="133"/>
        <v>-3.9367138903011099E-2</v>
      </c>
      <c r="P664" s="4">
        <f t="shared" si="133"/>
        <v>-4.5593393767770954E-2</v>
      </c>
      <c r="Q664" s="4">
        <f t="shared" si="133"/>
        <v>-4.9992094601972382E-2</v>
      </c>
      <c r="R664" s="4">
        <f t="shared" si="133"/>
        <v>-5.2495897141216552E-2</v>
      </c>
      <c r="S664" s="4">
        <f t="shared" si="133"/>
        <v>-5.3209611978265875E-2</v>
      </c>
      <c r="T664" s="4">
        <f t="shared" si="133"/>
        <v>-5.2388089219330906E-2</v>
      </c>
      <c r="U664" s="4">
        <f t="shared" si="133"/>
        <v>-5.038607510457923E-2</v>
      </c>
      <c r="V664" s="4">
        <f t="shared" si="133"/>
        <v>-4.7598337456127883E-2</v>
      </c>
      <c r="W664" s="4">
        <f t="shared" si="133"/>
        <v>-4.4410645704741986E-2</v>
      </c>
      <c r="X664" s="4">
        <f t="shared" si="133"/>
        <v>-4.1107749638875181E-2</v>
      </c>
      <c r="Y664" s="4">
        <f t="shared" si="133"/>
        <v>-3.7972273719094049E-2</v>
      </c>
      <c r="Z664" s="4">
        <f t="shared" si="133"/>
        <v>-3.521600432100714E-2</v>
      </c>
      <c r="AA664" s="4">
        <f t="shared" si="133"/>
        <v>-3.299016467788949E-2</v>
      </c>
      <c r="AB664" s="4">
        <f t="shared" si="133"/>
        <v>-3.1403427994962145E-2</v>
      </c>
      <c r="AC664" s="4">
        <f t="shared" si="133"/>
        <v>-3.0452503144338897E-2</v>
      </c>
      <c r="AD664" s="4">
        <f t="shared" si="133"/>
        <v>-3.0131825087763305E-2</v>
      </c>
      <c r="AE664" s="4">
        <f t="shared" si="133"/>
        <v>-3.0372244046129579E-2</v>
      </c>
      <c r="AF664" s="4">
        <f t="shared" si="133"/>
        <v>-3.1062770267215458E-2</v>
      </c>
      <c r="AG664" s="4">
        <f t="shared" si="133"/>
        <v>-3.2067296455798575E-2</v>
      </c>
      <c r="AH664" s="4">
        <f t="shared" si="133"/>
        <v>-3.3237719084352503E-2</v>
      </c>
      <c r="AI664" s="4">
        <f t="shared" si="133"/>
        <v>-3.4428668373389017E-2</v>
      </c>
      <c r="AJ664" s="4">
        <f t="shared" si="133"/>
        <v>-3.552132298844643E-2</v>
      </c>
      <c r="AK664" s="4">
        <f t="shared" si="133"/>
        <v>-3.6425179147089287E-2</v>
      </c>
      <c r="AL664" s="4">
        <f t="shared" si="133"/>
        <v>-3.7074907800469882E-2</v>
      </c>
    </row>
    <row r="665" spans="1:38" x14ac:dyDescent="0.3">
      <c r="B665" t="s">
        <v>49</v>
      </c>
      <c r="C665" s="4">
        <f>(C641-C654)/C$648</f>
        <v>0</v>
      </c>
      <c r="D665" s="4">
        <f>(D641-D654)/D$646</f>
        <v>0</v>
      </c>
      <c r="E665" s="4">
        <f t="shared" ref="E665:AL665" si="134">(E641-E654)/E$646</f>
        <v>0</v>
      </c>
      <c r="F665" s="4">
        <f t="shared" si="134"/>
        <v>0</v>
      </c>
      <c r="G665" s="4">
        <f t="shared" si="134"/>
        <v>0</v>
      </c>
      <c r="H665" s="4">
        <f t="shared" si="134"/>
        <v>0</v>
      </c>
      <c r="I665" s="4">
        <f t="shared" si="134"/>
        <v>3.0692105529019254E-3</v>
      </c>
      <c r="J665" s="4">
        <f t="shared" si="134"/>
        <v>3.1296098177261977E-3</v>
      </c>
      <c r="K665" s="4">
        <f t="shared" si="134"/>
        <v>2.5792032181815873E-3</v>
      </c>
      <c r="L665" s="4">
        <f t="shared" si="134"/>
        <v>1.7901607211836302E-3</v>
      </c>
      <c r="M665" s="4">
        <f t="shared" si="134"/>
        <v>8.732841850852671E-4</v>
      </c>
      <c r="N665" s="4">
        <f t="shared" si="134"/>
        <v>-9.8288434800280827E-5</v>
      </c>
      <c r="O665" s="4">
        <f t="shared" si="134"/>
        <v>-1.0246785452583751E-3</v>
      </c>
      <c r="P665" s="4">
        <f t="shared" si="134"/>
        <v>-1.8088513540445168E-3</v>
      </c>
      <c r="Q665" s="4">
        <f t="shared" si="134"/>
        <v>-2.3819253115530499E-3</v>
      </c>
      <c r="R665" s="4">
        <f t="shared" si="134"/>
        <v>-2.7281022084947601E-3</v>
      </c>
      <c r="S665" s="4">
        <f t="shared" si="134"/>
        <v>-2.8578600769395964E-3</v>
      </c>
      <c r="T665" s="4">
        <f t="shared" si="134"/>
        <v>-2.8037184924008364E-3</v>
      </c>
      <c r="U665" s="4">
        <f t="shared" si="134"/>
        <v>-2.6117447373006746E-3</v>
      </c>
      <c r="V665" s="4">
        <f t="shared" si="134"/>
        <v>-2.3315343126336647E-3</v>
      </c>
      <c r="W665" s="4">
        <f t="shared" si="134"/>
        <v>-2.0088200348732325E-3</v>
      </c>
      <c r="X665" s="4">
        <f t="shared" si="134"/>
        <v>-1.6688336753753529E-3</v>
      </c>
      <c r="Y665" s="4">
        <f t="shared" si="134"/>
        <v>-1.340368046250439E-3</v>
      </c>
      <c r="Z665" s="4">
        <f t="shared" si="134"/>
        <v>-1.0433430476073282E-3</v>
      </c>
      <c r="AA665" s="4">
        <f t="shared" si="134"/>
        <v>-7.922282315907614E-4</v>
      </c>
      <c r="AB665" s="4">
        <f t="shared" si="134"/>
        <v>-6.0027195405676966E-4</v>
      </c>
      <c r="AC665" s="4">
        <f t="shared" si="134"/>
        <v>-4.6603803186919939E-4</v>
      </c>
      <c r="AD665" s="4">
        <f t="shared" si="134"/>
        <v>-3.9300922877805487E-4</v>
      </c>
      <c r="AE665" s="4">
        <f t="shared" si="134"/>
        <v>-3.7712782781850395E-4</v>
      </c>
      <c r="AF665" s="4">
        <f t="shared" si="134"/>
        <v>-4.088810575716279E-4</v>
      </c>
      <c r="AG665" s="4">
        <f t="shared" si="134"/>
        <v>-4.7540232379289016E-4</v>
      </c>
      <c r="AH665" s="4">
        <f t="shared" si="134"/>
        <v>-5.6158011866737866E-4</v>
      </c>
      <c r="AI665" s="4">
        <f t="shared" si="134"/>
        <v>-6.5157529500144346E-4</v>
      </c>
      <c r="AJ665" s="4">
        <f t="shared" si="134"/>
        <v>-7.3300370365829589E-4</v>
      </c>
      <c r="AK665" s="4">
        <f t="shared" si="134"/>
        <v>-7.9643313787867921E-4</v>
      </c>
      <c r="AL665" s="4">
        <f t="shared" si="134"/>
        <v>-8.3397911410514264E-4</v>
      </c>
    </row>
    <row r="667" spans="1:38" x14ac:dyDescent="0.3">
      <c r="B667" s="6" t="str">
        <f>[1]Macro!A100</f>
        <v>y_toe_2</v>
      </c>
      <c r="C667" s="6">
        <f>[1]Macro!B100</f>
        <v>136.3911382</v>
      </c>
      <c r="D667" s="6">
        <f>[1]Macro!C100</f>
        <v>138.50092309999999</v>
      </c>
      <c r="E667" s="6">
        <f>[1]Macro!D100</f>
        <v>140.32633329999999</v>
      </c>
      <c r="F667" s="6">
        <f>[1]Macro!E100</f>
        <v>142.26008949999999</v>
      </c>
      <c r="G667" s="6">
        <f>[1]Macro!F100</f>
        <v>144.4229133</v>
      </c>
      <c r="H667" s="6">
        <f>[1]Macro!G100</f>
        <v>146.8458033</v>
      </c>
      <c r="I667" s="6">
        <f>[1]Macro!H100</f>
        <v>150.60648549999999</v>
      </c>
      <c r="J667" s="6">
        <f>[1]Macro!I100</f>
        <v>152.92989030000001</v>
      </c>
      <c r="K667" s="6">
        <f>[1]Macro!J100</f>
        <v>154.78477419999999</v>
      </c>
      <c r="L667" s="6">
        <f>[1]Macro!K100</f>
        <v>156.312848</v>
      </c>
      <c r="M667" s="6">
        <f>[1]Macro!L100</f>
        <v>157.72166189999999</v>
      </c>
      <c r="N667" s="6">
        <f>[1]Macro!M100</f>
        <v>158.88702169999999</v>
      </c>
      <c r="O667" s="6">
        <f>[1]Macro!N100</f>
        <v>160.03500750000001</v>
      </c>
      <c r="P667" s="6">
        <f>[1]Macro!O100</f>
        <v>161.29497720000001</v>
      </c>
      <c r="Q667" s="6">
        <f>[1]Macro!P100</f>
        <v>162.74749209999999</v>
      </c>
      <c r="R667" s="6">
        <f>[1]Macro!Q100</f>
        <v>164.41341109999999</v>
      </c>
      <c r="S667" s="6">
        <f>[1]Macro!R100</f>
        <v>166.29425029999999</v>
      </c>
      <c r="T667" s="6">
        <f>[1]Macro!S100</f>
        <v>168.37611440000001</v>
      </c>
      <c r="U667" s="6">
        <f>[1]Macro!T100</f>
        <v>170.63639760000001</v>
      </c>
      <c r="V667" s="6">
        <f>[1]Macro!U100</f>
        <v>173.04957820000001</v>
      </c>
      <c r="W667" s="6">
        <f>[1]Macro!V100</f>
        <v>175.48736539999999</v>
      </c>
      <c r="X667" s="6">
        <f>[1]Macro!W100</f>
        <v>178.09925530000001</v>
      </c>
      <c r="Y667" s="6">
        <f>[1]Macro!X100</f>
        <v>180.7891937</v>
      </c>
      <c r="Z667" s="6">
        <f>[1]Macro!Y100</f>
        <v>183.52302299999999</v>
      </c>
      <c r="AA667" s="6">
        <f>[1]Macro!Z100</f>
        <v>186.27653230000001</v>
      </c>
      <c r="AB667" s="6">
        <f>[1]Macro!AA100</f>
        <v>188.70682859999999</v>
      </c>
      <c r="AC667" s="6">
        <f>[1]Macro!AB100</f>
        <v>191.21028860000001</v>
      </c>
      <c r="AD667" s="6">
        <f>[1]Macro!AC100</f>
        <v>193.6369795</v>
      </c>
      <c r="AE667" s="6">
        <f>[1]Macro!AD100</f>
        <v>195.96149790000001</v>
      </c>
      <c r="AF667" s="6">
        <f>[1]Macro!AE100</f>
        <v>198.19587079999999</v>
      </c>
      <c r="AG667" s="6">
        <f>[1]Macro!AF100</f>
        <v>200.3706804</v>
      </c>
      <c r="AH667" s="6">
        <f>[1]Macro!AG100</f>
        <v>202.52199680000001</v>
      </c>
      <c r="AI667" s="6">
        <f>[1]Macro!AH100</f>
        <v>204.68196850000001</v>
      </c>
      <c r="AJ667" s="6">
        <f>[1]Macro!AI100</f>
        <v>206.8711385</v>
      </c>
      <c r="AK667" s="6">
        <f>[1]Macro!AJ100</f>
        <v>209.10035550000001</v>
      </c>
      <c r="AL667" s="6">
        <f>[1]Macro!AK100</f>
        <v>211.3738716</v>
      </c>
    </row>
    <row r="668" spans="1:38" x14ac:dyDescent="0.3">
      <c r="B668" s="6" t="str">
        <f>[1]Macro!A101</f>
        <v>m_toe_2</v>
      </c>
      <c r="C668" s="6">
        <f>[1]Macro!B101</f>
        <v>152.71267259999999</v>
      </c>
      <c r="D668" s="6">
        <f>[1]Macro!C101</f>
        <v>152.9209735</v>
      </c>
      <c r="E668" s="6">
        <f>[1]Macro!D101</f>
        <v>153.3486437</v>
      </c>
      <c r="F668" s="6">
        <f>[1]Macro!E101</f>
        <v>154.02465340000001</v>
      </c>
      <c r="G668" s="6">
        <f>[1]Macro!F101</f>
        <v>155.00094319999999</v>
      </c>
      <c r="H668" s="6">
        <f>[1]Macro!G101</f>
        <v>156.2844083</v>
      </c>
      <c r="I668" s="6">
        <f>[1]Macro!H101</f>
        <v>158.72947690000001</v>
      </c>
      <c r="J668" s="6">
        <f>[1]Macro!I101</f>
        <v>160.59957919999999</v>
      </c>
      <c r="K668" s="6">
        <f>[1]Macro!J101</f>
        <v>162.43437180000001</v>
      </c>
      <c r="L668" s="6">
        <f>[1]Macro!K101</f>
        <v>164.26163869999999</v>
      </c>
      <c r="M668" s="6">
        <f>[1]Macro!L101</f>
        <v>166.23384010000001</v>
      </c>
      <c r="N668" s="6">
        <f>[1]Macro!M101</f>
        <v>167.98122710000001</v>
      </c>
      <c r="O668" s="6">
        <f>[1]Macro!N101</f>
        <v>169.7042922</v>
      </c>
      <c r="P668" s="6">
        <f>[1]Macro!O101</f>
        <v>171.46883020000001</v>
      </c>
      <c r="Q668" s="6">
        <f>[1]Macro!P101</f>
        <v>173.29882169999999</v>
      </c>
      <c r="R668" s="6">
        <f>[1]Macro!Q101</f>
        <v>175.19493489999999</v>
      </c>
      <c r="S668" s="6">
        <f>[1]Macro!R101</f>
        <v>177.1477338</v>
      </c>
      <c r="T668" s="6">
        <f>[1]Macro!S101</f>
        <v>179.14402580000001</v>
      </c>
      <c r="U668" s="6">
        <f>[1]Macro!T101</f>
        <v>181.17184990000001</v>
      </c>
      <c r="V668" s="6">
        <f>[1]Macro!U101</f>
        <v>183.2233736</v>
      </c>
      <c r="W668" s="6">
        <f>[1]Macro!V101</f>
        <v>185.15117230000001</v>
      </c>
      <c r="X668" s="6">
        <f>[1]Macro!W101</f>
        <v>187.22741060000001</v>
      </c>
      <c r="Y668" s="6">
        <f>[1]Macro!X101</f>
        <v>189.33758090000001</v>
      </c>
      <c r="Z668" s="6">
        <f>[1]Macro!Y101</f>
        <v>191.4624958</v>
      </c>
      <c r="AA668" s="6">
        <f>[1]Macro!Z101</f>
        <v>193.60510679999999</v>
      </c>
      <c r="AB668" s="6">
        <f>[1]Macro!AA101</f>
        <v>195.33577260000001</v>
      </c>
      <c r="AC668" s="6">
        <f>[1]Macro!AB101</f>
        <v>197.29076480000001</v>
      </c>
      <c r="AD668" s="6">
        <f>[1]Macro!AC101</f>
        <v>199.27204599999999</v>
      </c>
      <c r="AE668" s="6">
        <f>[1]Macro!AD101</f>
        <v>201.23264349999999</v>
      </c>
      <c r="AF668" s="6">
        <f>[1]Macro!AE101</f>
        <v>203.1744668</v>
      </c>
      <c r="AG668" s="6">
        <f>[1]Macro!AF101</f>
        <v>205.11120769999999</v>
      </c>
      <c r="AH668" s="6">
        <f>[1]Macro!AG101</f>
        <v>207.0559318</v>
      </c>
      <c r="AI668" s="6">
        <f>[1]Macro!AH101</f>
        <v>209.01662529999999</v>
      </c>
      <c r="AJ668" s="6">
        <f>[1]Macro!AI101</f>
        <v>210.99496540000001</v>
      </c>
      <c r="AK668" s="6">
        <f>[1]Macro!AJ101</f>
        <v>212.98827919999999</v>
      </c>
      <c r="AL668" s="6">
        <f>[1]Macro!AK101</f>
        <v>214.99227200000001</v>
      </c>
    </row>
    <row r="669" spans="1:38" x14ac:dyDescent="0.3">
      <c r="B669" s="6" t="str">
        <f>[1]Macro!A102</f>
        <v>ci_toe_2</v>
      </c>
      <c r="C669" s="6">
        <f>[1]Macro!B102</f>
        <v>172.21087080000001</v>
      </c>
      <c r="D669" s="6">
        <f>[1]Macro!C102</f>
        <v>173.95496850000001</v>
      </c>
      <c r="E669" s="6">
        <f>[1]Macro!D102</f>
        <v>175.7743098</v>
      </c>
      <c r="F669" s="6">
        <f>[1]Macro!E102</f>
        <v>177.85782620000001</v>
      </c>
      <c r="G669" s="6">
        <f>[1]Macro!F102</f>
        <v>180.31262269999999</v>
      </c>
      <c r="H669" s="6">
        <f>[1]Macro!G102</f>
        <v>183.1855506</v>
      </c>
      <c r="I669" s="6">
        <f>[1]Macro!H102</f>
        <v>188.49946059999999</v>
      </c>
      <c r="J669" s="6">
        <f>[1]Macro!I102</f>
        <v>191.95705359999999</v>
      </c>
      <c r="K669" s="6">
        <f>[1]Macro!J102</f>
        <v>195.00223030000001</v>
      </c>
      <c r="L669" s="6">
        <f>[1]Macro!K102</f>
        <v>197.74956119999999</v>
      </c>
      <c r="M669" s="6">
        <f>[1]Macro!L102</f>
        <v>200.40805409999999</v>
      </c>
      <c r="N669" s="6">
        <f>[1]Macro!M102</f>
        <v>202.65696199999999</v>
      </c>
      <c r="O669" s="6">
        <f>[1]Macro!N102</f>
        <v>204.81215779999999</v>
      </c>
      <c r="P669" s="6">
        <f>[1]Macro!O102</f>
        <v>207.0440529</v>
      </c>
      <c r="Q669" s="6">
        <f>[1]Macro!P102</f>
        <v>209.44595659999999</v>
      </c>
      <c r="R669" s="6">
        <f>[1]Macro!Q102</f>
        <v>212.04990979999999</v>
      </c>
      <c r="S669" s="6">
        <f>[1]Macro!R102</f>
        <v>214.85381480000001</v>
      </c>
      <c r="T669" s="6">
        <f>[1]Macro!S102</f>
        <v>217.83623879999999</v>
      </c>
      <c r="U669" s="6">
        <f>[1]Macro!T102</f>
        <v>220.96989490000001</v>
      </c>
      <c r="V669" s="6">
        <f>[1]Macro!U102</f>
        <v>224.23062110000001</v>
      </c>
      <c r="W669" s="6">
        <f>[1]Macro!V102</f>
        <v>227.42993150000001</v>
      </c>
      <c r="X669" s="6">
        <f>[1]Macro!W102</f>
        <v>230.85965060000001</v>
      </c>
      <c r="Y669" s="6">
        <f>[1]Macro!X102</f>
        <v>234.38095419999999</v>
      </c>
      <c r="Z669" s="6">
        <f>[1]Macro!Y102</f>
        <v>237.95189640000001</v>
      </c>
      <c r="AA669" s="6">
        <f>[1]Macro!Z102</f>
        <v>241.560439</v>
      </c>
      <c r="AB669" s="6">
        <f>[1]Macro!AA102</f>
        <v>244.66326659999999</v>
      </c>
      <c r="AC669" s="6">
        <f>[1]Macro!AB102</f>
        <v>247.9921406</v>
      </c>
      <c r="AD669" s="6">
        <f>[1]Macro!AC102</f>
        <v>251.29047019999999</v>
      </c>
      <c r="AE669" s="6">
        <f>[1]Macro!AD102</f>
        <v>254.48492469999999</v>
      </c>
      <c r="AF669" s="6">
        <f>[1]Macro!AE102</f>
        <v>257.58670180000001</v>
      </c>
      <c r="AG669" s="6">
        <f>[1]Macro!AF102</f>
        <v>260.63652280000002</v>
      </c>
      <c r="AH669" s="6">
        <f>[1]Macro!AG102</f>
        <v>263.67887430000002</v>
      </c>
      <c r="AI669" s="6">
        <f>[1]Macro!AH102</f>
        <v>266.74822280000001</v>
      </c>
      <c r="AJ669" s="6">
        <f>[1]Macro!AI102</f>
        <v>269.86273019999999</v>
      </c>
      <c r="AK669" s="6">
        <f>[1]Macro!AJ102</f>
        <v>273.027107</v>
      </c>
      <c r="AL669" s="6">
        <f>[1]Macro!AK102</f>
        <v>276.23873550000002</v>
      </c>
    </row>
    <row r="670" spans="1:38" x14ac:dyDescent="0.3">
      <c r="B670" s="6" t="str">
        <f>[1]Macro!A103</f>
        <v>ch_toe_2</v>
      </c>
      <c r="C670" s="6">
        <f>[1]Macro!B103</f>
        <v>73.965462770000002</v>
      </c>
      <c r="D670" s="6">
        <f>[1]Macro!C103</f>
        <v>73.842886010000001</v>
      </c>
      <c r="E670" s="6">
        <f>[1]Macro!D103</f>
        <v>73.502699530000001</v>
      </c>
      <c r="F670" s="6">
        <f>[1]Macro!E103</f>
        <v>73.215225439999998</v>
      </c>
      <c r="G670" s="6">
        <f>[1]Macro!F103</f>
        <v>73.043234389999995</v>
      </c>
      <c r="H670" s="6">
        <f>[1]Macro!G103</f>
        <v>72.978462660000005</v>
      </c>
      <c r="I670" s="6">
        <f>[1]Macro!H103</f>
        <v>72.979956329999993</v>
      </c>
      <c r="J670" s="6">
        <f>[1]Macro!I103</f>
        <v>72.921001189999998</v>
      </c>
      <c r="K670" s="6">
        <f>[1]Macro!J103</f>
        <v>72.848592510000003</v>
      </c>
      <c r="L670" s="6">
        <f>[1]Macro!K103</f>
        <v>72.79370591</v>
      </c>
      <c r="M670" s="6">
        <f>[1]Macro!L103</f>
        <v>72.802271450000006</v>
      </c>
      <c r="N670" s="6">
        <f>[1]Macro!M103</f>
        <v>72.832879640000002</v>
      </c>
      <c r="O670" s="6">
        <f>[1]Macro!N103</f>
        <v>72.897249599999995</v>
      </c>
      <c r="P670" s="6">
        <f>[1]Macro!O103</f>
        <v>73.003927160000003</v>
      </c>
      <c r="Q670" s="6">
        <f>[1]Macro!P103</f>
        <v>73.153097310000007</v>
      </c>
      <c r="R670" s="6">
        <f>[1]Macro!Q103</f>
        <v>73.328076820000007</v>
      </c>
      <c r="S670" s="6">
        <f>[1]Macro!R103</f>
        <v>73.520693910000006</v>
      </c>
      <c r="T670" s="6">
        <f>[1]Macro!S103</f>
        <v>73.725949610000001</v>
      </c>
      <c r="U670" s="6">
        <f>[1]Macro!T103</f>
        <v>73.939560400000005</v>
      </c>
      <c r="V670" s="6">
        <f>[1]Macro!U103</f>
        <v>74.157122860000001</v>
      </c>
      <c r="W670" s="6">
        <f>[1]Macro!V103</f>
        <v>74.356391549999998</v>
      </c>
      <c r="X670" s="6">
        <f>[1]Macro!W103</f>
        <v>74.558309499999993</v>
      </c>
      <c r="Y670" s="6">
        <f>[1]Macro!X103</f>
        <v>74.756042539999996</v>
      </c>
      <c r="Z670" s="6">
        <f>[1]Macro!Y103</f>
        <v>74.945356160000003</v>
      </c>
      <c r="AA670" s="6">
        <f>[1]Macro!Z103</f>
        <v>75.123715219999994</v>
      </c>
      <c r="AB670" s="6">
        <f>[1]Macro!AA103</f>
        <v>75.240295560000007</v>
      </c>
      <c r="AC670" s="6">
        <f>[1]Macro!AB103</f>
        <v>75.3424689</v>
      </c>
      <c r="AD670" s="6">
        <f>[1]Macro!AC103</f>
        <v>75.431682140000007</v>
      </c>
      <c r="AE670" s="6">
        <f>[1]Macro!AD103</f>
        <v>75.509461770000001</v>
      </c>
      <c r="AF670" s="6">
        <f>[1]Macro!AE103</f>
        <v>75.576921179999999</v>
      </c>
      <c r="AG670" s="6">
        <f>[1]Macro!AF103</f>
        <v>75.634285050000003</v>
      </c>
      <c r="AH670" s="6">
        <f>[1]Macro!AG103</f>
        <v>75.681915020000005</v>
      </c>
      <c r="AI670" s="6">
        <f>[1]Macro!AH103</f>
        <v>75.72098733</v>
      </c>
      <c r="AJ670" s="6">
        <f>[1]Macro!AI103</f>
        <v>75.751467390000002</v>
      </c>
      <c r="AK670" s="6">
        <f>[1]Macro!AJ103</f>
        <v>75.773446079999999</v>
      </c>
      <c r="AL670" s="6">
        <f>[1]Macro!AK103</f>
        <v>75.786954890000004</v>
      </c>
    </row>
    <row r="671" spans="1:38" x14ac:dyDescent="0.3">
      <c r="B671" s="6" t="str">
        <f>[1]Macro!A104</f>
        <v>x_toe_2</v>
      </c>
      <c r="C671" s="6">
        <f>[1]Macro!B104</f>
        <v>42.92747731</v>
      </c>
      <c r="D671" s="6">
        <f>[1]Macro!C104</f>
        <v>43.624042160000002</v>
      </c>
      <c r="E671" s="6">
        <f>[1]Macro!D104</f>
        <v>44.397967659999999</v>
      </c>
      <c r="F671" s="6">
        <f>[1]Macro!E104</f>
        <v>45.21169123</v>
      </c>
      <c r="G671" s="6">
        <f>[1]Macro!F104</f>
        <v>46.06799934</v>
      </c>
      <c r="H671" s="6">
        <f>[1]Macro!G104</f>
        <v>46.96619836</v>
      </c>
      <c r="I671" s="6">
        <f>[1]Macro!H104</f>
        <v>47.85654547</v>
      </c>
      <c r="J671" s="6">
        <f>[1]Macro!I104</f>
        <v>48.651414680000002</v>
      </c>
      <c r="K671" s="6">
        <f>[1]Macro!J104</f>
        <v>49.36832321</v>
      </c>
      <c r="L671" s="6">
        <f>[1]Macro!K104</f>
        <v>50.03121951</v>
      </c>
      <c r="M671" s="6">
        <f>[1]Macro!L104</f>
        <v>50.745176360000002</v>
      </c>
      <c r="N671" s="6">
        <f>[1]Macro!M104</f>
        <v>51.378407099999997</v>
      </c>
      <c r="O671" s="6">
        <f>[1]Macro!N104</f>
        <v>52.029892179999997</v>
      </c>
      <c r="P671" s="6">
        <f>[1]Macro!O104</f>
        <v>52.715827279999999</v>
      </c>
      <c r="Q671" s="6">
        <f>[1]Macro!P104</f>
        <v>53.447259819999999</v>
      </c>
      <c r="R671" s="6">
        <f>[1]Macro!Q104</f>
        <v>54.230359460000003</v>
      </c>
      <c r="S671" s="6">
        <f>[1]Macro!R104</f>
        <v>55.067475369999997</v>
      </c>
      <c r="T671" s="6">
        <f>[1]Macro!S104</f>
        <v>55.957951799999996</v>
      </c>
      <c r="U671" s="6">
        <f>[1]Macro!T104</f>
        <v>56.898792210000003</v>
      </c>
      <c r="V671" s="6">
        <f>[1]Macro!U104</f>
        <v>57.885207780000002</v>
      </c>
      <c r="W671" s="6">
        <f>[1]Macro!V104</f>
        <v>58.852214629999999</v>
      </c>
      <c r="X671" s="6">
        <f>[1]Macro!W104</f>
        <v>59.908705879999999</v>
      </c>
      <c r="Y671" s="6">
        <f>[1]Macro!X104</f>
        <v>60.989777910000001</v>
      </c>
      <c r="Z671" s="6">
        <f>[1]Macro!Y104</f>
        <v>62.088266220000001</v>
      </c>
      <c r="AA671" s="6">
        <f>[1]Macro!Z104</f>
        <v>63.197484889999998</v>
      </c>
      <c r="AB671" s="6">
        <f>[1]Macro!AA104</f>
        <v>64.13903904</v>
      </c>
      <c r="AC671" s="6">
        <f>[1]Macro!AB104</f>
        <v>65.166443909999998</v>
      </c>
      <c r="AD671" s="6">
        <f>[1]Macro!AC104</f>
        <v>66.186873239999997</v>
      </c>
      <c r="AE671" s="6">
        <f>[1]Macro!AD104</f>
        <v>67.199754920000004</v>
      </c>
      <c r="AF671" s="6">
        <f>[1]Macro!AE104</f>
        <v>68.206714570000003</v>
      </c>
      <c r="AG671" s="6">
        <f>[1]Macro!AF104</f>
        <v>69.211080280000004</v>
      </c>
      <c r="AH671" s="6">
        <f>[1]Macro!AG104</f>
        <v>70.217139259999996</v>
      </c>
      <c r="AI671" s="6">
        <f>[1]Macro!AH104</f>
        <v>71.229383720000001</v>
      </c>
      <c r="AJ671" s="6">
        <f>[1]Macro!AI104</f>
        <v>72.251906219999995</v>
      </c>
      <c r="AK671" s="6">
        <f>[1]Macro!AJ104</f>
        <v>73.288081590000004</v>
      </c>
      <c r="AL671" s="6">
        <f>[1]Macro!AK104</f>
        <v>74.340453220000001</v>
      </c>
    </row>
    <row r="672" spans="1:38" x14ac:dyDescent="0.3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spans="2:38" x14ac:dyDescent="0.3">
      <c r="B673" s="6" t="str">
        <f>[1]Macro!A105</f>
        <v>y_toe_0</v>
      </c>
      <c r="C673" s="6">
        <f>[1]Macro!B105</f>
        <v>136.3911382</v>
      </c>
      <c r="D673" s="6">
        <f>[1]Macro!C105</f>
        <v>138.50092309999999</v>
      </c>
      <c r="E673" s="6">
        <f>[1]Macro!D105</f>
        <v>140.32633329999999</v>
      </c>
      <c r="F673" s="6">
        <f>[1]Macro!E105</f>
        <v>142.26008949999999</v>
      </c>
      <c r="G673" s="6">
        <f>[1]Macro!F105</f>
        <v>144.4229133</v>
      </c>
      <c r="H673" s="6">
        <f>[1]Macro!G105</f>
        <v>146.8458033</v>
      </c>
      <c r="I673" s="6">
        <f>[1]Macro!H105</f>
        <v>149.4119341</v>
      </c>
      <c r="J673" s="6">
        <f>[1]Macro!I105</f>
        <v>152.14744680000001</v>
      </c>
      <c r="K673" s="6">
        <f>[1]Macro!J105</f>
        <v>154.9882863</v>
      </c>
      <c r="L673" s="6">
        <f>[1]Macro!K105</f>
        <v>157.86275699999999</v>
      </c>
      <c r="M673" s="6">
        <f>[1]Macro!L105</f>
        <v>160.84111820000001</v>
      </c>
      <c r="N673" s="6">
        <f>[1]Macro!M105</f>
        <v>163.64961360000001</v>
      </c>
      <c r="O673" s="6">
        <f>[1]Macro!N105</f>
        <v>166.3569339</v>
      </c>
      <c r="P673" s="6">
        <f>[1]Macro!O105</f>
        <v>168.9478642</v>
      </c>
      <c r="Q673" s="6">
        <f>[1]Macro!P105</f>
        <v>171.3962382</v>
      </c>
      <c r="R673" s="6">
        <f>[1]Macro!Q105</f>
        <v>173.68308709999999</v>
      </c>
      <c r="S673" s="6">
        <f>[1]Macro!R105</f>
        <v>175.8122797</v>
      </c>
      <c r="T673" s="6">
        <f>[1]Macro!S105</f>
        <v>177.811375</v>
      </c>
      <c r="U673" s="6">
        <f>[1]Macro!T105</f>
        <v>179.7266626</v>
      </c>
      <c r="V673" s="6">
        <f>[1]Macro!U105</f>
        <v>181.6137142</v>
      </c>
      <c r="W673" s="6">
        <f>[1]Macro!V105</f>
        <v>183.42050979999999</v>
      </c>
      <c r="X673" s="6">
        <f>[1]Macro!W105</f>
        <v>185.36168960000001</v>
      </c>
      <c r="Y673" s="6">
        <f>[1]Macro!X105</f>
        <v>187.3974418</v>
      </c>
      <c r="Z673" s="6">
        <f>[1]Macro!Y105</f>
        <v>189.53861470000001</v>
      </c>
      <c r="AA673" s="6">
        <f>[1]Macro!Z105</f>
        <v>191.7954172</v>
      </c>
      <c r="AB673" s="6">
        <f>[1]Macro!AA105</f>
        <v>193.8437979</v>
      </c>
      <c r="AC673" s="6">
        <f>[1]Macro!AB105</f>
        <v>196.09656509999999</v>
      </c>
      <c r="AD673" s="6">
        <f>[1]Macro!AC105</f>
        <v>198.40493079999999</v>
      </c>
      <c r="AE673" s="6">
        <f>[1]Macro!AD105</f>
        <v>200.73328309999999</v>
      </c>
      <c r="AF673" s="6">
        <f>[1]Macro!AE105</f>
        <v>203.07327169999999</v>
      </c>
      <c r="AG673" s="6">
        <f>[1]Macro!AF105</f>
        <v>205.4278454</v>
      </c>
      <c r="AH673" s="6">
        <f>[1]Macro!AG105</f>
        <v>207.80067790000001</v>
      </c>
      <c r="AI673" s="6">
        <f>[1]Macro!AH105</f>
        <v>210.19005060000001</v>
      </c>
      <c r="AJ673" s="6">
        <f>[1]Macro!AI105</f>
        <v>212.5874767</v>
      </c>
      <c r="AK673" s="6">
        <f>[1]Macro!AJ105</f>
        <v>214.98033459999999</v>
      </c>
      <c r="AL673" s="6">
        <f>[1]Macro!AK105</f>
        <v>217.35438600000001</v>
      </c>
    </row>
    <row r="674" spans="2:38" x14ac:dyDescent="0.3">
      <c r="B674" s="6" t="str">
        <f>[1]Macro!A106</f>
        <v>m_toe_0</v>
      </c>
      <c r="C674" s="6">
        <f>[1]Macro!B106</f>
        <v>152.71267259999999</v>
      </c>
      <c r="D674" s="6">
        <f>[1]Macro!C106</f>
        <v>152.9209735</v>
      </c>
      <c r="E674" s="6">
        <f>[1]Macro!D106</f>
        <v>153.3486437</v>
      </c>
      <c r="F674" s="6">
        <f>[1]Macro!E106</f>
        <v>154.02465340000001</v>
      </c>
      <c r="G674" s="6">
        <f>[1]Macro!F106</f>
        <v>155.00094319999999</v>
      </c>
      <c r="H674" s="6">
        <f>[1]Macro!G106</f>
        <v>156.2844083</v>
      </c>
      <c r="I674" s="6">
        <f>[1]Macro!H106</f>
        <v>157.70844109999999</v>
      </c>
      <c r="J674" s="6">
        <f>[1]Macro!I106</f>
        <v>159.3423933</v>
      </c>
      <c r="K674" s="6">
        <f>[1]Macro!J106</f>
        <v>161.12371529999999</v>
      </c>
      <c r="L674" s="6">
        <f>[1]Macro!K106</f>
        <v>162.98264570000001</v>
      </c>
      <c r="M674" s="6">
        <f>[1]Macro!L106</f>
        <v>165.0608794</v>
      </c>
      <c r="N674" s="6">
        <f>[1]Macro!M106</f>
        <v>166.97696250000001</v>
      </c>
      <c r="O674" s="6">
        <f>[1]Macro!N106</f>
        <v>168.8952439</v>
      </c>
      <c r="P674" s="6">
        <f>[1]Macro!O106</f>
        <v>170.83713979999999</v>
      </c>
      <c r="Q674" s="6">
        <f>[1]Macro!P106</f>
        <v>172.7890682</v>
      </c>
      <c r="R674" s="6">
        <f>[1]Macro!Q106</f>
        <v>174.73251310000001</v>
      </c>
      <c r="S674" s="6">
        <f>[1]Macro!R106</f>
        <v>176.65400170000001</v>
      </c>
      <c r="T674" s="6">
        <f>[1]Macro!S106</f>
        <v>178.5482341</v>
      </c>
      <c r="U674" s="6">
        <f>[1]Macro!T106</f>
        <v>180.41775989999999</v>
      </c>
      <c r="V674" s="6">
        <f>[1]Macro!U106</f>
        <v>182.27033349999999</v>
      </c>
      <c r="W674" s="6">
        <f>[1]Macro!V106</f>
        <v>183.9736173</v>
      </c>
      <c r="X674" s="6">
        <f>[1]Macro!W106</f>
        <v>185.8017303</v>
      </c>
      <c r="Y674" s="6">
        <f>[1]Macro!X106</f>
        <v>187.64790640000001</v>
      </c>
      <c r="Z674" s="6">
        <f>[1]Macro!Y106</f>
        <v>189.4971309</v>
      </c>
      <c r="AA674" s="6">
        <f>[1]Macro!Z106</f>
        <v>191.3559467</v>
      </c>
      <c r="AB674" s="6">
        <f>[1]Macro!AA106</f>
        <v>192.80366309999999</v>
      </c>
      <c r="AC674" s="6">
        <f>[1]Macro!AB106</f>
        <v>194.47329120000001</v>
      </c>
      <c r="AD674" s="6">
        <f>[1]Macro!AC106</f>
        <v>196.17275470000001</v>
      </c>
      <c r="AE674" s="6">
        <f>[1]Macro!AD106</f>
        <v>197.85726690000001</v>
      </c>
      <c r="AF674" s="6">
        <f>[1]Macro!AE106</f>
        <v>199.5279468</v>
      </c>
      <c r="AG674" s="6">
        <f>[1]Macro!AF106</f>
        <v>201.19548130000001</v>
      </c>
      <c r="AH674" s="6">
        <f>[1]Macro!AG106</f>
        <v>202.86845940000001</v>
      </c>
      <c r="AI674" s="6">
        <f>[1]Macro!AH106</f>
        <v>204.54979030000001</v>
      </c>
      <c r="AJ674" s="6">
        <f>[1]Macro!AI106</f>
        <v>206.23682840000001</v>
      </c>
      <c r="AK674" s="6">
        <f>[1]Macro!AJ106</f>
        <v>207.9235994</v>
      </c>
      <c r="AL674" s="6">
        <f>[1]Macro!AK106</f>
        <v>209.60337010000001</v>
      </c>
    </row>
    <row r="675" spans="2:38" x14ac:dyDescent="0.3">
      <c r="B675" s="6" t="str">
        <f>[1]Macro!A107</f>
        <v>ci_toe_0</v>
      </c>
      <c r="C675" s="6">
        <f>[1]Macro!B107</f>
        <v>172.21087080000001</v>
      </c>
      <c r="D675" s="6">
        <f>[1]Macro!C107</f>
        <v>173.95496850000001</v>
      </c>
      <c r="E675" s="6">
        <f>[1]Macro!D107</f>
        <v>175.7743098</v>
      </c>
      <c r="F675" s="6">
        <f>[1]Macro!E107</f>
        <v>177.85782620000001</v>
      </c>
      <c r="G675" s="6">
        <f>[1]Macro!F107</f>
        <v>180.31262269999999</v>
      </c>
      <c r="H675" s="6">
        <f>[1]Macro!G107</f>
        <v>183.1855506</v>
      </c>
      <c r="I675" s="6">
        <f>[1]Macro!H107</f>
        <v>186.2842187</v>
      </c>
      <c r="J675" s="6">
        <f>[1]Macro!I107</f>
        <v>189.68358180000001</v>
      </c>
      <c r="K675" s="6">
        <f>[1]Macro!J107</f>
        <v>193.28021129999999</v>
      </c>
      <c r="L675" s="6">
        <f>[1]Macro!K107</f>
        <v>196.95305089999999</v>
      </c>
      <c r="M675" s="6">
        <f>[1]Macro!L107</f>
        <v>200.82468499999999</v>
      </c>
      <c r="N675" s="6">
        <f>[1]Macro!M107</f>
        <v>204.45012019999999</v>
      </c>
      <c r="O675" s="6">
        <f>[1]Macro!N107</f>
        <v>207.98883169999999</v>
      </c>
      <c r="P675" s="6">
        <f>[1]Macro!O107</f>
        <v>211.4518559</v>
      </c>
      <c r="Q675" s="6">
        <f>[1]Macro!P107</f>
        <v>214.80427539999999</v>
      </c>
      <c r="R675" s="6">
        <f>[1]Macro!Q107</f>
        <v>218.01002260000001</v>
      </c>
      <c r="S675" s="6">
        <f>[1]Macro!R107</f>
        <v>221.05357330000001</v>
      </c>
      <c r="T675" s="6">
        <f>[1]Macro!S107</f>
        <v>223.94735009999999</v>
      </c>
      <c r="U675" s="6">
        <f>[1]Macro!T107</f>
        <v>226.7290869</v>
      </c>
      <c r="V675" s="6">
        <f>[1]Macro!U107</f>
        <v>229.45177889999999</v>
      </c>
      <c r="W675" s="6">
        <f>[1]Macro!V107</f>
        <v>232.00267249999999</v>
      </c>
      <c r="X675" s="6">
        <f>[1]Macro!W107</f>
        <v>234.72497060000001</v>
      </c>
      <c r="Y675" s="6">
        <f>[1]Macro!X107</f>
        <v>237.5336313</v>
      </c>
      <c r="Z675" s="6">
        <f>[1]Macro!Y107</f>
        <v>240.42579499999999</v>
      </c>
      <c r="AA675" s="6">
        <f>[1]Macro!Z107</f>
        <v>243.42023370000001</v>
      </c>
      <c r="AB675" s="6">
        <f>[1]Macro!AA107</f>
        <v>246.00040490000001</v>
      </c>
      <c r="AC675" s="6">
        <f>[1]Macro!AB107</f>
        <v>248.90606399999999</v>
      </c>
      <c r="AD675" s="6">
        <f>[1]Macro!AC107</f>
        <v>251.89234859999999</v>
      </c>
      <c r="AE675" s="6">
        <f>[1]Macro!AD107</f>
        <v>254.88321920000001</v>
      </c>
      <c r="AF675" s="6">
        <f>[1]Macro!AE107</f>
        <v>257.87561790000001</v>
      </c>
      <c r="AG675" s="6">
        <f>[1]Macro!AF107</f>
        <v>260.88690550000001</v>
      </c>
      <c r="AH675" s="6">
        <f>[1]Macro!AG107</f>
        <v>263.93243869999998</v>
      </c>
      <c r="AI675" s="6">
        <f>[1]Macro!AH107</f>
        <v>267.01576219999998</v>
      </c>
      <c r="AJ675" s="6">
        <f>[1]Macro!AI107</f>
        <v>270.1272975</v>
      </c>
      <c r="AK675" s="6">
        <f>[1]Macro!AJ107</f>
        <v>273.24917340000002</v>
      </c>
      <c r="AL675" s="6">
        <f>[1]Macro!AK107</f>
        <v>276.361985</v>
      </c>
    </row>
    <row r="676" spans="2:38" x14ac:dyDescent="0.3">
      <c r="B676" s="6" t="str">
        <f>[1]Macro!A108</f>
        <v>ch_toe_0</v>
      </c>
      <c r="C676" s="6">
        <f>[1]Macro!B108</f>
        <v>73.965462770000002</v>
      </c>
      <c r="D676" s="6">
        <f>[1]Macro!C108</f>
        <v>73.842886010000001</v>
      </c>
      <c r="E676" s="6">
        <f>[1]Macro!D108</f>
        <v>73.502699530000001</v>
      </c>
      <c r="F676" s="6">
        <f>[1]Macro!E108</f>
        <v>73.215225439999998</v>
      </c>
      <c r="G676" s="6">
        <f>[1]Macro!F108</f>
        <v>73.043234389999995</v>
      </c>
      <c r="H676" s="6">
        <f>[1]Macro!G108</f>
        <v>72.978462660000005</v>
      </c>
      <c r="I676" s="6">
        <f>[1]Macro!H108</f>
        <v>72.97959659</v>
      </c>
      <c r="J676" s="6">
        <f>[1]Macro!I108</f>
        <v>73.030739389999994</v>
      </c>
      <c r="K676" s="6">
        <f>[1]Macro!J108</f>
        <v>73.118003740000006</v>
      </c>
      <c r="L676" s="6">
        <f>[1]Macro!K108</f>
        <v>73.23106817</v>
      </c>
      <c r="M676" s="6">
        <f>[1]Macro!L108</f>
        <v>73.388269410000007</v>
      </c>
      <c r="N676" s="6">
        <f>[1]Macro!M108</f>
        <v>73.546329880000002</v>
      </c>
      <c r="O676" s="6">
        <f>[1]Macro!N108</f>
        <v>73.706119869999995</v>
      </c>
      <c r="P676" s="6">
        <f>[1]Macro!O108</f>
        <v>73.866523200000003</v>
      </c>
      <c r="Q676" s="6">
        <f>[1]Macro!P108</f>
        <v>74.023489209999994</v>
      </c>
      <c r="R676" s="6">
        <f>[1]Macro!Q108</f>
        <v>74.173373490000003</v>
      </c>
      <c r="S676" s="6">
        <f>[1]Macro!R108</f>
        <v>74.317068070000005</v>
      </c>
      <c r="T676" s="6">
        <f>[1]Macro!S108</f>
        <v>74.45725444</v>
      </c>
      <c r="U676" s="6">
        <f>[1]Macro!T108</f>
        <v>74.596733299999997</v>
      </c>
      <c r="V676" s="6">
        <f>[1]Macro!U108</f>
        <v>74.737458430000004</v>
      </c>
      <c r="W676" s="6">
        <f>[1]Macro!V108</f>
        <v>74.86089672</v>
      </c>
      <c r="X676" s="6">
        <f>[1]Macro!W108</f>
        <v>74.987434379999996</v>
      </c>
      <c r="Y676" s="6">
        <f>[1]Macro!X108</f>
        <v>75.110579950000002</v>
      </c>
      <c r="Z676" s="6">
        <f>[1]Macro!Y108</f>
        <v>75.226491109999998</v>
      </c>
      <c r="AA676" s="6">
        <f>[1]Macro!Z108</f>
        <v>75.332501100000002</v>
      </c>
      <c r="AB676" s="6">
        <f>[1]Macro!AA108</f>
        <v>75.377156580000005</v>
      </c>
      <c r="AC676" s="6">
        <f>[1]Macro!AB108</f>
        <v>75.406493740000002</v>
      </c>
      <c r="AD676" s="6">
        <f>[1]Macro!AC108</f>
        <v>75.419843850000007</v>
      </c>
      <c r="AE676" s="6">
        <f>[1]Macro!AD108</f>
        <v>75.416596490000003</v>
      </c>
      <c r="AF676" s="6">
        <f>[1]Macro!AE108</f>
        <v>75.39601845</v>
      </c>
      <c r="AG676" s="6">
        <f>[1]Macro!AF108</f>
        <v>75.357363460000002</v>
      </c>
      <c r="AH676" s="6">
        <f>[1]Macro!AG108</f>
        <v>75.300088090000003</v>
      </c>
      <c r="AI676" s="6">
        <f>[1]Macro!AH108</f>
        <v>75.224009319999993</v>
      </c>
      <c r="AJ676" s="6">
        <f>[1]Macro!AI108</f>
        <v>75.129339970000004</v>
      </c>
      <c r="AK676" s="6">
        <f>[1]Macro!AJ108</f>
        <v>75.016612359999996</v>
      </c>
      <c r="AL676" s="6">
        <f>[1]Macro!AK108</f>
        <v>74.884868990000001</v>
      </c>
    </row>
    <row r="677" spans="2:38" x14ac:dyDescent="0.3">
      <c r="B677" s="6" t="str">
        <f>[1]Macro!A109</f>
        <v>x_toe_0</v>
      </c>
      <c r="C677" s="6">
        <f>[1]Macro!B109</f>
        <v>42.92747731</v>
      </c>
      <c r="D677" s="6">
        <f>[1]Macro!C109</f>
        <v>43.624042160000002</v>
      </c>
      <c r="E677" s="6">
        <f>[1]Macro!D109</f>
        <v>44.397967659999999</v>
      </c>
      <c r="F677" s="6">
        <f>[1]Macro!E109</f>
        <v>45.21169123</v>
      </c>
      <c r="G677" s="6">
        <f>[1]Macro!F109</f>
        <v>46.06799934</v>
      </c>
      <c r="H677" s="6">
        <f>[1]Macro!G109</f>
        <v>46.96619836</v>
      </c>
      <c r="I677" s="6">
        <f>[1]Macro!H109</f>
        <v>47.856559959999998</v>
      </c>
      <c r="J677" s="6">
        <f>[1]Macro!I109</f>
        <v>48.775518939999998</v>
      </c>
      <c r="K677" s="6">
        <f>[1]Macro!J109</f>
        <v>49.713786589999998</v>
      </c>
      <c r="L677" s="6">
        <f>[1]Macro!K109</f>
        <v>50.661283660000002</v>
      </c>
      <c r="M677" s="6">
        <f>[1]Macro!L109</f>
        <v>51.689043220000002</v>
      </c>
      <c r="N677" s="6">
        <f>[1]Macro!M109</f>
        <v>52.630125960000001</v>
      </c>
      <c r="O677" s="6">
        <f>[1]Macro!N109</f>
        <v>53.557226239999999</v>
      </c>
      <c r="P677" s="6">
        <f>[1]Macro!O109</f>
        <v>54.466624899999999</v>
      </c>
      <c r="Q677" s="6">
        <f>[1]Macro!P109</f>
        <v>55.357541759999997</v>
      </c>
      <c r="R677" s="6">
        <f>[1]Macro!Q109</f>
        <v>56.232204150000001</v>
      </c>
      <c r="S677" s="6">
        <f>[1]Macro!R109</f>
        <v>57.095640039999999</v>
      </c>
      <c r="T677" s="6">
        <f>[1]Macro!S109</f>
        <v>57.955004539999997</v>
      </c>
      <c r="U677" s="6">
        <f>[1]Macro!T109</f>
        <v>58.81860228</v>
      </c>
      <c r="V677" s="6">
        <f>[1]Macro!U109</f>
        <v>59.694810410000002</v>
      </c>
      <c r="W677" s="6">
        <f>[1]Macro!V109</f>
        <v>60.530557880000003</v>
      </c>
      <c r="X677" s="6">
        <f>[1]Macro!W109</f>
        <v>61.451014909999998</v>
      </c>
      <c r="Y677" s="6">
        <f>[1]Macro!X109</f>
        <v>62.401136940000001</v>
      </c>
      <c r="Z677" s="6">
        <f>[1]Macro!Y109</f>
        <v>63.383459469999998</v>
      </c>
      <c r="AA677" s="6">
        <f>[1]Macro!Z109</f>
        <v>64.398629049999997</v>
      </c>
      <c r="AB677" s="6">
        <f>[1]Macro!AA109</f>
        <v>65.269899499999994</v>
      </c>
      <c r="AC677" s="6">
        <f>[1]Macro!AB109</f>
        <v>66.257298509999998</v>
      </c>
      <c r="AD677" s="6">
        <f>[1]Macro!AC109</f>
        <v>67.265493120000002</v>
      </c>
      <c r="AE677" s="6">
        <f>[1]Macro!AD109</f>
        <v>68.290734299999997</v>
      </c>
      <c r="AF677" s="6">
        <f>[1]Macro!AE109</f>
        <v>69.329582119999998</v>
      </c>
      <c r="AG677" s="6">
        <f>[1]Macro!AF109</f>
        <v>70.379057720000006</v>
      </c>
      <c r="AH677" s="6">
        <f>[1]Macro!AG109</f>
        <v>71.436610529999996</v>
      </c>
      <c r="AI677" s="6">
        <f>[1]Macro!AH109</f>
        <v>72.500069479999993</v>
      </c>
      <c r="AJ677" s="6">
        <f>[1]Macro!AI109</f>
        <v>73.567667549999996</v>
      </c>
      <c r="AK677" s="6">
        <f>[1]Macro!AJ109</f>
        <v>74.638148279999996</v>
      </c>
      <c r="AL677" s="6">
        <f>[1]Macro!AK109</f>
        <v>75.710902070000003</v>
      </c>
    </row>
    <row r="679" spans="2:38" x14ac:dyDescent="0.3">
      <c r="C679" s="2">
        <v>42005</v>
      </c>
      <c r="D679" s="2">
        <v>42370</v>
      </c>
      <c r="E679" s="2">
        <v>42736</v>
      </c>
      <c r="F679" s="2">
        <v>43101</v>
      </c>
      <c r="G679" s="2">
        <v>43466</v>
      </c>
      <c r="H679" s="2">
        <v>43831</v>
      </c>
      <c r="I679" s="2">
        <v>44197</v>
      </c>
      <c r="J679" s="2">
        <v>44562</v>
      </c>
      <c r="K679" s="2">
        <v>44927</v>
      </c>
      <c r="L679" s="2">
        <v>45292</v>
      </c>
      <c r="M679" s="2">
        <v>45658</v>
      </c>
      <c r="N679" s="2">
        <v>46023</v>
      </c>
      <c r="O679" s="2">
        <v>46388</v>
      </c>
      <c r="P679" s="2">
        <v>46753</v>
      </c>
      <c r="Q679" s="2">
        <v>47119</v>
      </c>
      <c r="R679" s="2">
        <v>47484</v>
      </c>
      <c r="S679" s="2">
        <v>47849</v>
      </c>
      <c r="T679" s="2">
        <v>48214</v>
      </c>
      <c r="U679" s="2">
        <v>48580</v>
      </c>
      <c r="V679" s="2">
        <v>48945</v>
      </c>
      <c r="W679" s="2">
        <v>49310</v>
      </c>
      <c r="X679" s="2">
        <v>49675</v>
      </c>
      <c r="Y679" s="2">
        <v>50041</v>
      </c>
      <c r="Z679" s="2">
        <v>50406</v>
      </c>
      <c r="AA679" s="2">
        <v>50771</v>
      </c>
      <c r="AB679" s="2">
        <v>51136</v>
      </c>
      <c r="AC679" s="2">
        <v>51502</v>
      </c>
      <c r="AD679" s="2">
        <v>51867</v>
      </c>
      <c r="AE679" s="2">
        <v>52232</v>
      </c>
      <c r="AF679" s="2">
        <v>52597</v>
      </c>
      <c r="AG679" s="2">
        <v>52963</v>
      </c>
      <c r="AH679" s="2">
        <v>53328</v>
      </c>
      <c r="AI679" s="2">
        <v>53693</v>
      </c>
      <c r="AJ679" s="2">
        <v>54058</v>
      </c>
      <c r="AK679" s="2">
        <v>54424</v>
      </c>
      <c r="AL679" s="2">
        <v>54789</v>
      </c>
    </row>
    <row r="680" spans="2:38" x14ac:dyDescent="0.3">
      <c r="B680" t="s">
        <v>93</v>
      </c>
      <c r="C680" s="9">
        <f>C667/C673-1</f>
        <v>0</v>
      </c>
      <c r="D680" s="9">
        <f t="shared" ref="D680:AL680" si="135">D667/D673-1</f>
        <v>0</v>
      </c>
      <c r="E680" s="9">
        <f t="shared" si="135"/>
        <v>0</v>
      </c>
      <c r="F680" s="9">
        <f t="shared" si="135"/>
        <v>0</v>
      </c>
      <c r="G680" s="9">
        <f t="shared" si="135"/>
        <v>0</v>
      </c>
      <c r="H680" s="9">
        <f t="shared" si="135"/>
        <v>0</v>
      </c>
      <c r="I680" s="9">
        <f t="shared" si="135"/>
        <v>7.9950199908429553E-3</v>
      </c>
      <c r="J680" s="9">
        <f t="shared" si="135"/>
        <v>5.1426659891871118E-3</v>
      </c>
      <c r="K680" s="9">
        <f t="shared" si="135"/>
        <v>-1.3130805227827835E-3</v>
      </c>
      <c r="L680" s="9">
        <f t="shared" si="135"/>
        <v>-9.8180788772109784E-3</v>
      </c>
      <c r="M680" s="9">
        <f t="shared" si="135"/>
        <v>-1.93946444473303E-2</v>
      </c>
      <c r="N680" s="9">
        <f t="shared" si="135"/>
        <v>-2.9102371800528437E-2</v>
      </c>
      <c r="O680" s="9">
        <f t="shared" si="135"/>
        <v>-3.8002181524938505E-2</v>
      </c>
      <c r="P680" s="9">
        <f t="shared" si="135"/>
        <v>-4.5297329067981118E-2</v>
      </c>
      <c r="Q680" s="9">
        <f t="shared" si="135"/>
        <v>-5.0460536303649217E-2</v>
      </c>
      <c r="R680" s="9">
        <f t="shared" si="135"/>
        <v>-5.337120703447007E-2</v>
      </c>
      <c r="S680" s="9">
        <f t="shared" si="135"/>
        <v>-5.4137455109741217E-2</v>
      </c>
      <c r="T680" s="9">
        <f t="shared" si="135"/>
        <v>-5.3063312738006685E-2</v>
      </c>
      <c r="U680" s="9">
        <f t="shared" si="135"/>
        <v>-5.0578277415807227E-2</v>
      </c>
      <c r="V680" s="9">
        <f t="shared" si="135"/>
        <v>-4.7155778062932141E-2</v>
      </c>
      <c r="W680" s="9">
        <f t="shared" si="135"/>
        <v>-4.3251130468725862E-2</v>
      </c>
      <c r="X680" s="9">
        <f t="shared" si="135"/>
        <v>-3.9179802016651388E-2</v>
      </c>
      <c r="Y680" s="9">
        <f t="shared" si="135"/>
        <v>-3.5263278071066995E-2</v>
      </c>
      <c r="Z680" s="9">
        <f t="shared" si="135"/>
        <v>-3.1738079913274819E-2</v>
      </c>
      <c r="AA680" s="9">
        <f t="shared" si="135"/>
        <v>-2.877485281228076E-2</v>
      </c>
      <c r="AB680" s="9">
        <f t="shared" si="135"/>
        <v>-2.6500560531991124E-2</v>
      </c>
      <c r="AC680" s="9">
        <f t="shared" si="135"/>
        <v>-2.4917705710491234E-2</v>
      </c>
      <c r="AD680" s="9">
        <f t="shared" si="135"/>
        <v>-2.4031415352304353E-2</v>
      </c>
      <c r="AE680" s="9">
        <f t="shared" si="135"/>
        <v>-2.3771768818341976E-2</v>
      </c>
      <c r="AF680" s="9">
        <f t="shared" si="135"/>
        <v>-2.401793628068094E-2</v>
      </c>
      <c r="AG680" s="9">
        <f t="shared" si="135"/>
        <v>-2.461771913224764E-2</v>
      </c>
      <c r="AH680" s="9">
        <f t="shared" si="135"/>
        <v>-2.5402617322260457E-2</v>
      </c>
      <c r="AI680" s="9">
        <f t="shared" si="135"/>
        <v>-2.6205246557945316E-2</v>
      </c>
      <c r="AJ680" s="9">
        <f t="shared" si="135"/>
        <v>-2.6889345923545638E-2</v>
      </c>
      <c r="AK680" s="9">
        <f t="shared" si="135"/>
        <v>-2.7351241735391718E-2</v>
      </c>
      <c r="AL680" s="9">
        <f t="shared" si="135"/>
        <v>-2.7515038964983196E-2</v>
      </c>
    </row>
    <row r="681" spans="2:38" x14ac:dyDescent="0.3">
      <c r="B681" t="s">
        <v>94</v>
      </c>
      <c r="C681" s="9">
        <f>(C670-C676)/C673</f>
        <v>0</v>
      </c>
      <c r="D681" s="9">
        <f t="shared" ref="D681:AL681" si="136">(D670-D676)/D673</f>
        <v>0</v>
      </c>
      <c r="E681" s="9">
        <f t="shared" si="136"/>
        <v>0</v>
      </c>
      <c r="F681" s="9">
        <f t="shared" si="136"/>
        <v>0</v>
      </c>
      <c r="G681" s="9">
        <f t="shared" si="136"/>
        <v>0</v>
      </c>
      <c r="H681" s="9">
        <f t="shared" si="136"/>
        <v>0</v>
      </c>
      <c r="I681" s="9">
        <f t="shared" si="136"/>
        <v>2.4077059316594472E-6</v>
      </c>
      <c r="J681" s="9">
        <f t="shared" si="136"/>
        <v>-7.2126218551828722E-4</v>
      </c>
      <c r="K681" s="9">
        <f t="shared" si="136"/>
        <v>-1.7382683326049712E-3</v>
      </c>
      <c r="L681" s="9">
        <f t="shared" si="136"/>
        <v>-2.7705221187794187E-3</v>
      </c>
      <c r="M681" s="9">
        <f t="shared" si="136"/>
        <v>-3.6433342826635499E-3</v>
      </c>
      <c r="N681" s="9">
        <f t="shared" si="136"/>
        <v>-4.3596206816830527E-3</v>
      </c>
      <c r="O681" s="9">
        <f t="shared" si="136"/>
        <v>-4.8622576230349717E-3</v>
      </c>
      <c r="P681" s="9">
        <f t="shared" si="136"/>
        <v>-5.1056936652295343E-3</v>
      </c>
      <c r="Q681" s="9">
        <f t="shared" si="136"/>
        <v>-5.0782438934531245E-3</v>
      </c>
      <c r="R681" s="9">
        <f t="shared" si="136"/>
        <v>-4.8668910952354679E-3</v>
      </c>
      <c r="S681" s="9">
        <f t="shared" si="136"/>
        <v>-4.5296845098584948E-3</v>
      </c>
      <c r="T681" s="9">
        <f t="shared" si="136"/>
        <v>-4.1128124114669217E-3</v>
      </c>
      <c r="U681" s="9">
        <f t="shared" si="136"/>
        <v>-3.6565131210531472E-3</v>
      </c>
      <c r="V681" s="9">
        <f t="shared" si="136"/>
        <v>-3.1954391360605881E-3</v>
      </c>
      <c r="W681" s="9">
        <f t="shared" si="136"/>
        <v>-2.7505384787672293E-3</v>
      </c>
      <c r="X681" s="9">
        <f t="shared" si="136"/>
        <v>-2.3150678056832051E-3</v>
      </c>
      <c r="Y681" s="9">
        <f t="shared" si="136"/>
        <v>-1.8919010131332862E-3</v>
      </c>
      <c r="Z681" s="9">
        <f t="shared" si="136"/>
        <v>-1.4832594954066363E-3</v>
      </c>
      <c r="AA681" s="9">
        <f t="shared" si="136"/>
        <v>-1.0885863856814183E-3</v>
      </c>
      <c r="AB681" s="9">
        <f t="shared" si="136"/>
        <v>-7.0603765239165173E-4</v>
      </c>
      <c r="AC681" s="9">
        <f t="shared" si="136"/>
        <v>-3.2649648894845362E-4</v>
      </c>
      <c r="AD681" s="9">
        <f t="shared" si="136"/>
        <v>5.9667317501970214E-5</v>
      </c>
      <c r="AE681" s="9">
        <f t="shared" si="136"/>
        <v>4.6263020544398225E-4</v>
      </c>
      <c r="AF681" s="9">
        <f t="shared" si="136"/>
        <v>8.908249149954464E-4</v>
      </c>
      <c r="AG681" s="9">
        <f t="shared" si="136"/>
        <v>1.3480236306854659E-3</v>
      </c>
      <c r="AH681" s="9">
        <f t="shared" si="136"/>
        <v>1.8374672010634597E-3</v>
      </c>
      <c r="AI681" s="9">
        <f t="shared" si="136"/>
        <v>2.3644221435855468E-3</v>
      </c>
      <c r="AJ681" s="9">
        <f t="shared" si="136"/>
        <v>2.9264537575651004E-3</v>
      </c>
      <c r="AK681" s="9">
        <f t="shared" si="136"/>
        <v>3.5204788447659391E-3</v>
      </c>
      <c r="AL681" s="9">
        <f t="shared" si="136"/>
        <v>4.1502999622009141E-3</v>
      </c>
    </row>
    <row r="682" spans="2:38" x14ac:dyDescent="0.3">
      <c r="B682" t="s">
        <v>95</v>
      </c>
      <c r="C682" s="9">
        <f>(C669-C675)/C673</f>
        <v>0</v>
      </c>
      <c r="D682" s="9">
        <f t="shared" ref="D682:AL682" si="137">(D669-D675)/D673</f>
        <v>0</v>
      </c>
      <c r="E682" s="9">
        <f t="shared" si="137"/>
        <v>0</v>
      </c>
      <c r="F682" s="9">
        <f t="shared" si="137"/>
        <v>0</v>
      </c>
      <c r="G682" s="9">
        <f t="shared" si="137"/>
        <v>0</v>
      </c>
      <c r="H682" s="9">
        <f t="shared" si="137"/>
        <v>0</v>
      </c>
      <c r="I682" s="9">
        <f t="shared" si="137"/>
        <v>1.4826405356063155E-2</v>
      </c>
      <c r="J682" s="9">
        <f t="shared" si="137"/>
        <v>1.4942556367629966E-2</v>
      </c>
      <c r="K682" s="9">
        <f t="shared" si="137"/>
        <v>1.1110639656127467E-2</v>
      </c>
      <c r="L682" s="9">
        <f t="shared" si="137"/>
        <v>5.0455871615114022E-3</v>
      </c>
      <c r="M682" s="9">
        <f t="shared" si="137"/>
        <v>-2.5903258113509015E-3</v>
      </c>
      <c r="N682" s="9">
        <f t="shared" si="137"/>
        <v>-1.0957301765361414E-2</v>
      </c>
      <c r="O682" s="9">
        <f t="shared" si="137"/>
        <v>-1.9095530468898583E-2</v>
      </c>
      <c r="P682" s="9">
        <f t="shared" si="137"/>
        <v>-2.6089723127733989E-2</v>
      </c>
      <c r="Q682" s="9">
        <f t="shared" si="137"/>
        <v>-3.126275615073567E-2</v>
      </c>
      <c r="R682" s="9">
        <f t="shared" si="137"/>
        <v>-3.4316022933012565E-2</v>
      </c>
      <c r="S682" s="9">
        <f t="shared" si="137"/>
        <v>-3.526351237000655E-2</v>
      </c>
      <c r="T682" s="9">
        <f t="shared" si="137"/>
        <v>-3.4368505951883024E-2</v>
      </c>
      <c r="U682" s="9">
        <f t="shared" si="137"/>
        <v>-3.2044171502909689E-2</v>
      </c>
      <c r="V682" s="9">
        <f t="shared" si="137"/>
        <v>-2.8748697877794882E-2</v>
      </c>
      <c r="W682" s="9">
        <f t="shared" si="137"/>
        <v>-2.4930369046438989E-2</v>
      </c>
      <c r="X682" s="9">
        <f t="shared" si="137"/>
        <v>-2.0852852649008206E-2</v>
      </c>
      <c r="Y682" s="9">
        <f t="shared" si="137"/>
        <v>-1.6823479924366853E-2</v>
      </c>
      <c r="Z682" s="9">
        <f t="shared" si="137"/>
        <v>-1.3052214209308473E-2</v>
      </c>
      <c r="AA682" s="9">
        <f t="shared" si="137"/>
        <v>-9.696762973542045E-3</v>
      </c>
      <c r="AB682" s="9">
        <f t="shared" si="137"/>
        <v>-6.8980195109973174E-3</v>
      </c>
      <c r="AC682" s="9">
        <f t="shared" si="137"/>
        <v>-4.6605783203491078E-3</v>
      </c>
      <c r="AD682" s="9">
        <f t="shared" si="137"/>
        <v>-3.0335858971505154E-3</v>
      </c>
      <c r="AE682" s="9">
        <f t="shared" si="137"/>
        <v>-1.9841976071382256E-3</v>
      </c>
      <c r="AF682" s="9">
        <f t="shared" si="137"/>
        <v>-1.4227184975224608E-3</v>
      </c>
      <c r="AG682" s="9">
        <f t="shared" si="137"/>
        <v>-1.2188352533827858E-3</v>
      </c>
      <c r="AH682" s="9">
        <f t="shared" si="137"/>
        <v>-1.2202289355474681E-3</v>
      </c>
      <c r="AI682" s="9">
        <f t="shared" si="137"/>
        <v>-1.2728452143013832E-3</v>
      </c>
      <c r="AJ682" s="9">
        <f t="shared" si="137"/>
        <v>-1.2445102792831171E-3</v>
      </c>
      <c r="AK682" s="9">
        <f t="shared" si="137"/>
        <v>-1.032961458605977E-3</v>
      </c>
      <c r="AL682" s="9">
        <f t="shared" si="137"/>
        <v>-5.6704399790665275E-4</v>
      </c>
    </row>
    <row r="683" spans="2:38" x14ac:dyDescent="0.3">
      <c r="B683" t="s">
        <v>79</v>
      </c>
      <c r="C683" s="9">
        <f>(C671-C668-(C677-C674))/C673</f>
        <v>0</v>
      </c>
      <c r="D683" s="9">
        <f t="shared" ref="D683:AL683" si="138">(D671-D668-(D677-D674))/D673</f>
        <v>0</v>
      </c>
      <c r="E683" s="9">
        <f t="shared" si="138"/>
        <v>0</v>
      </c>
      <c r="F683" s="9">
        <f t="shared" si="138"/>
        <v>0</v>
      </c>
      <c r="G683" s="9">
        <f t="shared" si="138"/>
        <v>0</v>
      </c>
      <c r="H683" s="9">
        <f t="shared" si="138"/>
        <v>0</v>
      </c>
      <c r="I683" s="9">
        <f t="shared" si="138"/>
        <v>-6.8337934057974246E-3</v>
      </c>
      <c r="J683" s="9">
        <f t="shared" si="138"/>
        <v>-9.0786285872790067E-3</v>
      </c>
      <c r="K683" s="9">
        <f t="shared" si="138"/>
        <v>-1.0685451910826243E-2</v>
      </c>
      <c r="L683" s="9">
        <f t="shared" si="138"/>
        <v>-1.2093144616750836E-2</v>
      </c>
      <c r="M683" s="9">
        <f t="shared" si="138"/>
        <v>-1.3160985099393598E-2</v>
      </c>
      <c r="N683" s="9">
        <f t="shared" si="138"/>
        <v>-1.3785449353483813E-2</v>
      </c>
      <c r="O683" s="9">
        <f t="shared" si="138"/>
        <v>-1.4044394214457303E-2</v>
      </c>
      <c r="P683" s="9">
        <f t="shared" si="138"/>
        <v>-1.4101912630156973E-2</v>
      </c>
      <c r="Q683" s="9">
        <f t="shared" si="138"/>
        <v>-1.4119536492837637E-2</v>
      </c>
      <c r="R683" s="9">
        <f t="shared" si="138"/>
        <v>-1.4188292775917533E-2</v>
      </c>
      <c r="S683" s="9">
        <f t="shared" si="138"/>
        <v>-1.4344258400512611E-2</v>
      </c>
      <c r="T683" s="9">
        <f t="shared" si="138"/>
        <v>-1.4581994205938859E-2</v>
      </c>
      <c r="U683" s="9">
        <f t="shared" si="138"/>
        <v>-1.4877592624924212E-2</v>
      </c>
      <c r="V683" s="9">
        <f t="shared" si="138"/>
        <v>-1.5211641599695945E-2</v>
      </c>
      <c r="W683" s="9">
        <f t="shared" si="138"/>
        <v>-1.5570223052558674E-2</v>
      </c>
      <c r="X683" s="9">
        <f t="shared" si="138"/>
        <v>-1.6011881076422863E-2</v>
      </c>
      <c r="Y683" s="9">
        <f t="shared" si="138"/>
        <v>-1.6547896813391725E-2</v>
      </c>
      <c r="Z683" s="9">
        <f t="shared" si="138"/>
        <v>-1.7202606208559464E-2</v>
      </c>
      <c r="AA683" s="9">
        <f t="shared" si="138"/>
        <v>-1.7989503140224048E-2</v>
      </c>
      <c r="AB683" s="9">
        <f t="shared" si="138"/>
        <v>-1.8896503265426436E-2</v>
      </c>
      <c r="AC683" s="9">
        <f t="shared" si="138"/>
        <v>-1.9930630595221984E-2</v>
      </c>
      <c r="AD683" s="9">
        <f t="shared" si="138"/>
        <v>-2.1057496722253675E-2</v>
      </c>
      <c r="AE683" s="9">
        <f t="shared" si="138"/>
        <v>-2.2250201416647755E-2</v>
      </c>
      <c r="AF683" s="9">
        <f t="shared" si="138"/>
        <v>-2.3486042796640502E-2</v>
      </c>
      <c r="AG683" s="9">
        <f t="shared" si="138"/>
        <v>-2.4746907266155839E-2</v>
      </c>
      <c r="AH683" s="9">
        <f t="shared" si="138"/>
        <v>-2.6019855780268247E-2</v>
      </c>
      <c r="AI683" s="9">
        <f t="shared" si="138"/>
        <v>-2.7296823725109255E-2</v>
      </c>
      <c r="AJ683" s="9">
        <f t="shared" si="138"/>
        <v>-2.8571289448867106E-2</v>
      </c>
      <c r="AK683" s="9">
        <f t="shared" si="138"/>
        <v>-2.9838759447162803E-2</v>
      </c>
      <c r="AL683" s="9">
        <f t="shared" si="138"/>
        <v>-3.1098294699238367E-2</v>
      </c>
    </row>
  </sheetData>
  <mergeCells count="2">
    <mergeCell ref="A61:A62"/>
    <mergeCell ref="A64:A6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24</vt:i4>
      </vt:variant>
    </vt:vector>
  </HeadingPairs>
  <TitlesOfParts>
    <vt:vector size="25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2023-01-30T00:11:14Z</dcterms:modified>
</cp:coreProperties>
</file>